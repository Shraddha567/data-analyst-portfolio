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17949429-E969-4C74-9DF2-5CF4071ADC30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Functions" sheetId="1" r:id="rId1"/>
    <sheet name="Commonly used fun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E16" i="2"/>
  <c r="D15" i="2"/>
  <c r="E15" i="2"/>
  <c r="D14" i="2"/>
  <c r="D13" i="2"/>
  <c r="E13" i="2"/>
  <c r="E14" i="2"/>
  <c r="C13" i="2"/>
  <c r="E12" i="2"/>
  <c r="D12" i="2"/>
  <c r="F6" i="2"/>
  <c r="F7" i="2"/>
  <c r="C16" i="2"/>
  <c r="C15" i="2"/>
  <c r="C14" i="2"/>
  <c r="C12" i="2"/>
  <c r="G3" i="1"/>
  <c r="B6" i="1"/>
  <c r="B7" i="1"/>
  <c r="G2" i="1"/>
  <c r="H9" i="1"/>
  <c r="H8" i="1"/>
</calcChain>
</file>

<file path=xl/sharedStrings.xml><?xml version="1.0" encoding="utf-8"?>
<sst xmlns="http://schemas.openxmlformats.org/spreadsheetml/2006/main" count="33" uniqueCount="27">
  <si>
    <t>Name</t>
  </si>
  <si>
    <t>Maths</t>
  </si>
  <si>
    <t>English</t>
  </si>
  <si>
    <t>Science</t>
  </si>
  <si>
    <t>EVS</t>
  </si>
  <si>
    <t>Shubham</t>
  </si>
  <si>
    <t>Mansi</t>
  </si>
  <si>
    <t>Shivani</t>
  </si>
  <si>
    <t>shubhankar</t>
  </si>
  <si>
    <t>Total for shubham</t>
  </si>
  <si>
    <t>Total for English</t>
  </si>
  <si>
    <t>Total for Mansi</t>
  </si>
  <si>
    <t>S.No</t>
  </si>
  <si>
    <t>Marks</t>
  </si>
  <si>
    <t>Sst.</t>
  </si>
  <si>
    <t>Ram</t>
  </si>
  <si>
    <t>Manish</t>
  </si>
  <si>
    <t>Komal</t>
  </si>
  <si>
    <t>Bunny</t>
  </si>
  <si>
    <t>Palsh</t>
  </si>
  <si>
    <t>JK</t>
  </si>
  <si>
    <t>Total By autosum</t>
  </si>
  <si>
    <t>Minimum Marks</t>
  </si>
  <si>
    <t>Maximum Marks</t>
  </si>
  <si>
    <t>Count Of Marks</t>
  </si>
  <si>
    <t>Average Marks</t>
  </si>
  <si>
    <t>option key or alt key + = key we get Auto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</si>
</sst>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charset val="1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" fontId="0" fillId="0" borderId="0" xfId="0" applyNumberFormat="1"/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A2" sqref="A2:A5"/>
    </sheetView>
  </sheetViews>
  <sheetFormatPr defaultRowHeight="15"/>
  <cols>
    <col min="1" max="1" width="11" bestFit="1" customWidth="1"/>
    <col min="3" max="3" width="11" customWidth="1"/>
    <col min="7" max="7" width="18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>
      <c r="A2" s="2" t="s">
        <v>5</v>
      </c>
      <c r="B2" s="2">
        <v>34</v>
      </c>
      <c r="C2" s="2">
        <v>98</v>
      </c>
      <c r="D2" s="2">
        <v>66</v>
      </c>
      <c r="E2" s="2">
        <v>56</v>
      </c>
      <c r="G2">
        <f>AVERAGE(4,8)</f>
        <v>6</v>
      </c>
    </row>
    <row r="3" spans="1:8">
      <c r="A3" s="2" t="s">
        <v>6</v>
      </c>
      <c r="B3" s="2">
        <v>73</v>
      </c>
      <c r="C3" s="2">
        <v>55</v>
      </c>
      <c r="D3" s="2">
        <v>56</v>
      </c>
      <c r="E3" s="2">
        <v>55</v>
      </c>
      <c r="F3" s="3">
        <v>45673</v>
      </c>
      <c r="G3" s="4">
        <f>DAY(F3)</f>
        <v>16</v>
      </c>
    </row>
    <row r="4" spans="1:8">
      <c r="A4" s="2" t="s">
        <v>7</v>
      </c>
      <c r="B4" s="2">
        <v>55</v>
      </c>
      <c r="C4" s="2">
        <v>45</v>
      </c>
      <c r="D4" s="2">
        <v>87</v>
      </c>
      <c r="E4" s="2">
        <v>65</v>
      </c>
    </row>
    <row r="5" spans="1:8">
      <c r="A5" s="2" t="s">
        <v>8</v>
      </c>
      <c r="B5" s="2">
        <v>58</v>
      </c>
      <c r="C5" s="2">
        <v>78</v>
      </c>
      <c r="D5" s="2">
        <v>56</v>
      </c>
      <c r="E5" s="2">
        <v>49</v>
      </c>
    </row>
    <row r="6" spans="1:8">
      <c r="B6">
        <f>SUM(B2:B5)</f>
        <v>220</v>
      </c>
    </row>
    <row r="7" spans="1:8">
      <c r="B7">
        <f>SUM(B2:B5,10)</f>
        <v>230</v>
      </c>
    </row>
    <row r="8" spans="1:8">
      <c r="G8" t="s">
        <v>9</v>
      </c>
      <c r="H8">
        <f>SUM(2:2)</f>
        <v>260</v>
      </c>
    </row>
    <row r="9" spans="1:8">
      <c r="G9" t="s">
        <v>10</v>
      </c>
      <c r="H9">
        <f>SUM(C2:C5)</f>
        <v>276</v>
      </c>
    </row>
    <row r="10" spans="1:8">
      <c r="G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8217-1612-4343-A32C-48885970E67D}">
  <dimension ref="A1:F18"/>
  <sheetViews>
    <sheetView tabSelected="1" workbookViewId="0">
      <selection activeCell="A11" sqref="A11"/>
    </sheetView>
  </sheetViews>
  <sheetFormatPr defaultRowHeight="15"/>
  <cols>
    <col min="2" max="2" width="21" customWidth="1"/>
    <col min="3" max="3" width="23.5703125" style="2" customWidth="1"/>
    <col min="4" max="4" width="11.5703125" customWidth="1"/>
  </cols>
  <sheetData>
    <row r="1" spans="1:6">
      <c r="A1" s="5" t="s">
        <v>12</v>
      </c>
      <c r="B1" s="5" t="s">
        <v>0</v>
      </c>
      <c r="C1" s="1" t="s">
        <v>13</v>
      </c>
      <c r="D1" s="5" t="s">
        <v>3</v>
      </c>
      <c r="E1" t="s">
        <v>14</v>
      </c>
    </row>
    <row r="2" spans="1:6">
      <c r="A2">
        <v>1</v>
      </c>
      <c r="B2" t="s">
        <v>15</v>
      </c>
      <c r="C2" s="2">
        <v>78</v>
      </c>
      <c r="D2" s="2">
        <v>34</v>
      </c>
      <c r="E2" s="2">
        <v>52</v>
      </c>
    </row>
    <row r="3" spans="1:6">
      <c r="A3">
        <v>2</v>
      </c>
      <c r="B3" s="2" t="s">
        <v>5</v>
      </c>
      <c r="C3" s="2">
        <v>34</v>
      </c>
      <c r="D3" s="2">
        <v>55</v>
      </c>
      <c r="E3" s="2">
        <v>78</v>
      </c>
    </row>
    <row r="4" spans="1:6">
      <c r="A4">
        <v>3</v>
      </c>
      <c r="B4" s="2" t="s">
        <v>6</v>
      </c>
      <c r="C4" s="2">
        <v>55</v>
      </c>
      <c r="D4" s="2">
        <v>65</v>
      </c>
      <c r="E4" s="2">
        <v>54</v>
      </c>
    </row>
    <row r="5" spans="1:6">
      <c r="A5">
        <v>4</v>
      </c>
      <c r="B5" s="2" t="s">
        <v>7</v>
      </c>
      <c r="C5" s="2">
        <v>65</v>
      </c>
      <c r="D5" s="2">
        <v>76</v>
      </c>
      <c r="E5" s="2">
        <v>34</v>
      </c>
    </row>
    <row r="6" spans="1:6">
      <c r="A6">
        <v>5</v>
      </c>
      <c r="B6" s="2" t="s">
        <v>8</v>
      </c>
      <c r="C6" s="2">
        <v>76</v>
      </c>
      <c r="D6" s="2">
        <v>34</v>
      </c>
      <c r="E6" s="2">
        <v>55</v>
      </c>
      <c r="F6" s="2">
        <f>MIN(C:C)</f>
        <v>10</v>
      </c>
    </row>
    <row r="7" spans="1:6">
      <c r="A7">
        <v>6</v>
      </c>
      <c r="B7" t="s">
        <v>16</v>
      </c>
      <c r="C7" s="2">
        <v>52</v>
      </c>
      <c r="D7" s="2">
        <v>55</v>
      </c>
      <c r="E7" s="2">
        <v>65</v>
      </c>
      <c r="F7" s="2">
        <f>MIN(5:5)</f>
        <v>4</v>
      </c>
    </row>
    <row r="8" spans="1:6">
      <c r="A8">
        <v>7</v>
      </c>
      <c r="B8" t="s">
        <v>17</v>
      </c>
      <c r="C8" s="2">
        <v>78</v>
      </c>
      <c r="D8" s="2">
        <v>65</v>
      </c>
      <c r="E8" s="2">
        <v>76</v>
      </c>
    </row>
    <row r="9" spans="1:6">
      <c r="A9">
        <v>8</v>
      </c>
      <c r="B9" t="s">
        <v>18</v>
      </c>
      <c r="C9" s="2">
        <v>54</v>
      </c>
      <c r="D9" s="2">
        <v>76</v>
      </c>
      <c r="E9" s="2">
        <v>22</v>
      </c>
      <c r="F9" s="2"/>
    </row>
    <row r="10" spans="1:6">
      <c r="A10">
        <v>9</v>
      </c>
      <c r="B10" t="s">
        <v>19</v>
      </c>
      <c r="C10" s="2">
        <v>67</v>
      </c>
      <c r="D10" s="2">
        <v>32</v>
      </c>
      <c r="E10" s="2">
        <v>56</v>
      </c>
      <c r="F10" s="2"/>
    </row>
    <row r="11" spans="1:6">
      <c r="A11">
        <v>10</v>
      </c>
      <c r="B11" t="s">
        <v>20</v>
      </c>
      <c r="C11" s="2">
        <v>86</v>
      </c>
      <c r="D11" s="2">
        <v>90</v>
      </c>
      <c r="E11" s="2">
        <v>98</v>
      </c>
      <c r="F11" s="2"/>
    </row>
    <row r="12" spans="1:6">
      <c r="B12" s="5" t="s">
        <v>21</v>
      </c>
      <c r="C12" s="2">
        <f>SUM(C2:C11)</f>
        <v>645</v>
      </c>
      <c r="D12" s="2">
        <f>SUM(D2:D11)</f>
        <v>582</v>
      </c>
      <c r="E12" s="2">
        <f>SUM(E2:E11)</f>
        <v>590</v>
      </c>
    </row>
    <row r="13" spans="1:6">
      <c r="B13" s="6" t="s">
        <v>22</v>
      </c>
      <c r="C13" s="2">
        <f>MIN(C2:C11)</f>
        <v>34</v>
      </c>
      <c r="D13" s="2">
        <f>MIN(D2:D11)</f>
        <v>32</v>
      </c>
      <c r="E13" s="2">
        <f>MIN(E2:E11)</f>
        <v>22</v>
      </c>
    </row>
    <row r="14" spans="1:6">
      <c r="B14" s="7" t="s">
        <v>23</v>
      </c>
      <c r="C14" s="2">
        <f>MAX(C2:C11)</f>
        <v>86</v>
      </c>
      <c r="D14" s="2">
        <f>MAX(D2:D11)</f>
        <v>90</v>
      </c>
      <c r="E14" s="2">
        <f>MAX(E2:E11)</f>
        <v>98</v>
      </c>
    </row>
    <row r="15" spans="1:6">
      <c r="B15" s="6" t="s">
        <v>24</v>
      </c>
      <c r="C15" s="2">
        <f>COUNT(C2:C11)</f>
        <v>10</v>
      </c>
      <c r="D15" s="2">
        <f t="shared" ref="D15:E15" si="0">COUNT(D2:D11)</f>
        <v>10</v>
      </c>
      <c r="E15" s="2">
        <f t="shared" si="0"/>
        <v>10</v>
      </c>
    </row>
    <row r="16" spans="1:6">
      <c r="B16" s="5" t="s">
        <v>25</v>
      </c>
      <c r="C16" s="2">
        <f>AVERAGE(C2:C11)</f>
        <v>64.5</v>
      </c>
      <c r="D16" s="2">
        <f t="shared" ref="D16:E16" si="1">AVERAGE(D2:D11)</f>
        <v>58.2</v>
      </c>
      <c r="E16" s="2">
        <f t="shared" si="1"/>
        <v>59</v>
      </c>
    </row>
    <row r="18" spans="3:3" ht="29.25">
      <c r="C18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2025-12-28T11:29:26Z</dcterms:created>
  <dcterms:modified xsi:type="dcterms:W3CDTF">2025-12-29T01:23:53Z</dcterms:modified>
  <cp:category/>
  <cp:contentStatus/>
</cp:coreProperties>
</file>