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ogin Issues- VLOOKUP" sheetId="2" r:id="rId6"/>
    <sheet state="visible" name="region has highest number of lo" sheetId="3" r:id="rId7"/>
    <sheet state="visible" name="Average Total Points" sheetId="4" r:id="rId8"/>
    <sheet state="visible" name="Which region has the lowest use" sheetId="5" r:id="rId9"/>
    <sheet state="visible" name="Highest Average Streak Count" sheetId="6" r:id="rId10"/>
    <sheet state="visible" name="degree category made the lowest" sheetId="7" r:id="rId11"/>
    <sheet state="visible" name="Detail1-Diploma" sheetId="8" r:id="rId12"/>
  </sheets>
  <definedNames/>
  <calcPr/>
  <pivotCaches>
    <pivotCache cacheId="0" r:id="rId13"/>
    <pivotCache cacheId="1" r:id="rId14"/>
    <pivotCache cacheId="2" r:id="rId15"/>
    <pivotCache cacheId="3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Mr. or Ms.
Depending on Male or Female
Fill on your own. If unclear, attend class or watch the video</t>
      </text>
    </comment>
    <comment authorId="0" ref="E2">
      <text>
        <t xml:space="preserve">Salutation + Name
Fill on your own. If unclear, attend class or watch the video</t>
      </text>
    </comment>
    <comment authorId="0" ref="F2">
      <text>
        <t xml:space="preserve">Fill on your own. If unclear, attend class or watch the video</t>
      </text>
    </comment>
    <comment authorId="0" ref="G2">
      <text>
        <t xml:space="preserve">Fill on your own. If unclear, attend class or watch the video</t>
      </text>
    </comment>
    <comment authorId="0" ref="J2">
      <text>
        <t xml:space="preserve">North and South Region -- Rs. 10,000
East and West Region -- Rs. 5,000
Fill on your own. If unclear, attend class or watch the video
</t>
      </text>
    </comment>
    <comment authorId="0" ref="D3">
      <text>
        <t xml:space="preserve">Mr. or Ms.
Depending on Male or Female
Fill on your own. If unclear, attend class or watch the video</t>
      </text>
    </comment>
    <comment authorId="0" ref="E3">
      <text>
        <t xml:space="preserve">Salutation + Name
Fill on your own. If unclear, attend class or watch the video</t>
      </text>
    </comment>
    <comment authorId="0" ref="G3">
      <text>
        <t xml:space="preserve">Fill on your own. If unclear, attend class or watch the video</t>
      </text>
    </comment>
    <comment authorId="0" ref="J3">
      <text>
        <t xml:space="preserve">North and South Region -- Rs. 10,000
East and West Region -- Rs. 5,000
Fill on your own. If unclear, attend class or watch the video
</t>
      </text>
    </comment>
    <comment authorId="0" ref="D4">
      <text>
        <t xml:space="preserve">Mr. or Ms.
Depending on Male or Female
Fill on your own. If unclear, attend class or watch the video</t>
      </text>
    </comment>
    <comment authorId="0" ref="E4">
      <text>
        <t xml:space="preserve">Salutation + Name
Fill on your own. If unclear, attend class or watch the video</t>
      </text>
    </comment>
    <comment authorId="0" ref="G4">
      <text>
        <t xml:space="preserve">Fill on your own. If unclear, attend class or watch the video</t>
      </text>
    </comment>
    <comment authorId="0" ref="J4">
      <text>
        <t xml:space="preserve">North and South Region -- Rs. 10,000
East and West Region -- Rs. 5,000
Fill on your own. If unclear, attend class or watch the video
</t>
      </text>
    </comment>
    <comment authorId="0" ref="D5">
      <text>
        <t xml:space="preserve">Mr. or Ms.
Depending on Male or Female
Fill on your own. If unclear, attend class or watch the video</t>
      </text>
    </comment>
    <comment authorId="0" ref="E5">
      <text>
        <t xml:space="preserve">Salutation + Name
Fill on your own. If unclear, attend class or watch the video</t>
      </text>
    </comment>
    <comment authorId="0" ref="G5">
      <text>
        <t xml:space="preserve">Fill on your own. If unclear, attend class or watch the video</t>
      </text>
    </comment>
    <comment authorId="0" ref="J5">
      <text>
        <t xml:space="preserve">North and South Region -- Rs. 10,000
East and West Region -- Rs. 5,000
Fill on your own. If unclear, attend class or watch the video
</t>
      </text>
    </comment>
    <comment authorId="0" ref="D6">
      <text>
        <t xml:space="preserve">Mr. or Ms.
Depending on Male or Female
Fill on your own. If unclear, attend class or watch the video</t>
      </text>
    </comment>
    <comment authorId="0" ref="E6">
      <text>
        <t xml:space="preserve">Salutation + Name
Fill on your own. If unclear, attend class or watch the video</t>
      </text>
    </comment>
    <comment authorId="0" ref="G6">
      <text>
        <t xml:space="preserve">Fill on your own. If unclear, attend class or watch the video</t>
      </text>
    </comment>
    <comment authorId="0" ref="J6">
      <text>
        <t xml:space="preserve">North and South Region -- Rs. 10,000
East and West Region -- Rs. 5,000
Fill on your own. If unclear, attend class or watch the video
</t>
      </text>
    </comment>
    <comment authorId="0" ref="D7">
      <text>
        <t xml:space="preserve">Mr. or Ms.
Depending on Male or Female
Fill on your own. If unclear, attend class or watch the video</t>
      </text>
    </comment>
    <comment authorId="0" ref="E7">
      <text>
        <t xml:space="preserve">Salutation + Name
Fill on your own. If unclear, attend class or watch the video</t>
      </text>
    </comment>
    <comment authorId="0" ref="G7">
      <text>
        <t xml:space="preserve">Fill on your own. If unclear, attend class or watch the video</t>
      </text>
    </comment>
    <comment authorId="0" ref="J7">
      <text>
        <t xml:space="preserve">North and South Region -- Rs. 10,000
East and West Region -- Rs. 5,000
Fill on your own. If unclear, attend class or watch the video
</t>
      </text>
    </comment>
    <comment authorId="0" ref="D8">
      <text>
        <t xml:space="preserve">Mr. or Ms.
Depending on Male or Female
Fill on your own. If unclear, attend class or watch the video</t>
      </text>
    </comment>
    <comment authorId="0" ref="E8">
      <text>
        <t xml:space="preserve">Salutation + Name
Fill on your own. If unclear, attend class or watch the video</t>
      </text>
    </comment>
    <comment authorId="0" ref="G8">
      <text>
        <t xml:space="preserve">Fill on your own. If unclear, attend class or watch the video</t>
      </text>
    </comment>
    <comment authorId="0" ref="J8">
      <text>
        <t xml:space="preserve">North and South Region -- Rs. 10,000
East and West Region -- Rs. 5,000
Fill on your own. If unclear, attend class or watch the video
</t>
      </text>
    </comment>
    <comment authorId="0" ref="D9">
      <text>
        <t xml:space="preserve">Mr. or Ms.
Depending on Male or Female
Fill on your own. If unclear, attend class or watch the video</t>
      </text>
    </comment>
    <comment authorId="0" ref="E9">
      <text>
        <t xml:space="preserve">Salutation + Name
Fill on your own. If unclear, attend class or watch the video</t>
      </text>
    </comment>
    <comment authorId="0" ref="G9">
      <text>
        <t xml:space="preserve">Fill on your own. If unclear, attend class or watch the video</t>
      </text>
    </comment>
    <comment authorId="0" ref="J9">
      <text>
        <t xml:space="preserve">North and South Region -- Rs. 10,000
East and West Region -- Rs. 5,000
Fill on your own. If unclear, attend class or watch the video
</t>
      </text>
    </comment>
    <comment authorId="0" ref="D10">
      <text>
        <t xml:space="preserve">Mr. or Ms.
Depending on Male or Female
Fill on your own. If unclear, attend class or watch the video</t>
      </text>
    </comment>
    <comment authorId="0" ref="E10">
      <text>
        <t xml:space="preserve">Salutation + Name
Fill on your own. If unclear, attend class or watch the video</t>
      </text>
    </comment>
    <comment authorId="0" ref="G10">
      <text>
        <t xml:space="preserve">Fill on your own. If unclear, attend class or watch the video</t>
      </text>
    </comment>
    <comment authorId="0" ref="J10">
      <text>
        <t xml:space="preserve">North and South Region -- Rs. 10,000
East and West Region -- Rs. 5,000
Fill on your own. If unclear, attend class or watch the video
</t>
      </text>
    </comment>
    <comment authorId="0" ref="D11">
      <text>
        <t xml:space="preserve">Mr. or Ms.
Depending on Male or Female
Fill on your own. If unclear, attend class or watch the video</t>
      </text>
    </comment>
    <comment authorId="0" ref="E11">
      <text>
        <t xml:space="preserve">Salutation + Name
Fill on your own. If unclear, attend class or watch the video</t>
      </text>
    </comment>
    <comment authorId="0" ref="G11">
      <text>
        <t xml:space="preserve">Fill on your own. If unclear, attend class or watch the video</t>
      </text>
    </comment>
    <comment authorId="0" ref="J11">
      <text>
        <t xml:space="preserve">North and South Region -- Rs. 10,000
East and West Region -- Rs. 5,000
Fill on your own. If unclear, attend class or watch the video
</t>
      </text>
    </comment>
    <comment authorId="0" ref="D12">
      <text>
        <t xml:space="preserve">Mr. or Ms.
Depending on Male or Female
Fill on your own. If unclear, attend class or watch the video</t>
      </text>
    </comment>
    <comment authorId="0" ref="E12">
      <text>
        <t xml:space="preserve">Salutation + Name
Fill on your own. If unclear, attend class or watch the video</t>
      </text>
    </comment>
    <comment authorId="0" ref="G12">
      <text>
        <t xml:space="preserve">Fill on your own. If unclear, attend class or watch the video</t>
      </text>
    </comment>
    <comment authorId="0" ref="J12">
      <text>
        <t xml:space="preserve">North and South Region -- Rs. 10,000
East and West Region -- Rs. 5,000
Fill on your own. If unclear, attend class or watch the video
</t>
      </text>
    </comment>
    <comment authorId="0" ref="D13">
      <text>
        <t xml:space="preserve">Mr. or Ms.
Depending on Male or Female
Fill on your own. If unclear, attend class or watch the video</t>
      </text>
    </comment>
    <comment authorId="0" ref="E13">
      <text>
        <t xml:space="preserve">Salutation + Name
Fill on your own. If unclear, attend class or watch the video</t>
      </text>
    </comment>
    <comment authorId="0" ref="G13">
      <text>
        <t xml:space="preserve">Fill on your own. If unclear, attend class or watch the video</t>
      </text>
    </comment>
    <comment authorId="0" ref="J13">
      <text>
        <t xml:space="preserve">North and South Region -- Rs. 10,000
East and West Region -- Rs. 5,000
Fill on your own. If unclear, attend class or watch the video
</t>
      </text>
    </comment>
    <comment authorId="0" ref="D14">
      <text>
        <t xml:space="preserve">Mr. or Ms.
Depending on Male or Female
Fill on your own. If unclear, attend class or watch the video</t>
      </text>
    </comment>
    <comment authorId="0" ref="E14">
      <text>
        <t xml:space="preserve">Salutation + Name
Fill on your own. If unclear, attend class or watch the video</t>
      </text>
    </comment>
    <comment authorId="0" ref="G14">
      <text>
        <t xml:space="preserve">Fill on your own. If unclear, attend class or watch the video</t>
      </text>
    </comment>
    <comment authorId="0" ref="J14">
      <text>
        <t xml:space="preserve">North and South Region -- Rs. 10,000
East and West Region -- Rs. 5,000
Fill on your own. If unclear, attend class or watch the video
</t>
      </text>
    </comment>
    <comment authorId="0" ref="D15">
      <text>
        <t xml:space="preserve">Mr. or Ms.
Depending on Male or Female
Fill on your own. If unclear, attend class or watch the video</t>
      </text>
    </comment>
    <comment authorId="0" ref="E15">
      <text>
        <t xml:space="preserve">Salutation + Name
Fill on your own. If unclear, attend class or watch the video</t>
      </text>
    </comment>
    <comment authorId="0" ref="G15">
      <text>
        <t xml:space="preserve">Fill on your own. If unclear, attend class or watch the video</t>
      </text>
    </comment>
    <comment authorId="0" ref="J15">
      <text>
        <t xml:space="preserve">North and South Region -- Rs. 10,000
East and West Region -- Rs. 5,000
Fill on your own. If unclear, attend class or watch the video
</t>
      </text>
    </comment>
    <comment authorId="0" ref="D16">
      <text>
        <t xml:space="preserve">Mr. or Ms.
Depending on Male or Female
Fill on your own. If unclear, attend class or watch the video</t>
      </text>
    </comment>
    <comment authorId="0" ref="E16">
      <text>
        <t xml:space="preserve">Salutation + Name
Fill on your own. If unclear, attend class or watch the video</t>
      </text>
    </comment>
    <comment authorId="0" ref="G16">
      <text>
        <t xml:space="preserve">Fill on your own. If unclear, attend class or watch the video</t>
      </text>
    </comment>
    <comment authorId="0" ref="J16">
      <text>
        <t xml:space="preserve">North and South Region -- Rs. 10,000
East and West Region -- Rs. 5,000
Fill on your own. If unclear, attend class or watch the video
</t>
      </text>
    </comment>
    <comment authorId="0" ref="D17">
      <text>
        <t xml:space="preserve">Mr. or Ms.
Depending on Male or Female
Fill on your own. If unclear, attend class or watch the video</t>
      </text>
    </comment>
    <comment authorId="0" ref="E17">
      <text>
        <t xml:space="preserve">Salutation + Name
Fill on your own. If unclear, attend class or watch the video</t>
      </text>
    </comment>
    <comment authorId="0" ref="G17">
      <text>
        <t xml:space="preserve">Fill on your own. If unclear, attend class or watch the video</t>
      </text>
    </comment>
    <comment authorId="0" ref="J17">
      <text>
        <t xml:space="preserve">North and South Region -- Rs. 10,000
East and West Region -- Rs. 5,000
Fill on your own. If unclear, attend class or watch the video
</t>
      </text>
    </comment>
    <comment authorId="0" ref="D18">
      <text>
        <t xml:space="preserve">Mr. or Ms.
Depending on Male or Female
Fill on your own. If unclear, attend class or watch the video</t>
      </text>
    </comment>
    <comment authorId="0" ref="E18">
      <text>
        <t xml:space="preserve">Salutation + Name
Fill on your own. If unclear, attend class or watch the video</t>
      </text>
    </comment>
    <comment authorId="0" ref="G18">
      <text>
        <t xml:space="preserve">Fill on your own. If unclear, attend class or watch the video</t>
      </text>
    </comment>
    <comment authorId="0" ref="J18">
      <text>
        <t xml:space="preserve">North and South Region -- Rs. 10,000
East and West Region -- Rs. 5,000
Fill on your own. If unclear, attend class or watch the video
</t>
      </text>
    </comment>
    <comment authorId="0" ref="D19">
      <text>
        <t xml:space="preserve">Mr. or Ms.
Depending on Male or Female
Fill on your own. If unclear, attend class or watch the video</t>
      </text>
    </comment>
    <comment authorId="0" ref="E19">
      <text>
        <t xml:space="preserve">Salutation + Name
Fill on your own. If unclear, attend class or watch the video</t>
      </text>
    </comment>
    <comment authorId="0" ref="G19">
      <text>
        <t xml:space="preserve">Fill on your own. If unclear, attend class or watch the video</t>
      </text>
    </comment>
    <comment authorId="0" ref="J19">
      <text>
        <t xml:space="preserve">North and South Region -- Rs. 10,000
East and West Region -- Rs. 5,000
Fill on your own. If unclear, attend class or watch the video
</t>
      </text>
    </comment>
    <comment authorId="0" ref="D20">
      <text>
        <t xml:space="preserve">Mr. or Ms.
Depending on Male or Female
Fill on your own. If unclear, attend class or watch the video</t>
      </text>
    </comment>
    <comment authorId="0" ref="E20">
      <text>
        <t xml:space="preserve">Salutation + Name
Fill on your own. If unclear, attend class or watch the video</t>
      </text>
    </comment>
    <comment authorId="0" ref="G20">
      <text>
        <t xml:space="preserve">Fill on your own. If unclear, attend class or watch the video</t>
      </text>
    </comment>
    <comment authorId="0" ref="J20">
      <text>
        <t xml:space="preserve">North and South Region -- Rs. 10,000
East and West Region -- Rs. 5,000
Fill on your own. If unclear, attend class or watch the video
</t>
      </text>
    </comment>
    <comment authorId="0" ref="D21">
      <text>
        <t xml:space="preserve">Mr. or Ms.
Depending on Male or Female
Fill on your own. If unclear, attend class or watch the video</t>
      </text>
    </comment>
    <comment authorId="0" ref="E21">
      <text>
        <t xml:space="preserve">Salutation + Name
Fill on your own. If unclear, attend class or watch the video</t>
      </text>
    </comment>
    <comment authorId="0" ref="G21">
      <text>
        <t xml:space="preserve">Fill on your own. If unclear, attend class or watch the video</t>
      </text>
    </comment>
    <comment authorId="0" ref="J21">
      <text>
        <t xml:space="preserve">North and South Region -- Rs. 10,000
East and West Region -- Rs. 5,000
Fill on your own. If unclear, attend class or watch the video
</t>
      </text>
    </comment>
    <comment authorId="0" ref="D22">
      <text>
        <t xml:space="preserve">Mr. or Ms.
Depending on Male or Female
Fill on your own. If unclear, attend class or watch the video</t>
      </text>
    </comment>
    <comment authorId="0" ref="E22">
      <text>
        <t xml:space="preserve">Salutation + Name
Fill on your own. If unclear, attend class or watch the video</t>
      </text>
    </comment>
    <comment authorId="0" ref="G22">
      <text>
        <t xml:space="preserve">Fill on your own. If unclear, attend class or watch the video</t>
      </text>
    </comment>
    <comment authorId="0" ref="J22">
      <text>
        <t xml:space="preserve">North and South Region -- Rs. 10,000
East and West Region -- Rs. 5,000
Fill on your own. If unclear, attend class or watch the video
</t>
      </text>
    </comment>
    <comment authorId="0" ref="D23">
      <text>
        <t xml:space="preserve">Mr. or Ms.
Depending on Male or Female
Fill on your own. If unclear, attend class or watch the video</t>
      </text>
    </comment>
    <comment authorId="0" ref="E23">
      <text>
        <t xml:space="preserve">Salutation + Name
Fill on your own. If unclear, attend class or watch the video</t>
      </text>
    </comment>
    <comment authorId="0" ref="G23">
      <text>
        <t xml:space="preserve">Fill on your own. If unclear, attend class or watch the video</t>
      </text>
    </comment>
    <comment authorId="0" ref="J23">
      <text>
        <t xml:space="preserve">North and South Region -- Rs. 10,000
East and West Region -- Rs. 5,000
Fill on your own. If unclear, attend class or watch the video
</t>
      </text>
    </comment>
    <comment authorId="0" ref="D24">
      <text>
        <t xml:space="preserve">Mr. or Ms.
Depending on Male or Female
Fill on your own. If unclear, attend class or watch the video</t>
      </text>
    </comment>
    <comment authorId="0" ref="E24">
      <text>
        <t xml:space="preserve">Salutation + Name
Fill on your own. If unclear, attend class or watch the video</t>
      </text>
    </comment>
    <comment authorId="0" ref="G24">
      <text>
        <t xml:space="preserve">Fill on your own. If unclear, attend class or watch the video</t>
      </text>
    </comment>
    <comment authorId="0" ref="J24">
      <text>
        <t xml:space="preserve">North and South Region -- Rs. 10,000
East and West Region -- Rs. 5,000
Fill on your own. If unclear, attend class or watch the video
</t>
      </text>
    </comment>
    <comment authorId="0" ref="D25">
      <text>
        <t xml:space="preserve">Mr. or Ms.
Depending on Male or Female
Fill on your own. If unclear, attend class or watch the video</t>
      </text>
    </comment>
    <comment authorId="0" ref="E25">
      <text>
        <t xml:space="preserve">Salutation + Name
Fill on your own. If unclear, attend class or watch the video</t>
      </text>
    </comment>
    <comment authorId="0" ref="G25">
      <text>
        <t xml:space="preserve">Fill on your own. If unclear, attend class or watch the video</t>
      </text>
    </comment>
    <comment authorId="0" ref="J25">
      <text>
        <t xml:space="preserve">North and South Region -- Rs. 10,000
East and West Region -- Rs. 5,000
Fill on your own. If unclear, attend class or watch the video
</t>
      </text>
    </comment>
    <comment authorId="0" ref="D26">
      <text>
        <t xml:space="preserve">Mr. or Ms.
Depending on Male or Female
Fill on your own. If unclear, attend class or watch the video</t>
      </text>
    </comment>
    <comment authorId="0" ref="E26">
      <text>
        <t xml:space="preserve">Salutation + Name
Fill on your own. If unclear, attend class or watch the video</t>
      </text>
    </comment>
    <comment authorId="0" ref="G26">
      <text>
        <t xml:space="preserve">Fill on your own. If unclear, attend class or watch the video</t>
      </text>
    </comment>
    <comment authorId="0" ref="J26">
      <text>
        <t xml:space="preserve">North and South Region -- Rs. 10,000
East and West Region -- Rs. 5,000
Fill on your own. If unclear, attend class or watch the video
</t>
      </text>
    </comment>
    <comment authorId="0" ref="D27">
      <text>
        <t xml:space="preserve">Mr. or Ms.
Depending on Male or Female
Fill on your own. If unclear, attend class or watch the video</t>
      </text>
    </comment>
    <comment authorId="0" ref="E27">
      <text>
        <t xml:space="preserve">Salutation + Name
Fill on your own. If unclear, attend class or watch the video</t>
      </text>
    </comment>
    <comment authorId="0" ref="G27">
      <text>
        <t xml:space="preserve">Fill on your own. If unclear, attend class or watch the video</t>
      </text>
    </comment>
    <comment authorId="0" ref="J27">
      <text>
        <t xml:space="preserve">North and South Region -- Rs. 10,000
East and West Region -- Rs. 5,000
Fill on your own. If unclear, attend class or watch the video
</t>
      </text>
    </comment>
    <comment authorId="0" ref="D28">
      <text>
        <t xml:space="preserve">Mr. or Ms.
Depending on Male or Female
Fill on your own. If unclear, attend class or watch the video</t>
      </text>
    </comment>
    <comment authorId="0" ref="E28">
      <text>
        <t xml:space="preserve">Salutation + Name
Fill on your own. If unclear, attend class or watch the video</t>
      </text>
    </comment>
    <comment authorId="0" ref="G28">
      <text>
        <t xml:space="preserve">Fill on your own. If unclear, attend class or watch the video</t>
      </text>
    </comment>
    <comment authorId="0" ref="J28">
      <text>
        <t xml:space="preserve">North and South Region -- Rs. 10,000
East and West Region -- Rs. 5,000
Fill on your own. If unclear, attend class or watch the video
</t>
      </text>
    </comment>
    <comment authorId="0" ref="D29">
      <text>
        <t xml:space="preserve">Mr. or Ms.
Depending on Male or Female
Fill on your own. If unclear, attend class or watch the video</t>
      </text>
    </comment>
    <comment authorId="0" ref="E29">
      <text>
        <t xml:space="preserve">Salutation + Name
Fill on your own. If unclear, attend class or watch the video</t>
      </text>
    </comment>
    <comment authorId="0" ref="G29">
      <text>
        <t xml:space="preserve">Fill on your own. If unclear, attend class or watch the video</t>
      </text>
    </comment>
    <comment authorId="0" ref="J29">
      <text>
        <t xml:space="preserve">North and South Region -- Rs. 10,000
East and West Region -- Rs. 5,000
Fill on your own. If unclear, attend class or watch the video
</t>
      </text>
    </comment>
    <comment authorId="0" ref="D30">
      <text>
        <t xml:space="preserve">Mr. or Ms.
Depending on Male or Female
Fill on your own. If unclear, attend class or watch the video</t>
      </text>
    </comment>
    <comment authorId="0" ref="E30">
      <text>
        <t xml:space="preserve">Salutation + Name
Fill on your own. If unclear, attend class or watch the video</t>
      </text>
    </comment>
    <comment authorId="0" ref="G30">
      <text>
        <t xml:space="preserve">Fill on your own. If unclear, attend class or watch the video</t>
      </text>
    </comment>
    <comment authorId="0" ref="J30">
      <text>
        <t xml:space="preserve">North and South Region -- Rs. 10,000
East and West Region -- Rs. 5,000
Fill on your own. If unclear, attend class or watch the video
</t>
      </text>
    </comment>
    <comment authorId="0" ref="D31">
      <text>
        <t xml:space="preserve">Mr. or Ms.
Depending on Male or Female
Fill on your own. If unclear, attend class or watch the video</t>
      </text>
    </comment>
    <comment authorId="0" ref="E31">
      <text>
        <t xml:space="preserve">Salutation + Name
Fill on your own. If unclear, attend class or watch the video</t>
      </text>
    </comment>
    <comment authorId="0" ref="G31">
      <text>
        <t xml:space="preserve">Fill on your own. If unclear, attend class or watch the video</t>
      </text>
    </comment>
    <comment authorId="0" ref="J31">
      <text>
        <t xml:space="preserve">North and South Region -- Rs. 10,000
East and West Region -- Rs. 5,000
Fill on your own. If unclear, attend class or watch the video
</t>
      </text>
    </comment>
    <comment authorId="0" ref="D32">
      <text>
        <t xml:space="preserve">Mr. or Ms.
Depending on Male or Female
Fill on your own. If unclear, attend class or watch the video</t>
      </text>
    </comment>
    <comment authorId="0" ref="E32">
      <text>
        <t xml:space="preserve">Salutation + Name
Fill on your own. If unclear, attend class or watch the video</t>
      </text>
    </comment>
    <comment authorId="0" ref="G32">
      <text>
        <t xml:space="preserve">Fill on your own. If unclear, attend class or watch the video</t>
      </text>
    </comment>
    <comment authorId="0" ref="J32">
      <text>
        <t xml:space="preserve">North and South Region -- Rs. 10,000
East and West Region -- Rs. 5,000
Fill on your own. If unclear, attend class or watch the video
</t>
      </text>
    </comment>
    <comment authorId="0" ref="D33">
      <text>
        <t xml:space="preserve">Mr. or Ms.
Depending on Male or Female
Fill on your own. If unclear, attend class or watch the video</t>
      </text>
    </comment>
    <comment authorId="0" ref="E33">
      <text>
        <t xml:space="preserve">Salutation + Name
Fill on your own. If unclear, attend class or watch the video</t>
      </text>
    </comment>
    <comment authorId="0" ref="G33">
      <text>
        <t xml:space="preserve">Fill on your own. If unclear, attend class or watch the video</t>
      </text>
    </comment>
    <comment authorId="0" ref="J33">
      <text>
        <t xml:space="preserve">North and South Region -- Rs. 10,000
East and West Region -- Rs. 5,000
Fill on your own. If unclear, attend class or watch the video
</t>
      </text>
    </comment>
    <comment authorId="0" ref="D34">
      <text>
        <t xml:space="preserve">Mr. or Ms.
Depending on Male or Female
Fill on your own. If unclear, attend class or watch the video</t>
      </text>
    </comment>
    <comment authorId="0" ref="E34">
      <text>
        <t xml:space="preserve">Salutation + Name
Fill on your own. If unclear, attend class or watch the video</t>
      </text>
    </comment>
    <comment authorId="0" ref="G34">
      <text>
        <t xml:space="preserve">Fill on your own. If unclear, attend class or watch the video</t>
      </text>
    </comment>
    <comment authorId="0" ref="J34">
      <text>
        <t xml:space="preserve">North and South Region -- Rs. 10,000
East and West Region -- Rs. 5,000
Fill on your own. If unclear, attend class or watch the video
</t>
      </text>
    </comment>
    <comment authorId="0" ref="D35">
      <text>
        <t xml:space="preserve">Mr. or Ms.
Depending on Male or Female
Fill on your own. If unclear, attend class or watch the video</t>
      </text>
    </comment>
    <comment authorId="0" ref="E35">
      <text>
        <t xml:space="preserve">Salutation + Name
Fill on your own. If unclear, attend class or watch the video</t>
      </text>
    </comment>
    <comment authorId="0" ref="G35">
      <text>
        <t xml:space="preserve">Fill on your own. If unclear, attend class or watch the video</t>
      </text>
    </comment>
    <comment authorId="0" ref="J35">
      <text>
        <t xml:space="preserve">North and South Region -- Rs. 10,000
East and West Region -- Rs. 5,000
Fill on your own. If unclear, attend class or watch the video
</t>
      </text>
    </comment>
    <comment authorId="0" ref="D36">
      <text>
        <t xml:space="preserve">Mr. or Ms.
Depending on Male or Female
Fill on your own. If unclear, attend class or watch the video</t>
      </text>
    </comment>
    <comment authorId="0" ref="E36">
      <text>
        <t xml:space="preserve">Salutation + Name
Fill on your own. If unclear, attend class or watch the video</t>
      </text>
    </comment>
    <comment authorId="0" ref="G36">
      <text>
        <t xml:space="preserve">Fill on your own. If unclear, attend class or watch the video</t>
      </text>
    </comment>
    <comment authorId="0" ref="J36">
      <text>
        <t xml:space="preserve">North and South Region -- Rs. 10,000
East and West Region -- Rs. 5,000
Fill on your own. If unclear, attend class or watch the video
</t>
      </text>
    </comment>
    <comment authorId="0" ref="D37">
      <text>
        <t xml:space="preserve">Mr. or Ms.
Depending on Male or Female
Fill on your own. If unclear, attend class or watch the video</t>
      </text>
    </comment>
    <comment authorId="0" ref="E37">
      <text>
        <t xml:space="preserve">Salutation + Name
Fill on your own. If unclear, attend class or watch the video</t>
      </text>
    </comment>
    <comment authorId="0" ref="G37">
      <text>
        <t xml:space="preserve">Fill on your own. If unclear, attend class or watch the video</t>
      </text>
    </comment>
    <comment authorId="0" ref="J37">
      <text>
        <t xml:space="preserve">North and South Region -- Rs. 10,000
East and West Region -- Rs. 5,000
Fill on your own. If unclear, attend class or watch the video
</t>
      </text>
    </comment>
    <comment authorId="0" ref="D38">
      <text>
        <t xml:space="preserve">Mr. or Ms.
Depending on Male or Female
Fill on your own. If unclear, attend class or watch the video</t>
      </text>
    </comment>
    <comment authorId="0" ref="E38">
      <text>
        <t xml:space="preserve">Salutation + Name
Fill on your own. If unclear, attend class or watch the video</t>
      </text>
    </comment>
    <comment authorId="0" ref="G38">
      <text>
        <t xml:space="preserve">Fill on your own. If unclear, attend class or watch the video</t>
      </text>
    </comment>
    <comment authorId="0" ref="J38">
      <text>
        <t xml:space="preserve">North and South Region -- Rs. 10,000
East and West Region -- Rs. 5,000
Fill on your own. If unclear, attend class or watch the video
</t>
      </text>
    </comment>
    <comment authorId="0" ref="D39">
      <text>
        <t xml:space="preserve">Mr. or Ms.
Depending on Male or Female
Fill on your own. If unclear, attend class or watch the video</t>
      </text>
    </comment>
    <comment authorId="0" ref="E39">
      <text>
        <t xml:space="preserve">Salutation + Name
Fill on your own. If unclear, attend class or watch the video</t>
      </text>
    </comment>
    <comment authorId="0" ref="G39">
      <text>
        <t xml:space="preserve">Fill on your own. If unclear, attend class or watch the video</t>
      </text>
    </comment>
    <comment authorId="0" ref="J39">
      <text>
        <t xml:space="preserve">North and South Region -- Rs. 10,000
East and West Region -- Rs. 5,000
Fill on your own. If unclear, attend class or watch the video
</t>
      </text>
    </comment>
    <comment authorId="0" ref="D40">
      <text>
        <t xml:space="preserve">Mr. or Ms.
Depending on Male or Female
Fill on your own. If unclear, attend class or watch the video</t>
      </text>
    </comment>
    <comment authorId="0" ref="E40">
      <text>
        <t xml:space="preserve">Salutation + Name
Fill on your own. If unclear, attend class or watch the video</t>
      </text>
    </comment>
    <comment authorId="0" ref="G40">
      <text>
        <t xml:space="preserve">Fill on your own. If unclear, attend class or watch the video</t>
      </text>
    </comment>
    <comment authorId="0" ref="J40">
      <text>
        <t xml:space="preserve">North and South Region -- Rs. 10,000
East and West Region -- Rs. 5,000
Fill on your own. If unclear, attend class or watch the video
</t>
      </text>
    </comment>
    <comment authorId="0" ref="D41">
      <text>
        <t xml:space="preserve">Mr. or Ms.
Depending on Male or Female
Fill on your own. If unclear, attend class or watch the video</t>
      </text>
    </comment>
    <comment authorId="0" ref="E41">
      <text>
        <t xml:space="preserve">Salutation + Name
Fill on your own. If unclear, attend class or watch the video</t>
      </text>
    </comment>
    <comment authorId="0" ref="G41">
      <text>
        <t xml:space="preserve">Fill on your own. If unclear, attend class or watch the video</t>
      </text>
    </comment>
    <comment authorId="0" ref="J41">
      <text>
        <t xml:space="preserve">North and South Region -- Rs. 10,000
East and West Region -- Rs. 5,000
Fill on your own. If unclear, attend class or watch the video
</t>
      </text>
    </comment>
    <comment authorId="0" ref="D42">
      <text>
        <t xml:space="preserve">Mr. or Ms.
Depending on Male or Female
Fill on your own. If unclear, attend class or watch the video</t>
      </text>
    </comment>
    <comment authorId="0" ref="E42">
      <text>
        <t xml:space="preserve">Salutation + Name
Fill on your own. If unclear, attend class or watch the video</t>
      </text>
    </comment>
    <comment authorId="0" ref="G42">
      <text>
        <t xml:space="preserve">Fill on your own. If unclear, attend class or watch the video</t>
      </text>
    </comment>
    <comment authorId="0" ref="J42">
      <text>
        <t xml:space="preserve">North and South Region -- Rs. 10,000
East and West Region -- Rs. 5,000
Fill on your own. If unclear, attend class or watch the video
</t>
      </text>
    </comment>
    <comment authorId="0" ref="D43">
      <text>
        <t xml:space="preserve">Mr. or Ms.
Depending on Male or Female
Fill on your own. If unclear, attend class or watch the video</t>
      </text>
    </comment>
    <comment authorId="0" ref="E43">
      <text>
        <t xml:space="preserve">Salutation + Name
Fill on your own. If unclear, attend class or watch the video</t>
      </text>
    </comment>
    <comment authorId="0" ref="G43">
      <text>
        <t xml:space="preserve">Fill on your own. If unclear, attend class or watch the video</t>
      </text>
    </comment>
    <comment authorId="0" ref="J43">
      <text>
        <t xml:space="preserve">North and South Region -- Rs. 10,000
East and West Region -- Rs. 5,000
Fill on your own. If unclear, attend class or watch the video
</t>
      </text>
    </comment>
    <comment authorId="0" ref="D44">
      <text>
        <t xml:space="preserve">Mr. or Ms.
Depending on Male or Female
Fill on your own. If unclear, attend class or watch the video</t>
      </text>
    </comment>
    <comment authorId="0" ref="E44">
      <text>
        <t xml:space="preserve">Salutation + Name
Fill on your own. If unclear, attend class or watch the video</t>
      </text>
    </comment>
    <comment authorId="0" ref="G44">
      <text>
        <t xml:space="preserve">Fill on your own. If unclear, attend class or watch the video</t>
      </text>
    </comment>
    <comment authorId="0" ref="J44">
      <text>
        <t xml:space="preserve">North and South Region -- Rs. 10,000
East and West Region -- Rs. 5,000
Fill on your own. If unclear, attend class or watch the video
</t>
      </text>
    </comment>
    <comment authorId="0" ref="D45">
      <text>
        <t xml:space="preserve">Mr. or Ms.
Depending on Male or Female
Fill on your own. If unclear, attend class or watch the video</t>
      </text>
    </comment>
    <comment authorId="0" ref="E45">
      <text>
        <t xml:space="preserve">Salutation + Name
Fill on your own. If unclear, attend class or watch the video</t>
      </text>
    </comment>
    <comment authorId="0" ref="G45">
      <text>
        <t xml:space="preserve">Fill on your own. If unclear, attend class or watch the video</t>
      </text>
    </comment>
    <comment authorId="0" ref="J45">
      <text>
        <t xml:space="preserve">North and South Region -- Rs. 10,000
East and West Region -- Rs. 5,000
Fill on your own. If unclear, attend class or watch the video
</t>
      </text>
    </comment>
    <comment authorId="0" ref="D46">
      <text>
        <t xml:space="preserve">Mr. or Ms.
Depending on Male or Female
Fill on your own. If unclear, attend class or watch the video</t>
      </text>
    </comment>
    <comment authorId="0" ref="E46">
      <text>
        <t xml:space="preserve">Salutation + Name
Fill on your own. If unclear, attend class or watch the video</t>
      </text>
    </comment>
    <comment authorId="0" ref="G46">
      <text>
        <t xml:space="preserve">Fill on your own. If unclear, attend class or watch the video</t>
      </text>
    </comment>
    <comment authorId="0" ref="J46">
      <text>
        <t xml:space="preserve">North and South Region -- Rs. 10,000
East and West Region -- Rs. 5,000
Fill on your own. If unclear, attend class or watch the video
</t>
      </text>
    </comment>
    <comment authorId="0" ref="D47">
      <text>
        <t xml:space="preserve">Mr. or Ms.
Depending on Male or Female
Fill on your own. If unclear, attend class or watch the video</t>
      </text>
    </comment>
    <comment authorId="0" ref="E47">
      <text>
        <t xml:space="preserve">Salutation + Name
Fill on your own. If unclear, attend class or watch the video</t>
      </text>
    </comment>
    <comment authorId="0" ref="G47">
      <text>
        <t xml:space="preserve">Fill on your own. If unclear, attend class or watch the video</t>
      </text>
    </comment>
    <comment authorId="0" ref="J47">
      <text>
        <t xml:space="preserve">North and South Region -- Rs. 10,000
East and West Region -- Rs. 5,000
Fill on your own. If unclear, attend class or watch the video
</t>
      </text>
    </comment>
    <comment authorId="0" ref="D48">
      <text>
        <t xml:space="preserve">Mr. or Ms.
Depending on Male or Female
Fill on your own. If unclear, attend class or watch the video</t>
      </text>
    </comment>
    <comment authorId="0" ref="E48">
      <text>
        <t xml:space="preserve">Salutation + Name
Fill on your own. If unclear, attend class or watch the video</t>
      </text>
    </comment>
    <comment authorId="0" ref="G48">
      <text>
        <t xml:space="preserve">Fill on your own. If unclear, attend class or watch the video</t>
      </text>
    </comment>
    <comment authorId="0" ref="J48">
      <text>
        <t xml:space="preserve">North and South Region -- Rs. 10,000
East and West Region -- Rs. 5,000
Fill on your own. If unclear, attend class or watch the video
</t>
      </text>
    </comment>
    <comment authorId="0" ref="D49">
      <text>
        <t xml:space="preserve">Mr. or Ms.
Depending on Male or Female
Fill on your own. If unclear, attend class or watch the video</t>
      </text>
    </comment>
    <comment authorId="0" ref="E49">
      <text>
        <t xml:space="preserve">Salutation + Name
Fill on your own. If unclear, attend class or watch the video</t>
      </text>
    </comment>
    <comment authorId="0" ref="G49">
      <text>
        <t xml:space="preserve">Fill on your own. If unclear, attend class or watch the video</t>
      </text>
    </comment>
    <comment authorId="0" ref="J49">
      <text>
        <t xml:space="preserve">North and South Region -- Rs. 10,000
East and West Region -- Rs. 5,000
Fill on your own. If unclear, attend class or watch the video
</t>
      </text>
    </comment>
    <comment authorId="0" ref="D50">
      <text>
        <t xml:space="preserve">Mr. or Ms.
Depending on Male or Female
Fill on your own. If unclear, attend class or watch the video</t>
      </text>
    </comment>
    <comment authorId="0" ref="E50">
      <text>
        <t xml:space="preserve">Salutation + Name
Fill on your own. If unclear, attend class or watch the video</t>
      </text>
    </comment>
    <comment authorId="0" ref="G50">
      <text>
        <t xml:space="preserve">Fill on your own. If unclear, attend class or watch the video</t>
      </text>
    </comment>
    <comment authorId="0" ref="J50">
      <text>
        <t xml:space="preserve">North and South Region -- Rs. 10,000
East and West Region -- Rs. 5,000
Fill on your own. If unclear, attend class or watch the video
</t>
      </text>
    </comment>
    <comment authorId="0" ref="D51">
      <text>
        <t xml:space="preserve">Mr. or Ms.
Depending on Male or Female
Fill on your own. If unclear, attend class or watch the video</t>
      </text>
    </comment>
    <comment authorId="0" ref="E51">
      <text>
        <t xml:space="preserve">Salutation + Name
Fill on your own. If unclear, attend class or watch the video</t>
      </text>
    </comment>
    <comment authorId="0" ref="G51">
      <text>
        <t xml:space="preserve">Fill on your own. If unclear, attend class or watch the video</t>
      </text>
    </comment>
    <comment authorId="0" ref="J51">
      <text>
        <t xml:space="preserve">North and South Region -- Rs. 10,000
East and West Region -- Rs. 5,000
Fill on your own. If unclear, attend class or watch the video
</t>
      </text>
    </comment>
    <comment authorId="0" ref="D52">
      <text>
        <t xml:space="preserve">Mr. or Ms.
Depending on Male or Female
Fill on your own. If unclear, attend class or watch the video</t>
      </text>
    </comment>
    <comment authorId="0" ref="E52">
      <text>
        <t xml:space="preserve">Salutation + Name
Fill on your own. If unclear, attend class or watch the video</t>
      </text>
    </comment>
    <comment authorId="0" ref="G52">
      <text>
        <t xml:space="preserve">Fill on your own. If unclear, attend class or watch the video</t>
      </text>
    </comment>
    <comment authorId="0" ref="J52">
      <text>
        <t xml:space="preserve">North and South Region -- Rs. 10,000
East and West Region -- Rs. 5,000
Fill on your own. If unclear, attend class or watch the video
</t>
      </text>
    </comment>
    <comment authorId="0" ref="D53">
      <text>
        <t xml:space="preserve">Mr. or Ms.
Depending on Male or Female
Fill on your own. If unclear, attend class or watch the video</t>
      </text>
    </comment>
    <comment authorId="0" ref="E53">
      <text>
        <t xml:space="preserve">Salutation + Name
Fill on your own. If unclear, attend class or watch the video</t>
      </text>
    </comment>
    <comment authorId="0" ref="G53">
      <text>
        <t xml:space="preserve">Fill on your own. If unclear, attend class or watch the video</t>
      </text>
    </comment>
    <comment authorId="0" ref="J53">
      <text>
        <t xml:space="preserve">North and South Region -- Rs. 10,000
East and West Region -- Rs. 5,000
Fill on your own. If unclear, attend class or watch the video
</t>
      </text>
    </comment>
    <comment authorId="0" ref="D54">
      <text>
        <t xml:space="preserve">Mr. or Ms.
Depending on Male or Female
Fill on your own. If unclear, attend class or watch the video</t>
      </text>
    </comment>
    <comment authorId="0" ref="E54">
      <text>
        <t xml:space="preserve">Salutation + Name
Fill on your own. If unclear, attend class or watch the video</t>
      </text>
    </comment>
    <comment authorId="0" ref="G54">
      <text>
        <t xml:space="preserve">Fill on your own. If unclear, attend class or watch the video</t>
      </text>
    </comment>
    <comment authorId="0" ref="J54">
      <text>
        <t xml:space="preserve">North and South Region -- Rs. 10,000
East and West Region -- Rs. 5,000
Fill on your own. If unclear, attend class or watch the video
</t>
      </text>
    </comment>
    <comment authorId="0" ref="D55">
      <text>
        <t xml:space="preserve">Mr. or Ms.
Depending on Male or Female
Fill on your own. If unclear, attend class or watch the video</t>
      </text>
    </comment>
    <comment authorId="0" ref="E55">
      <text>
        <t xml:space="preserve">Salutation + Name
Fill on your own. If unclear, attend class or watch the video</t>
      </text>
    </comment>
    <comment authorId="0" ref="G55">
      <text>
        <t xml:space="preserve">Fill on your own. If unclear, attend class or watch the video</t>
      </text>
    </comment>
    <comment authorId="0" ref="J55">
      <text>
        <t xml:space="preserve">North and South Region -- Rs. 10,000
East and West Region -- Rs. 5,000
Fill on your own. If unclear, attend class or watch the video
</t>
      </text>
    </comment>
    <comment authorId="0" ref="D56">
      <text>
        <t xml:space="preserve">Mr. or Ms.
Depending on Male or Female
Fill on your own. If unclear, attend class or watch the video</t>
      </text>
    </comment>
    <comment authorId="0" ref="E56">
      <text>
        <t xml:space="preserve">Salutation + Name
Fill on your own. If unclear, attend class or watch the video</t>
      </text>
    </comment>
    <comment authorId="0" ref="G56">
      <text>
        <t xml:space="preserve">Fill on your own. If unclear, attend class or watch the video</t>
      </text>
    </comment>
    <comment authorId="0" ref="J56">
      <text>
        <t xml:space="preserve">North and South Region -- Rs. 10,000
East and West Region -- Rs. 5,000
Fill on your own. If unclear, attend class or watch the video
</t>
      </text>
    </comment>
    <comment authorId="0" ref="D57">
      <text>
        <t xml:space="preserve">Mr. or Ms.
Depending on Male or Female
Fill on your own. If unclear, attend class or watch the video</t>
      </text>
    </comment>
    <comment authorId="0" ref="E57">
      <text>
        <t xml:space="preserve">Salutation + Name
Fill on your own. If unclear, attend class or watch the video</t>
      </text>
    </comment>
    <comment authorId="0" ref="G57">
      <text>
        <t xml:space="preserve">Fill on your own. If unclear, attend class or watch the video</t>
      </text>
    </comment>
    <comment authorId="0" ref="J57">
      <text>
        <t xml:space="preserve">North and South Region -- Rs. 10,000
East and West Region -- Rs. 5,000
Fill on your own. If unclear, attend class or watch the video
</t>
      </text>
    </comment>
    <comment authorId="0" ref="D58">
      <text>
        <t xml:space="preserve">Mr. or Ms.
Depending on Male or Female
Fill on your own. If unclear, attend class or watch the video</t>
      </text>
    </comment>
    <comment authorId="0" ref="E58">
      <text>
        <t xml:space="preserve">Salutation + Name
Fill on your own. If unclear, attend class or watch the video</t>
      </text>
    </comment>
    <comment authorId="0" ref="G58">
      <text>
        <t xml:space="preserve">Fill on your own. If unclear, attend class or watch the video</t>
      </text>
    </comment>
    <comment authorId="0" ref="J58">
      <text>
        <t xml:space="preserve">North and South Region -- Rs. 10,000
East and West Region -- Rs. 5,000
Fill on your own. If unclear, attend class or watch the video
</t>
      </text>
    </comment>
    <comment authorId="0" ref="D59">
      <text>
        <t xml:space="preserve">Mr. or Ms.
Depending on Male or Female
Fill on your own. If unclear, attend class or watch the video</t>
      </text>
    </comment>
    <comment authorId="0" ref="E59">
      <text>
        <t xml:space="preserve">Salutation + Name
Fill on your own. If unclear, attend class or watch the video</t>
      </text>
    </comment>
    <comment authorId="0" ref="G59">
      <text>
        <t xml:space="preserve">Fill on your own. If unclear, attend class or watch the video</t>
      </text>
    </comment>
    <comment authorId="0" ref="J59">
      <text>
        <t xml:space="preserve">North and South Region -- Rs. 10,000
East and West Region -- Rs. 5,000
Fill on your own. If unclear, attend class or watch the video
</t>
      </text>
    </comment>
    <comment authorId="0" ref="D60">
      <text>
        <t xml:space="preserve">Mr. or Ms.
Depending on Male or Female
Fill on your own. If unclear, attend class or watch the video</t>
      </text>
    </comment>
    <comment authorId="0" ref="E60">
      <text>
        <t xml:space="preserve">Salutation + Name
Fill on your own. If unclear, attend class or watch the video</t>
      </text>
    </comment>
    <comment authorId="0" ref="G60">
      <text>
        <t xml:space="preserve">Fill on your own. If unclear, attend class or watch the video</t>
      </text>
    </comment>
    <comment authorId="0" ref="J60">
      <text>
        <t xml:space="preserve">North and South Region -- Rs. 10,000
East and West Region -- Rs. 5,000
Fill on your own. If unclear, attend class or watch the video
</t>
      </text>
    </comment>
    <comment authorId="0" ref="D61">
      <text>
        <t xml:space="preserve">Mr. or Ms.
Depending on Male or Female
Fill on your own. If unclear, attend class or watch the video</t>
      </text>
    </comment>
    <comment authorId="0" ref="E61">
      <text>
        <t xml:space="preserve">Salutation + Name
Fill on your own. If unclear, attend class or watch the video</t>
      </text>
    </comment>
    <comment authorId="0" ref="G61">
      <text>
        <t xml:space="preserve">Fill on your own. If unclear, attend class or watch the video</t>
      </text>
    </comment>
    <comment authorId="0" ref="J61">
      <text>
        <t xml:space="preserve">North and South Region -- Rs. 10,000
East and West Region -- Rs. 5,000
Fill on your own. If unclear, attend class or watch the video
</t>
      </text>
    </comment>
    <comment authorId="0" ref="D62">
      <text>
        <t xml:space="preserve">Mr. or Ms.
Depending on Male or Female
Fill on your own. If unclear, attend class or watch the video</t>
      </text>
    </comment>
    <comment authorId="0" ref="E62">
      <text>
        <t xml:space="preserve">Salutation + Name
Fill on your own. If unclear, attend class or watch the video</t>
      </text>
    </comment>
    <comment authorId="0" ref="G62">
      <text>
        <t xml:space="preserve">Fill on your own. If unclear, attend class or watch the video</t>
      </text>
    </comment>
    <comment authorId="0" ref="J62">
      <text>
        <t xml:space="preserve">North and South Region -- Rs. 10,000
East and West Region -- Rs. 5,000
Fill on your own. If unclear, attend class or watch the video
</t>
      </text>
    </comment>
    <comment authorId="0" ref="D63">
      <text>
        <t xml:space="preserve">Mr. or Ms.
Depending on Male or Female
Fill on your own. If unclear, attend class or watch the video</t>
      </text>
    </comment>
    <comment authorId="0" ref="E63">
      <text>
        <t xml:space="preserve">Salutation + Name
Fill on your own. If unclear, attend class or watch the video</t>
      </text>
    </comment>
    <comment authorId="0" ref="G63">
      <text>
        <t xml:space="preserve">Fill on your own. If unclear, attend class or watch the video</t>
      </text>
    </comment>
    <comment authorId="0" ref="J63">
      <text>
        <t xml:space="preserve">North and South Region -- Rs. 10,000
East and West Region -- Rs. 5,000
Fill on your own. If unclear, attend class or watch the video
</t>
      </text>
    </comment>
    <comment authorId="0" ref="D64">
      <text>
        <t xml:space="preserve">Mr. or Ms.
Depending on Male or Female
Fill on your own. If unclear, attend class or watch the video</t>
      </text>
    </comment>
    <comment authorId="0" ref="E64">
      <text>
        <t xml:space="preserve">Salutation + Name
Fill on your own. If unclear, attend class or watch the video</t>
      </text>
    </comment>
    <comment authorId="0" ref="G64">
      <text>
        <t xml:space="preserve">Fill on your own. If unclear, attend class or watch the video</t>
      </text>
    </comment>
    <comment authorId="0" ref="J64">
      <text>
        <t xml:space="preserve">North and South Region -- Rs. 10,000
East and West Region -- Rs. 5,000
Fill on your own. If unclear, attend class or watch the video
</t>
      </text>
    </comment>
    <comment authorId="0" ref="D65">
      <text>
        <t xml:space="preserve">Mr. or Ms.
Depending on Male or Female
Fill on your own. If unclear, attend class or watch the video</t>
      </text>
    </comment>
    <comment authorId="0" ref="E65">
      <text>
        <t xml:space="preserve">Salutation + Name
Fill on your own. If unclear, attend class or watch the video</t>
      </text>
    </comment>
    <comment authorId="0" ref="G65">
      <text>
        <t xml:space="preserve">Fill on your own. If unclear, attend class or watch the video</t>
      </text>
    </comment>
    <comment authorId="0" ref="J65">
      <text>
        <t xml:space="preserve">North and South Region -- Rs. 10,000
East and West Region -- Rs. 5,000
Fill on your own. If unclear, attend class or watch the video
</t>
      </text>
    </comment>
    <comment authorId="0" ref="D66">
      <text>
        <t xml:space="preserve">Mr. or Ms.
Depending on Male or Female
Fill on your own. If unclear, attend class or watch the video</t>
      </text>
    </comment>
    <comment authorId="0" ref="E66">
      <text>
        <t xml:space="preserve">Salutation + Name
Fill on your own. If unclear, attend class or watch the video</t>
      </text>
    </comment>
    <comment authorId="0" ref="G66">
      <text>
        <t xml:space="preserve">Fill on your own. If unclear, attend class or watch the video</t>
      </text>
    </comment>
    <comment authorId="0" ref="J66">
      <text>
        <t xml:space="preserve">North and South Region -- Rs. 10,000
East and West Region -- Rs. 5,000
Fill on your own. If unclear, attend class or watch the video
</t>
      </text>
    </comment>
    <comment authorId="0" ref="D67">
      <text>
        <t xml:space="preserve">Mr. or Ms.
Depending on Male or Female
Fill on your own. If unclear, attend class or watch the video</t>
      </text>
    </comment>
    <comment authorId="0" ref="E67">
      <text>
        <t xml:space="preserve">Salutation + Name
Fill on your own. If unclear, attend class or watch the video</t>
      </text>
    </comment>
    <comment authorId="0" ref="G67">
      <text>
        <t xml:space="preserve">Fill on your own. If unclear, attend class or watch the video</t>
      </text>
    </comment>
    <comment authorId="0" ref="J67">
      <text>
        <t xml:space="preserve">North and South Region -- Rs. 10,000
East and West Region -- Rs. 5,000
Fill on your own. If unclear, attend class or watch the video
</t>
      </text>
    </comment>
    <comment authorId="0" ref="D68">
      <text>
        <t xml:space="preserve">Mr. or Ms.
Depending on Male or Female
Fill on your own. If unclear, attend class or watch the video</t>
      </text>
    </comment>
    <comment authorId="0" ref="E68">
      <text>
        <t xml:space="preserve">Salutation + Name
Fill on your own. If unclear, attend class or watch the video</t>
      </text>
    </comment>
    <comment authorId="0" ref="G68">
      <text>
        <t xml:space="preserve">Fill on your own. If unclear, attend class or watch the video</t>
      </text>
    </comment>
    <comment authorId="0" ref="J68">
      <text>
        <t xml:space="preserve">North and South Region -- Rs. 10,000
East and West Region -- Rs. 5,000
Fill on your own. If unclear, attend class or watch the video
</t>
      </text>
    </comment>
    <comment authorId="0" ref="D69">
      <text>
        <t xml:space="preserve">Mr. or Ms.
Depending on Male or Female
Fill on your own. If unclear, attend class or watch the video</t>
      </text>
    </comment>
    <comment authorId="0" ref="E69">
      <text>
        <t xml:space="preserve">Salutation + Name
Fill on your own. If unclear, attend class or watch the video</t>
      </text>
    </comment>
    <comment authorId="0" ref="G69">
      <text>
        <t xml:space="preserve">Fill on your own. If unclear, attend class or watch the video</t>
      </text>
    </comment>
    <comment authorId="0" ref="J69">
      <text>
        <t xml:space="preserve">North and South Region -- Rs. 10,000
East and West Region -- Rs. 5,000
Fill on your own. If unclear, attend class or watch the video
</t>
      </text>
    </comment>
    <comment authorId="0" ref="D70">
      <text>
        <t xml:space="preserve">Mr. or Ms.
Depending on Male or Female
Fill on your own. If unclear, attend class or watch the video</t>
      </text>
    </comment>
    <comment authorId="0" ref="E70">
      <text>
        <t xml:space="preserve">Salutation + Name
Fill on your own. If unclear, attend class or watch the video</t>
      </text>
    </comment>
    <comment authorId="0" ref="G70">
      <text>
        <t xml:space="preserve">Fill on your own. If unclear, attend class or watch the video</t>
      </text>
    </comment>
    <comment authorId="0" ref="J70">
      <text>
        <t xml:space="preserve">North and South Region -- Rs. 10,000
East and West Region -- Rs. 5,000
Fill on your own. If unclear, attend class or watch the video
</t>
      </text>
    </comment>
    <comment authorId="0" ref="D71">
      <text>
        <t xml:space="preserve">Mr. or Ms.
Depending on Male or Female
Fill on your own. If unclear, attend class or watch the video</t>
      </text>
    </comment>
    <comment authorId="0" ref="E71">
      <text>
        <t xml:space="preserve">Salutation + Name
Fill on your own. If unclear, attend class or watch the video</t>
      </text>
    </comment>
    <comment authorId="0" ref="G71">
      <text>
        <t xml:space="preserve">Fill on your own. If unclear, attend class or watch the video</t>
      </text>
    </comment>
    <comment authorId="0" ref="J71">
      <text>
        <t xml:space="preserve">North and South Region -- Rs. 10,000
East and West Region -- Rs. 5,000
Fill on your own. If unclear, attend class or watch the video
</t>
      </text>
    </comment>
    <comment authorId="0" ref="D72">
      <text>
        <t xml:space="preserve">Mr. or Ms.
Depending on Male or Female
Fill on your own. If unclear, attend class or watch the video</t>
      </text>
    </comment>
    <comment authorId="0" ref="E72">
      <text>
        <t xml:space="preserve">Salutation + Name
Fill on your own. If unclear, attend class or watch the video</t>
      </text>
    </comment>
    <comment authorId="0" ref="G72">
      <text>
        <t xml:space="preserve">Fill on your own. If unclear, attend class or watch the video</t>
      </text>
    </comment>
    <comment authorId="0" ref="J72">
      <text>
        <t xml:space="preserve">North and South Region -- Rs. 10,000
East and West Region -- Rs. 5,000
Fill on your own. If unclear, attend class or watch the video
</t>
      </text>
    </comment>
    <comment authorId="0" ref="D73">
      <text>
        <t xml:space="preserve">Mr. or Ms.
Depending on Male or Female
Fill on your own. If unclear, attend class or watch the video</t>
      </text>
    </comment>
    <comment authorId="0" ref="E73">
      <text>
        <t xml:space="preserve">Salutation + Name
Fill on your own. If unclear, attend class or watch the video</t>
      </text>
    </comment>
    <comment authorId="0" ref="G73">
      <text>
        <t xml:space="preserve">Fill on your own. If unclear, attend class or watch the video</t>
      </text>
    </comment>
    <comment authorId="0" ref="J73">
      <text>
        <t xml:space="preserve">North and South Region -- Rs. 10,000
East and West Region -- Rs. 5,000
Fill on your own. If unclear, attend class or watch the video
</t>
      </text>
    </comment>
    <comment authorId="0" ref="D74">
      <text>
        <t xml:space="preserve">Mr. or Ms.
Depending on Male or Female
Fill on your own. If unclear, attend class or watch the video</t>
      </text>
    </comment>
    <comment authorId="0" ref="E74">
      <text>
        <t xml:space="preserve">Salutation + Name
Fill on your own. If unclear, attend class or watch the video</t>
      </text>
    </comment>
    <comment authorId="0" ref="G74">
      <text>
        <t xml:space="preserve">Fill on your own. If unclear, attend class or watch the video</t>
      </text>
    </comment>
    <comment authorId="0" ref="J74">
      <text>
        <t xml:space="preserve">North and South Region -- Rs. 10,000
East and West Region -- Rs. 5,000
Fill on your own. If unclear, attend class or watch the video
</t>
      </text>
    </comment>
    <comment authorId="0" ref="D75">
      <text>
        <t xml:space="preserve">Mr. or Ms.
Depending on Male or Female
Fill on your own. If unclear, attend class or watch the video</t>
      </text>
    </comment>
    <comment authorId="0" ref="E75">
      <text>
        <t xml:space="preserve">Salutation + Name
Fill on your own. If unclear, attend class or watch the video</t>
      </text>
    </comment>
    <comment authorId="0" ref="G75">
      <text>
        <t xml:space="preserve">Fill on your own. If unclear, attend class or watch the video</t>
      </text>
    </comment>
    <comment authorId="0" ref="J75">
      <text>
        <t xml:space="preserve">North and South Region -- Rs. 10,000
East and West Region -- Rs. 5,000
Fill on your own. If unclear, attend class or watch the video
</t>
      </text>
    </comment>
    <comment authorId="0" ref="D76">
      <text>
        <t xml:space="preserve">Mr. or Ms.
Depending on Male or Female
Fill on your own. If unclear, attend class or watch the video</t>
      </text>
    </comment>
    <comment authorId="0" ref="E76">
      <text>
        <t xml:space="preserve">Salutation + Name
Fill on your own. If unclear, attend class or watch the video</t>
      </text>
    </comment>
    <comment authorId="0" ref="G76">
      <text>
        <t xml:space="preserve">Fill on your own. If unclear, attend class or watch the video</t>
      </text>
    </comment>
    <comment authorId="0" ref="J76">
      <text>
        <t xml:space="preserve">North and South Region -- Rs. 10,000
East and West Region -- Rs. 5,000
Fill on your own. If unclear, attend class or watch the video
</t>
      </text>
    </comment>
    <comment authorId="0" ref="D77">
      <text>
        <t xml:space="preserve">Mr. or Ms.
Depending on Male or Female
Fill on your own. If unclear, attend class or watch the video</t>
      </text>
    </comment>
    <comment authorId="0" ref="E77">
      <text>
        <t xml:space="preserve">Salutation + Name
Fill on your own. If unclear, attend class or watch the video</t>
      </text>
    </comment>
    <comment authorId="0" ref="G77">
      <text>
        <t xml:space="preserve">Fill on your own. If unclear, attend class or watch the video</t>
      </text>
    </comment>
    <comment authorId="0" ref="J77">
      <text>
        <t xml:space="preserve">North and South Region -- Rs. 10,000
East and West Region -- Rs. 5,000
Fill on your own. If unclear, attend class or watch the video
</t>
      </text>
    </comment>
    <comment authorId="0" ref="D78">
      <text>
        <t xml:space="preserve">Mr. or Ms.
Depending on Male or Female
Fill on your own. If unclear, attend class or watch the video</t>
      </text>
    </comment>
    <comment authorId="0" ref="E78">
      <text>
        <t xml:space="preserve">Salutation + Name
Fill on your own. If unclear, attend class or watch the video</t>
      </text>
    </comment>
    <comment authorId="0" ref="G78">
      <text>
        <t xml:space="preserve">Fill on your own. If unclear, attend class or watch the video</t>
      </text>
    </comment>
    <comment authorId="0" ref="J78">
      <text>
        <t xml:space="preserve">North and South Region -- Rs. 10,000
East and West Region -- Rs. 5,000
Fill on your own. If unclear, attend class or watch the video
</t>
      </text>
    </comment>
    <comment authorId="0" ref="D79">
      <text>
        <t xml:space="preserve">Mr. or Ms.
Depending on Male or Female
Fill on your own. If unclear, attend class or watch the video</t>
      </text>
    </comment>
    <comment authorId="0" ref="E79">
      <text>
        <t xml:space="preserve">Salutation + Name
Fill on your own. If unclear, attend class or watch the video</t>
      </text>
    </comment>
    <comment authorId="0" ref="G79">
      <text>
        <t xml:space="preserve">Fill on your own. If unclear, attend class or watch the video</t>
      </text>
    </comment>
    <comment authorId="0" ref="J79">
      <text>
        <t xml:space="preserve">North and South Region -- Rs. 10,000
East and West Region -- Rs. 5,000
Fill on your own. If unclear, attend class or watch the video
</t>
      </text>
    </comment>
    <comment authorId="0" ref="D80">
      <text>
        <t xml:space="preserve">Mr. or Ms.
Depending on Male or Female
Fill on your own. If unclear, attend class or watch the video</t>
      </text>
    </comment>
    <comment authorId="0" ref="E80">
      <text>
        <t xml:space="preserve">Salutation + Name
Fill on your own. If unclear, attend class or watch the video</t>
      </text>
    </comment>
    <comment authorId="0" ref="G80">
      <text>
        <t xml:space="preserve">Fill on your own. If unclear, attend class or watch the video</t>
      </text>
    </comment>
    <comment authorId="0" ref="J80">
      <text>
        <t xml:space="preserve">North and South Region -- Rs. 10,000
East and West Region -- Rs. 5,000
Fill on your own. If unclear, attend class or watch the video
</t>
      </text>
    </comment>
    <comment authorId="0" ref="D81">
      <text>
        <t xml:space="preserve">Mr. or Ms.
Depending on Male or Female
Fill on your own. If unclear, attend class or watch the video</t>
      </text>
    </comment>
    <comment authorId="0" ref="E81">
      <text>
        <t xml:space="preserve">Salutation + Name
Fill on your own. If unclear, attend class or watch the video</t>
      </text>
    </comment>
    <comment authorId="0" ref="G81">
      <text>
        <t xml:space="preserve">Fill on your own. If unclear, attend class or watch the video</t>
      </text>
    </comment>
    <comment authorId="0" ref="J81">
      <text>
        <t xml:space="preserve">North and South Region -- Rs. 10,000
East and West Region -- Rs. 5,000
Fill on your own. If unclear, attend class or watch the video
</t>
      </text>
    </comment>
    <comment authorId="0" ref="D82">
      <text>
        <t xml:space="preserve">Mr. or Ms.
Depending on Male or Female
Fill on your own. If unclear, attend class or watch the video</t>
      </text>
    </comment>
    <comment authorId="0" ref="E82">
      <text>
        <t xml:space="preserve">Salutation + Name
Fill on your own. If unclear, attend class or watch the video</t>
      </text>
    </comment>
    <comment authorId="0" ref="G82">
      <text>
        <t xml:space="preserve">Fill on your own. If unclear, attend class or watch the video</t>
      </text>
    </comment>
    <comment authorId="0" ref="J82">
      <text>
        <t xml:space="preserve">North and South Region -- Rs. 10,000
East and West Region -- Rs. 5,000
Fill on your own. If unclear, attend class or watch the video
</t>
      </text>
    </comment>
    <comment authorId="0" ref="D83">
      <text>
        <t xml:space="preserve">Mr. or Ms.
Depending on Male or Female
Fill on your own. If unclear, attend class or watch the video</t>
      </text>
    </comment>
    <comment authorId="0" ref="E83">
      <text>
        <t xml:space="preserve">Salutation + Name
Fill on your own. If unclear, attend class or watch the video</t>
      </text>
    </comment>
    <comment authorId="0" ref="G83">
      <text>
        <t xml:space="preserve">Fill on your own. If unclear, attend class or watch the video</t>
      </text>
    </comment>
    <comment authorId="0" ref="J83">
      <text>
        <t xml:space="preserve">North and South Region -- Rs. 10,000
East and West Region -- Rs. 5,000
Fill on your own. If unclear, attend class or watch the video
</t>
      </text>
    </comment>
    <comment authorId="0" ref="D84">
      <text>
        <t xml:space="preserve">Mr. or Ms.
Depending on Male or Female
Fill on your own. If unclear, attend class or watch the video</t>
      </text>
    </comment>
    <comment authorId="0" ref="E84">
      <text>
        <t xml:space="preserve">Salutation + Name
Fill on your own. If unclear, attend class or watch the video</t>
      </text>
    </comment>
    <comment authorId="0" ref="G84">
      <text>
        <t xml:space="preserve">Fill on your own. If unclear, attend class or watch the video</t>
      </text>
    </comment>
    <comment authorId="0" ref="J84">
      <text>
        <t xml:space="preserve">North and South Region -- Rs. 10,000
East and West Region -- Rs. 5,000
Fill on your own. If unclear, attend class or watch the video
</t>
      </text>
    </comment>
    <comment authorId="0" ref="D85">
      <text>
        <t xml:space="preserve">Mr. or Ms.
Depending on Male or Female
Fill on your own. If unclear, attend class or watch the video</t>
      </text>
    </comment>
    <comment authorId="0" ref="E85">
      <text>
        <t xml:space="preserve">Salutation + Name
Fill on your own. If unclear, attend class or watch the video</t>
      </text>
    </comment>
    <comment authorId="0" ref="G85">
      <text>
        <t xml:space="preserve">Fill on your own. If unclear, attend class or watch the video</t>
      </text>
    </comment>
    <comment authorId="0" ref="J85">
      <text>
        <t xml:space="preserve">North and South Region -- Rs. 10,000
East and West Region -- Rs. 5,000
Fill on your own. If unclear, attend class or watch the video
</t>
      </text>
    </comment>
    <comment authorId="0" ref="D86">
      <text>
        <t xml:space="preserve">Mr. or Ms.
Depending on Male or Female
Fill on your own. If unclear, attend class or watch the video</t>
      </text>
    </comment>
    <comment authorId="0" ref="E86">
      <text>
        <t xml:space="preserve">Salutation + Name
Fill on your own. If unclear, attend class or watch the video</t>
      </text>
    </comment>
    <comment authorId="0" ref="G86">
      <text>
        <t xml:space="preserve">Fill on your own. If unclear, attend class or watch the video</t>
      </text>
    </comment>
    <comment authorId="0" ref="J86">
      <text>
        <t xml:space="preserve">North and South Region -- Rs. 10,000
East and West Region -- Rs. 5,000
Fill on your own. If unclear, attend class or watch the video
</t>
      </text>
    </comment>
    <comment authorId="0" ref="D87">
      <text>
        <t xml:space="preserve">Mr. or Ms.
Depending on Male or Female
Fill on your own. If unclear, attend class or watch the video</t>
      </text>
    </comment>
    <comment authorId="0" ref="E87">
      <text>
        <t xml:space="preserve">Salutation + Name
Fill on your own. If unclear, attend class or watch the video</t>
      </text>
    </comment>
    <comment authorId="0" ref="G87">
      <text>
        <t xml:space="preserve">Fill on your own. If unclear, attend class or watch the video</t>
      </text>
    </comment>
    <comment authorId="0" ref="J87">
      <text>
        <t xml:space="preserve">North and South Region -- Rs. 10,000
East and West Region -- Rs. 5,000
Fill on your own. If unclear, attend class or watch the video
</t>
      </text>
    </comment>
    <comment authorId="0" ref="D88">
      <text>
        <t xml:space="preserve">Mr. or Ms.
Depending on Male or Female
Fill on your own. If unclear, attend class or watch the video</t>
      </text>
    </comment>
    <comment authorId="0" ref="E88">
      <text>
        <t xml:space="preserve">Salutation + Name
Fill on your own. If unclear, attend class or watch the video</t>
      </text>
    </comment>
    <comment authorId="0" ref="G88">
      <text>
        <t xml:space="preserve">Fill on your own. If unclear, attend class or watch the video</t>
      </text>
    </comment>
    <comment authorId="0" ref="J88">
      <text>
        <t xml:space="preserve">North and South Region -- Rs. 10,000
East and West Region -- Rs. 5,000
Fill on your own. If unclear, attend class or watch the video
</t>
      </text>
    </comment>
    <comment authorId="0" ref="D89">
      <text>
        <t xml:space="preserve">Mr. or Ms.
Depending on Male or Female
Fill on your own. If unclear, attend class or watch the video</t>
      </text>
    </comment>
    <comment authorId="0" ref="E89">
      <text>
        <t xml:space="preserve">Salutation + Name
Fill on your own. If unclear, attend class or watch the video</t>
      </text>
    </comment>
    <comment authorId="0" ref="G89">
      <text>
        <t xml:space="preserve">Fill on your own. If unclear, attend class or watch the video</t>
      </text>
    </comment>
    <comment authorId="0" ref="J89">
      <text>
        <t xml:space="preserve">North and South Region -- Rs. 10,000
East and West Region -- Rs. 5,000
Fill on your own. If unclear, attend class or watch the video
</t>
      </text>
    </comment>
    <comment authorId="0" ref="D90">
      <text>
        <t xml:space="preserve">Mr. or Ms.
Depending on Male or Female
Fill on your own. If unclear, attend class or watch the video</t>
      </text>
    </comment>
    <comment authorId="0" ref="E90">
      <text>
        <t xml:space="preserve">Salutation + Name
Fill on your own. If unclear, attend class or watch the video</t>
      </text>
    </comment>
    <comment authorId="0" ref="G90">
      <text>
        <t xml:space="preserve">Fill on your own. If unclear, attend class or watch the video</t>
      </text>
    </comment>
    <comment authorId="0" ref="J90">
      <text>
        <t xml:space="preserve">North and South Region -- Rs. 10,000
East and West Region -- Rs. 5,000
Fill on your own. If unclear, attend class or watch the video
</t>
      </text>
    </comment>
    <comment authorId="0" ref="D91">
      <text>
        <t xml:space="preserve">Mr. or Ms.
Depending on Male or Female
Fill on your own. If unclear, attend class or watch the video</t>
      </text>
    </comment>
    <comment authorId="0" ref="E91">
      <text>
        <t xml:space="preserve">Salutation + Name
Fill on your own. If unclear, attend class or watch the video</t>
      </text>
    </comment>
    <comment authorId="0" ref="G91">
      <text>
        <t xml:space="preserve">Fill on your own. If unclear, attend class or watch the video</t>
      </text>
    </comment>
    <comment authorId="0" ref="J91">
      <text>
        <t xml:space="preserve">North and South Region -- Rs. 10,000
East and West Region -- Rs. 5,000
Fill on your own. If unclear, attend class or watch the video
</t>
      </text>
    </comment>
    <comment authorId="0" ref="D92">
      <text>
        <t xml:space="preserve">Mr. or Ms.
Depending on Male or Female
Fill on your own. If unclear, attend class or watch the video</t>
      </text>
    </comment>
    <comment authorId="0" ref="E92">
      <text>
        <t xml:space="preserve">Salutation + Name
Fill on your own. If unclear, attend class or watch the video</t>
      </text>
    </comment>
    <comment authorId="0" ref="G92">
      <text>
        <t xml:space="preserve">Fill on your own. If unclear, attend class or watch the video</t>
      </text>
    </comment>
    <comment authorId="0" ref="J92">
      <text>
        <t xml:space="preserve">North and South Region -- Rs. 10,000
East and West Region -- Rs. 5,000
Fill on your own. If unclear, attend class or watch the video
</t>
      </text>
    </comment>
    <comment authorId="0" ref="D93">
      <text>
        <t xml:space="preserve">Mr. or Ms.
Depending on Male or Female
Fill on your own. If unclear, attend class or watch the video</t>
      </text>
    </comment>
    <comment authorId="0" ref="E93">
      <text>
        <t xml:space="preserve">Salutation + Name
Fill on your own. If unclear, attend class or watch the video</t>
      </text>
    </comment>
    <comment authorId="0" ref="G93">
      <text>
        <t xml:space="preserve">Fill on your own. If unclear, attend class or watch the video</t>
      </text>
    </comment>
    <comment authorId="0" ref="J93">
      <text>
        <t xml:space="preserve">North and South Region -- Rs. 10,000
East and West Region -- Rs. 5,000
Fill on your own. If unclear, attend class or watch the video
</t>
      </text>
    </comment>
    <comment authorId="0" ref="D94">
      <text>
        <t xml:space="preserve">Mr. or Ms.
Depending on Male or Female
Fill on your own. If unclear, attend class or watch the video</t>
      </text>
    </comment>
    <comment authorId="0" ref="E94">
      <text>
        <t xml:space="preserve">Salutation + Name
Fill on your own. If unclear, attend class or watch the video</t>
      </text>
    </comment>
    <comment authorId="0" ref="G94">
      <text>
        <t xml:space="preserve">Fill on your own. If unclear, attend class or watch the video</t>
      </text>
    </comment>
    <comment authorId="0" ref="J94">
      <text>
        <t xml:space="preserve">North and South Region -- Rs. 10,000
East and West Region -- Rs. 5,000
Fill on your own. If unclear, attend class or watch the video
</t>
      </text>
    </comment>
    <comment authorId="0" ref="D95">
      <text>
        <t xml:space="preserve">Mr. or Ms.
Depending on Male or Female
Fill on your own. If unclear, attend class or watch the video</t>
      </text>
    </comment>
    <comment authorId="0" ref="E95">
      <text>
        <t xml:space="preserve">Salutation + Name
Fill on your own. If unclear, attend class or watch the video</t>
      </text>
    </comment>
    <comment authorId="0" ref="G95">
      <text>
        <t xml:space="preserve">Fill on your own. If unclear, attend class or watch the video</t>
      </text>
    </comment>
    <comment authorId="0" ref="J95">
      <text>
        <t xml:space="preserve">North and South Region -- Rs. 10,000
East and West Region -- Rs. 5,000
Fill on your own. If unclear, attend class or watch the video
</t>
      </text>
    </comment>
    <comment authorId="0" ref="D96">
      <text>
        <t xml:space="preserve">Mr. or Ms.
Depending on Male or Female
Fill on your own. If unclear, attend class or watch the video</t>
      </text>
    </comment>
    <comment authorId="0" ref="E96">
      <text>
        <t xml:space="preserve">Salutation + Name
Fill on your own. If unclear, attend class or watch the video</t>
      </text>
    </comment>
    <comment authorId="0" ref="G96">
      <text>
        <t xml:space="preserve">Fill on your own. If unclear, attend class or watch the video</t>
      </text>
    </comment>
    <comment authorId="0" ref="J96">
      <text>
        <t xml:space="preserve">North and South Region -- Rs. 10,000
East and West Region -- Rs. 5,000
Fill on your own. If unclear, attend class or watch the video
</t>
      </text>
    </comment>
    <comment authorId="0" ref="D97">
      <text>
        <t xml:space="preserve">Mr. or Ms.
Depending on Male or Female
Fill on your own. If unclear, attend class or watch the video</t>
      </text>
    </comment>
    <comment authorId="0" ref="E97">
      <text>
        <t xml:space="preserve">Salutation + Name
Fill on your own. If unclear, attend class or watch the video</t>
      </text>
    </comment>
    <comment authorId="0" ref="G97">
      <text>
        <t xml:space="preserve">Fill on your own. If unclear, attend class or watch the video</t>
      </text>
    </comment>
    <comment authorId="0" ref="J97">
      <text>
        <t xml:space="preserve">North and South Region -- Rs. 10,000
East and West Region -- Rs. 5,000
Fill on your own. If unclear, attend class or watch the video
</t>
      </text>
    </comment>
    <comment authorId="0" ref="D98">
      <text>
        <t xml:space="preserve">Mr. or Ms.
Depending on Male or Female
Fill on your own. If unclear, attend class or watch the video</t>
      </text>
    </comment>
    <comment authorId="0" ref="E98">
      <text>
        <t xml:space="preserve">Salutation + Name
Fill on your own. If unclear, attend class or watch the video</t>
      </text>
    </comment>
    <comment authorId="0" ref="G98">
      <text>
        <t xml:space="preserve">Fill on your own. If unclear, attend class or watch the video</t>
      </text>
    </comment>
    <comment authorId="0" ref="J98">
      <text>
        <t xml:space="preserve">North and South Region -- Rs. 10,000
East and West Region -- Rs. 5,000
Fill on your own. If unclear, attend class or watch the video
</t>
      </text>
    </comment>
    <comment authorId="0" ref="D99">
      <text>
        <t xml:space="preserve">Mr. or Ms.
Depending on Male or Female
Fill on your own. If unclear, attend class or watch the video</t>
      </text>
    </comment>
    <comment authorId="0" ref="E99">
      <text>
        <t xml:space="preserve">Salutation + Name
Fill on your own. If unclear, attend class or watch the video</t>
      </text>
    </comment>
    <comment authorId="0" ref="G99">
      <text>
        <t xml:space="preserve">Fill on your own. If unclear, attend class or watch the video</t>
      </text>
    </comment>
    <comment authorId="0" ref="J99">
      <text>
        <t xml:space="preserve">North and South Region -- Rs. 10,000
East and West Region -- Rs. 5,000
Fill on your own. If unclear, attend class or watch the video
</t>
      </text>
    </comment>
    <comment authorId="0" ref="D100">
      <text>
        <t xml:space="preserve">Mr. or Ms.
Depending on Male or Female
Fill on your own. If unclear, attend class or watch the video</t>
      </text>
    </comment>
    <comment authorId="0" ref="E100">
      <text>
        <t xml:space="preserve">Salutation + Name
Fill on your own. If unclear, attend class or watch the video</t>
      </text>
    </comment>
    <comment authorId="0" ref="G100">
      <text>
        <t xml:space="preserve">Fill on your own. If unclear, attend class or watch the video</t>
      </text>
    </comment>
    <comment authorId="0" ref="J100">
      <text>
        <t xml:space="preserve">North and South Region -- Rs. 10,000
East and West Region -- Rs. 5,000
Fill on your own. If unclear, attend class or watch the video
</t>
      </text>
    </comment>
    <comment authorId="0" ref="D101">
      <text>
        <t xml:space="preserve">Mr. or Ms.
Depending on Male or Female
Fill on your own. If unclear, attend class or watch the video</t>
      </text>
    </comment>
    <comment authorId="0" ref="E101">
      <text>
        <t xml:space="preserve">Salutation + Name
Fill on your own. If unclear, attend class or watch the video</t>
      </text>
    </comment>
    <comment authorId="0" ref="G101">
      <text>
        <t xml:space="preserve">Fill on your own. If unclear, attend class or watch the video</t>
      </text>
    </comment>
    <comment authorId="0" ref="J101">
      <text>
        <t xml:space="preserve">North and South Region -- Rs. 10,000
East and West Region -- Rs. 5,000
Fill on your own. If unclear, attend class or watch the video
</t>
      </text>
    </comment>
    <comment authorId="0" ref="D102">
      <text>
        <t xml:space="preserve">Mr. or Ms.
Depending on Male or Female
Fill on your own. If unclear, attend class or watch the video</t>
      </text>
    </comment>
    <comment authorId="0" ref="E102">
      <text>
        <t xml:space="preserve">Salutation + Name
Fill on your own. If unclear, attend class or watch the video</t>
      </text>
    </comment>
    <comment authorId="0" ref="G102">
      <text>
        <t xml:space="preserve">Fill on your own. If unclear, attend class or watch the video</t>
      </text>
    </comment>
    <comment authorId="0" ref="J102">
      <text>
        <t xml:space="preserve">North and South Region -- Rs. 10,000
East and West Region -- Rs. 5,000
Fill on your own. If unclear, attend class or watch the video
</t>
      </text>
    </comment>
    <comment authorId="0" ref="D103">
      <text>
        <t xml:space="preserve">Mr. or Ms.
Depending on Male or Female
Fill on your own. If unclear, attend class or watch the video</t>
      </text>
    </comment>
    <comment authorId="0" ref="E103">
      <text>
        <t xml:space="preserve">Salutation + Name
Fill on your own. If unclear, attend class or watch the video</t>
      </text>
    </comment>
    <comment authorId="0" ref="G103">
      <text>
        <t xml:space="preserve">Fill on your own. If unclear, attend class or watch the video</t>
      </text>
    </comment>
    <comment authorId="0" ref="J103">
      <text>
        <t xml:space="preserve">North and South Region -- Rs. 10,000
East and West Region -- Rs. 5,000
Fill on your own. If unclear, attend class or watch the video
</t>
      </text>
    </comment>
    <comment authorId="0" ref="D104">
      <text>
        <t xml:space="preserve">Mr. or Ms.
Depending on Male or Female
Fill on your own. If unclear, attend class or watch the video</t>
      </text>
    </comment>
    <comment authorId="0" ref="E104">
      <text>
        <t xml:space="preserve">Salutation + Name
Fill on your own. If unclear, attend class or watch the video</t>
      </text>
    </comment>
    <comment authorId="0" ref="G104">
      <text>
        <t xml:space="preserve">Fill on your own. If unclear, attend class or watch the video</t>
      </text>
    </comment>
    <comment authorId="0" ref="J104">
      <text>
        <t xml:space="preserve">North and South Region -- Rs. 10,000
East and West Region -- Rs. 5,000
Fill on your own. If unclear, attend class or watch the video
</t>
      </text>
    </comment>
    <comment authorId="0" ref="D105">
      <text>
        <t xml:space="preserve">Mr. or Ms.
Depending on Male or Female
Fill on your own. If unclear, attend class or watch the video</t>
      </text>
    </comment>
    <comment authorId="0" ref="E105">
      <text>
        <t xml:space="preserve">Salutation + Name
Fill on your own. If unclear, attend class or watch the video</t>
      </text>
    </comment>
    <comment authorId="0" ref="G105">
      <text>
        <t xml:space="preserve">Fill on your own. If unclear, attend class or watch the video</t>
      </text>
    </comment>
    <comment authorId="0" ref="J105">
      <text>
        <t xml:space="preserve">North and South Region -- Rs. 10,000
East and West Region -- Rs. 5,000
Fill on your own. If unclear, attend class or watch the video
</t>
      </text>
    </comment>
    <comment authorId="0" ref="D106">
      <text>
        <t xml:space="preserve">Mr. or Ms.
Depending on Male or Female
Fill on your own. If unclear, attend class or watch the video</t>
      </text>
    </comment>
    <comment authorId="0" ref="E106">
      <text>
        <t xml:space="preserve">Salutation + Name
Fill on your own. If unclear, attend class or watch the video</t>
      </text>
    </comment>
    <comment authorId="0" ref="G106">
      <text>
        <t xml:space="preserve">Fill on your own. If unclear, attend class or watch the video</t>
      </text>
    </comment>
    <comment authorId="0" ref="J106">
      <text>
        <t xml:space="preserve">North and South Region -- Rs. 10,000
East and West Region -- Rs. 5,000
Fill on your own. If unclear, attend class or watch the video
</t>
      </text>
    </comment>
    <comment authorId="0" ref="D107">
      <text>
        <t xml:space="preserve">Mr. or Ms.
Depending on Male or Female
Fill on your own. If unclear, attend class or watch the video</t>
      </text>
    </comment>
    <comment authorId="0" ref="E107">
      <text>
        <t xml:space="preserve">Salutation + Name
Fill on your own. If unclear, attend class or watch the video</t>
      </text>
    </comment>
    <comment authorId="0" ref="G107">
      <text>
        <t xml:space="preserve">Fill on your own. If unclear, attend class or watch the video</t>
      </text>
    </comment>
    <comment authorId="0" ref="J107">
      <text>
        <t xml:space="preserve">North and South Region -- Rs. 10,000
East and West Region -- Rs. 5,000
Fill on your own. If unclear, attend class or watch the video
</t>
      </text>
    </comment>
    <comment authorId="0" ref="D108">
      <text>
        <t xml:space="preserve">Mr. or Ms.
Depending on Male or Female
Fill on your own. If unclear, attend class or watch the video</t>
      </text>
    </comment>
    <comment authorId="0" ref="E108">
      <text>
        <t xml:space="preserve">Salutation + Name
Fill on your own. If unclear, attend class or watch the video</t>
      </text>
    </comment>
    <comment authorId="0" ref="G108">
      <text>
        <t xml:space="preserve">Fill on your own. If unclear, attend class or watch the video</t>
      </text>
    </comment>
    <comment authorId="0" ref="J108">
      <text>
        <t xml:space="preserve">North and South Region -- Rs. 10,000
East and West Region -- Rs. 5,000
Fill on your own. If unclear, attend class or watch the video
</t>
      </text>
    </comment>
    <comment authorId="0" ref="D109">
      <text>
        <t xml:space="preserve">Mr. or Ms.
Depending on Male or Female
Fill on your own. If unclear, attend class or watch the video</t>
      </text>
    </comment>
    <comment authorId="0" ref="E109">
      <text>
        <t xml:space="preserve">Salutation + Name
Fill on your own. If unclear, attend class or watch the video</t>
      </text>
    </comment>
    <comment authorId="0" ref="G109">
      <text>
        <t xml:space="preserve">Fill on your own. If unclear, attend class or watch the video</t>
      </text>
    </comment>
    <comment authorId="0" ref="J109">
      <text>
        <t xml:space="preserve">North and South Region -- Rs. 10,000
East and West Region -- Rs. 5,000
Fill on your own. If unclear, attend class or watch the video
</t>
      </text>
    </comment>
    <comment authorId="0" ref="D110">
      <text>
        <t xml:space="preserve">Mr. or Ms.
Depending on Male or Female
Fill on your own. If unclear, attend class or watch the video</t>
      </text>
    </comment>
    <comment authorId="0" ref="E110">
      <text>
        <t xml:space="preserve">Salutation + Name
Fill on your own. If unclear, attend class or watch the video</t>
      </text>
    </comment>
    <comment authorId="0" ref="G110">
      <text>
        <t xml:space="preserve">Fill on your own. If unclear, attend class or watch the video</t>
      </text>
    </comment>
    <comment authorId="0" ref="J110">
      <text>
        <t xml:space="preserve">North and South Region -- Rs. 10,000
East and West Region -- Rs. 5,000
Fill on your own. If unclear, attend class or watch the video
</t>
      </text>
    </comment>
    <comment authorId="0" ref="D111">
      <text>
        <t xml:space="preserve">Mr. or Ms.
Depending on Male or Female
Fill on your own. If unclear, attend class or watch the video</t>
      </text>
    </comment>
    <comment authorId="0" ref="E111">
      <text>
        <t xml:space="preserve">Salutation + Name
Fill on your own. If unclear, attend class or watch the video</t>
      </text>
    </comment>
    <comment authorId="0" ref="G111">
      <text>
        <t xml:space="preserve">Fill on your own. If unclear, attend class or watch the video</t>
      </text>
    </comment>
    <comment authorId="0" ref="J111">
      <text>
        <t xml:space="preserve">North and South Region -- Rs. 10,000
East and West Region -- Rs. 5,000
Fill on your own. If unclear, attend class or watch the video
</t>
      </text>
    </comment>
    <comment authorId="0" ref="D112">
      <text>
        <t xml:space="preserve">Mr. or Ms.
Depending on Male or Female
Fill on your own. If unclear, attend class or watch the video</t>
      </text>
    </comment>
    <comment authorId="0" ref="E112">
      <text>
        <t xml:space="preserve">Salutation + Name
Fill on your own. If unclear, attend class or watch the video</t>
      </text>
    </comment>
    <comment authorId="0" ref="G112">
      <text>
        <t xml:space="preserve">Fill on your own. If unclear, attend class or watch the video</t>
      </text>
    </comment>
    <comment authorId="0" ref="J112">
      <text>
        <t xml:space="preserve">North and South Region -- Rs. 10,000
East and West Region -- Rs. 5,000
Fill on your own. If unclear, attend class or watch the video
</t>
      </text>
    </comment>
    <comment authorId="0" ref="D113">
      <text>
        <t xml:space="preserve">Mr. or Ms.
Depending on Male or Female
Fill on your own. If unclear, attend class or watch the video</t>
      </text>
    </comment>
    <comment authorId="0" ref="E113">
      <text>
        <t xml:space="preserve">Salutation + Name
Fill on your own. If unclear, attend class or watch the video</t>
      </text>
    </comment>
    <comment authorId="0" ref="G113">
      <text>
        <t xml:space="preserve">Fill on your own. If unclear, attend class or watch the video</t>
      </text>
    </comment>
    <comment authorId="0" ref="J113">
      <text>
        <t xml:space="preserve">North and South Region -- Rs. 10,000
East and West Region -- Rs. 5,000
Fill on your own. If unclear, attend class or watch the video
</t>
      </text>
    </comment>
    <comment authorId="0" ref="D114">
      <text>
        <t xml:space="preserve">Mr. or Ms.
Depending on Male or Female
Fill on your own. If unclear, attend class or watch the video</t>
      </text>
    </comment>
    <comment authorId="0" ref="E114">
      <text>
        <t xml:space="preserve">Salutation + Name
Fill on your own. If unclear, attend class or watch the video</t>
      </text>
    </comment>
    <comment authorId="0" ref="G114">
      <text>
        <t xml:space="preserve">Fill on your own. If unclear, attend class or watch the video</t>
      </text>
    </comment>
    <comment authorId="0" ref="J114">
      <text>
        <t xml:space="preserve">North and South Region -- Rs. 10,000
East and West Region -- Rs. 5,000
Fill on your own. If unclear, attend class or watch the video
</t>
      </text>
    </comment>
    <comment authorId="0" ref="D115">
      <text>
        <t xml:space="preserve">Mr. or Ms.
Depending on Male or Female
Fill on your own. If unclear, attend class or watch the video</t>
      </text>
    </comment>
    <comment authorId="0" ref="E115">
      <text>
        <t xml:space="preserve">Salutation + Name
Fill on your own. If unclear, attend class or watch the video</t>
      </text>
    </comment>
    <comment authorId="0" ref="G115">
      <text>
        <t xml:space="preserve">Fill on your own. If unclear, attend class or watch the video</t>
      </text>
    </comment>
    <comment authorId="0" ref="J115">
      <text>
        <t xml:space="preserve">North and South Region -- Rs. 10,000
East and West Region -- Rs. 5,000
Fill on your own. If unclear, attend class or watch the video
</t>
      </text>
    </comment>
    <comment authorId="0" ref="D116">
      <text>
        <t xml:space="preserve">Mr. or Ms.
Depending on Male or Female
Fill on your own. If unclear, attend class or watch the video</t>
      </text>
    </comment>
    <comment authorId="0" ref="E116">
      <text>
        <t xml:space="preserve">Salutation + Name
Fill on your own. If unclear, attend class or watch the video</t>
      </text>
    </comment>
    <comment authorId="0" ref="G116">
      <text>
        <t xml:space="preserve">Fill on your own. If unclear, attend class or watch the video</t>
      </text>
    </comment>
    <comment authorId="0" ref="J116">
      <text>
        <t xml:space="preserve">North and South Region -- Rs. 10,000
East and West Region -- Rs. 5,000
Fill on your own. If unclear, attend class or watch the video
</t>
      </text>
    </comment>
    <comment authorId="0" ref="D117">
      <text>
        <t xml:space="preserve">Mr. or Ms.
Depending on Male or Female
Fill on your own. If unclear, attend class or watch the video</t>
      </text>
    </comment>
    <comment authorId="0" ref="E117">
      <text>
        <t xml:space="preserve">Salutation + Name
Fill on your own. If unclear, attend class or watch the video</t>
      </text>
    </comment>
    <comment authorId="0" ref="G117">
      <text>
        <t xml:space="preserve">Fill on your own. If unclear, attend class or watch the video</t>
      </text>
    </comment>
    <comment authorId="0" ref="J117">
      <text>
        <t xml:space="preserve">North and South Region -- Rs. 10,000
East and West Region -- Rs. 5,000
Fill on your own. If unclear, attend class or watch the video
</t>
      </text>
    </comment>
    <comment authorId="0" ref="D118">
      <text>
        <t xml:space="preserve">Mr. or Ms.
Depending on Male or Female
Fill on your own. If unclear, attend class or watch the video</t>
      </text>
    </comment>
    <comment authorId="0" ref="E118">
      <text>
        <t xml:space="preserve">Salutation + Name
Fill on your own. If unclear, attend class or watch the video</t>
      </text>
    </comment>
    <comment authorId="0" ref="G118">
      <text>
        <t xml:space="preserve">Fill on your own. If unclear, attend class or watch the video</t>
      </text>
    </comment>
    <comment authorId="0" ref="J118">
      <text>
        <t xml:space="preserve">North and South Region -- Rs. 10,000
East and West Region -- Rs. 5,000
Fill on your own. If unclear, attend class or watch the video
</t>
      </text>
    </comment>
    <comment authorId="0" ref="D119">
      <text>
        <t xml:space="preserve">Mr. or Ms.
Depending on Male or Female
Fill on your own. If unclear, attend class or watch the video</t>
      </text>
    </comment>
    <comment authorId="0" ref="E119">
      <text>
        <t xml:space="preserve">Salutation + Name
Fill on your own. If unclear, attend class or watch the video</t>
      </text>
    </comment>
    <comment authorId="0" ref="G119">
      <text>
        <t xml:space="preserve">Fill on your own. If unclear, attend class or watch the video</t>
      </text>
    </comment>
    <comment authorId="0" ref="J119">
      <text>
        <t xml:space="preserve">North and South Region -- Rs. 10,000
East and West Region -- Rs. 5,000
Fill on your own. If unclear, attend class or watch the video
</t>
      </text>
    </comment>
    <comment authorId="0" ref="D120">
      <text>
        <t xml:space="preserve">Mr. or Ms.
Depending on Male or Female
Fill on your own. If unclear, attend class or watch the video</t>
      </text>
    </comment>
    <comment authorId="0" ref="E120">
      <text>
        <t xml:space="preserve">Salutation + Name
Fill on your own. If unclear, attend class or watch the video</t>
      </text>
    </comment>
    <comment authorId="0" ref="G120">
      <text>
        <t xml:space="preserve">Fill on your own. If unclear, attend class or watch the video</t>
      </text>
    </comment>
    <comment authorId="0" ref="J120">
      <text>
        <t xml:space="preserve">North and South Region -- Rs. 10,000
East and West Region -- Rs. 5,000
Fill on your own. If unclear, attend class or watch the video
</t>
      </text>
    </comment>
    <comment authorId="0" ref="D121">
      <text>
        <t xml:space="preserve">Mr. or Ms.
Depending on Male or Female
Fill on your own. If unclear, attend class or watch the video</t>
      </text>
    </comment>
    <comment authorId="0" ref="E121">
      <text>
        <t xml:space="preserve">Salutation + Name
Fill on your own. If unclear, attend class or watch the video</t>
      </text>
    </comment>
    <comment authorId="0" ref="G121">
      <text>
        <t xml:space="preserve">Fill on your own. If unclear, attend class or watch the video</t>
      </text>
    </comment>
    <comment authorId="0" ref="J121">
      <text>
        <t xml:space="preserve">North and South Region -- Rs. 10,000
East and West Region -- Rs. 5,000
Fill on your own. If unclear, attend class or watch the video
</t>
      </text>
    </comment>
    <comment authorId="0" ref="D122">
      <text>
        <t xml:space="preserve">Mr. or Ms.
Depending on Male or Female
Fill on your own. If unclear, attend class or watch the video</t>
      </text>
    </comment>
    <comment authorId="0" ref="E122">
      <text>
        <t xml:space="preserve">Salutation + Name
Fill on your own. If unclear, attend class or watch the video</t>
      </text>
    </comment>
    <comment authorId="0" ref="G122">
      <text>
        <t xml:space="preserve">Fill on your own. If unclear, attend class or watch the video</t>
      </text>
    </comment>
    <comment authorId="0" ref="J122">
      <text>
        <t xml:space="preserve">North and South Region -- Rs. 10,000
East and West Region -- Rs. 5,000
Fill on your own. If unclear, attend class or watch the video
</t>
      </text>
    </comment>
    <comment authorId="0" ref="D123">
      <text>
        <t xml:space="preserve">Mr. or Ms.
Depending on Male or Female
Fill on your own. If unclear, attend class or watch the video</t>
      </text>
    </comment>
    <comment authorId="0" ref="E123">
      <text>
        <t xml:space="preserve">Salutation + Name
Fill on your own. If unclear, attend class or watch the video</t>
      </text>
    </comment>
    <comment authorId="0" ref="G123">
      <text>
        <t xml:space="preserve">Fill on your own. If unclear, attend class or watch the video</t>
      </text>
    </comment>
    <comment authorId="0" ref="J123">
      <text>
        <t xml:space="preserve">North and South Region -- Rs. 10,000
East and West Region -- Rs. 5,000
Fill on your own. If unclear, attend class or watch the video
</t>
      </text>
    </comment>
    <comment authorId="0" ref="D124">
      <text>
        <t xml:space="preserve">Mr. or Ms.
Depending on Male or Female
Fill on your own. If unclear, attend class or watch the video</t>
      </text>
    </comment>
    <comment authorId="0" ref="E124">
      <text>
        <t xml:space="preserve">Salutation + Name
Fill on your own. If unclear, attend class or watch the video</t>
      </text>
    </comment>
    <comment authorId="0" ref="G124">
      <text>
        <t xml:space="preserve">Fill on your own. If unclear, attend class or watch the video</t>
      </text>
    </comment>
    <comment authorId="0" ref="J124">
      <text>
        <t xml:space="preserve">North and South Region -- Rs. 10,000
East and West Region -- Rs. 5,000
Fill on your own. If unclear, attend class or watch the video
</t>
      </text>
    </comment>
    <comment authorId="0" ref="D125">
      <text>
        <t xml:space="preserve">Mr. or Ms.
Depending on Male or Female
Fill on your own. If unclear, attend class or watch the video</t>
      </text>
    </comment>
    <comment authorId="0" ref="E125">
      <text>
        <t xml:space="preserve">Salutation + Name
Fill on your own. If unclear, attend class or watch the video</t>
      </text>
    </comment>
    <comment authorId="0" ref="G125">
      <text>
        <t xml:space="preserve">Fill on your own. If unclear, attend class or watch the video</t>
      </text>
    </comment>
    <comment authorId="0" ref="J125">
      <text>
        <t xml:space="preserve">North and South Region -- Rs. 10,000
East and West Region -- Rs. 5,000
Fill on your own. If unclear, attend class or watch the video
</t>
      </text>
    </comment>
    <comment authorId="0" ref="D126">
      <text>
        <t xml:space="preserve">Mr. or Ms.
Depending on Male or Female
Fill on your own. If unclear, attend class or watch the video</t>
      </text>
    </comment>
    <comment authorId="0" ref="E126">
      <text>
        <t xml:space="preserve">Salutation + Name
Fill on your own. If unclear, attend class or watch the video</t>
      </text>
    </comment>
    <comment authorId="0" ref="G126">
      <text>
        <t xml:space="preserve">Fill on your own. If unclear, attend class or watch the video</t>
      </text>
    </comment>
    <comment authorId="0" ref="J126">
      <text>
        <t xml:space="preserve">North and South Region -- Rs. 10,000
East and West Region -- Rs. 5,000
Fill on your own. If unclear, attend class or watch the video
</t>
      </text>
    </comment>
    <comment authorId="0" ref="D127">
      <text>
        <t xml:space="preserve">Mr. or Ms.
Depending on Male or Female
Fill on your own. If unclear, attend class or watch the video</t>
      </text>
    </comment>
    <comment authorId="0" ref="E127">
      <text>
        <t xml:space="preserve">Salutation + Name
Fill on your own. If unclear, attend class or watch the video</t>
      </text>
    </comment>
    <comment authorId="0" ref="G127">
      <text>
        <t xml:space="preserve">Fill on your own. If unclear, attend class or watch the video</t>
      </text>
    </comment>
    <comment authorId="0" ref="J127">
      <text>
        <t xml:space="preserve">North and South Region -- Rs. 10,000
East and West Region -- Rs. 5,000
Fill on your own. If unclear, attend class or watch the video
</t>
      </text>
    </comment>
    <comment authorId="0" ref="D128">
      <text>
        <t xml:space="preserve">Mr. or Ms.
Depending on Male or Female
Fill on your own. If unclear, attend class or watch the video</t>
      </text>
    </comment>
    <comment authorId="0" ref="E128">
      <text>
        <t xml:space="preserve">Salutation + Name
Fill on your own. If unclear, attend class or watch the video</t>
      </text>
    </comment>
    <comment authorId="0" ref="G128">
      <text>
        <t xml:space="preserve">Fill on your own. If unclear, attend class or watch the video</t>
      </text>
    </comment>
    <comment authorId="0" ref="J128">
      <text>
        <t xml:space="preserve">North and South Region -- Rs. 10,000
East and West Region -- Rs. 5,000
Fill on your own. If unclear, attend class or watch the video
</t>
      </text>
    </comment>
    <comment authorId="0" ref="D129">
      <text>
        <t xml:space="preserve">Mr. or Ms.
Depending on Male or Female
Fill on your own. If unclear, attend class or watch the video</t>
      </text>
    </comment>
    <comment authorId="0" ref="E129">
      <text>
        <t xml:space="preserve">Salutation + Name
Fill on your own. If unclear, attend class or watch the video</t>
      </text>
    </comment>
    <comment authorId="0" ref="G129">
      <text>
        <t xml:space="preserve">Fill on your own. If unclear, attend class or watch the video</t>
      </text>
    </comment>
    <comment authorId="0" ref="J129">
      <text>
        <t xml:space="preserve">North and South Region -- Rs. 10,000
East and West Region -- Rs. 5,000
Fill on your own. If unclear, attend class or watch the video
</t>
      </text>
    </comment>
    <comment authorId="0" ref="D130">
      <text>
        <t xml:space="preserve">Mr. or Ms.
Depending on Male or Female
Fill on your own. If unclear, attend class or watch the video</t>
      </text>
    </comment>
    <comment authorId="0" ref="E130">
      <text>
        <t xml:space="preserve">Salutation + Name
Fill on your own. If unclear, attend class or watch the video</t>
      </text>
    </comment>
    <comment authorId="0" ref="G130">
      <text>
        <t xml:space="preserve">Fill on your own. If unclear, attend class or watch the video</t>
      </text>
    </comment>
    <comment authorId="0" ref="J130">
      <text>
        <t xml:space="preserve">North and South Region -- Rs. 10,000
East and West Region -- Rs. 5,000
Fill on your own. If unclear, attend class or watch the video
</t>
      </text>
    </comment>
    <comment authorId="0" ref="D131">
      <text>
        <t xml:space="preserve">Mr. or Ms.
Depending on Male or Female
Fill on your own. If unclear, attend class or watch the video</t>
      </text>
    </comment>
    <comment authorId="0" ref="E131">
      <text>
        <t xml:space="preserve">Salutation + Name
Fill on your own. If unclear, attend class or watch the video</t>
      </text>
    </comment>
    <comment authorId="0" ref="G131">
      <text>
        <t xml:space="preserve">Fill on your own. If unclear, attend class or watch the video</t>
      </text>
    </comment>
    <comment authorId="0" ref="J131">
      <text>
        <t xml:space="preserve">North and South Region -- Rs. 10,000
East and West Region -- Rs. 5,000
Fill on your own. If unclear, attend class or watch the video
</t>
      </text>
    </comment>
    <comment authorId="0" ref="D132">
      <text>
        <t xml:space="preserve">Mr. or Ms.
Depending on Male or Female
Fill on your own. If unclear, attend class or watch the video</t>
      </text>
    </comment>
    <comment authorId="0" ref="E132">
      <text>
        <t xml:space="preserve">Salutation + Name
Fill on your own. If unclear, attend class or watch the video</t>
      </text>
    </comment>
    <comment authorId="0" ref="G132">
      <text>
        <t xml:space="preserve">Fill on your own. If unclear, attend class or watch the video</t>
      </text>
    </comment>
    <comment authorId="0" ref="J132">
      <text>
        <t xml:space="preserve">North and South Region -- Rs. 10,000
East and West Region -- Rs. 5,000
Fill on your own. If unclear, attend class or watch the video
</t>
      </text>
    </comment>
    <comment authorId="0" ref="D133">
      <text>
        <t xml:space="preserve">Mr. or Ms.
Depending on Male or Female
Fill on your own. If unclear, attend class or watch the video</t>
      </text>
    </comment>
    <comment authorId="0" ref="E133">
      <text>
        <t xml:space="preserve">Salutation + Name
Fill on your own. If unclear, attend class or watch the video</t>
      </text>
    </comment>
    <comment authorId="0" ref="G133">
      <text>
        <t xml:space="preserve">Fill on your own. If unclear, attend class or watch the video</t>
      </text>
    </comment>
    <comment authorId="0" ref="J133">
      <text>
        <t xml:space="preserve">North and South Region -- Rs. 10,000
East and West Region -- Rs. 5,000
Fill on your own. If unclear, attend class or watch the video
</t>
      </text>
    </comment>
    <comment authorId="0" ref="D134">
      <text>
        <t xml:space="preserve">Mr. or Ms.
Depending on Male or Female
Fill on your own. If unclear, attend class or watch the video</t>
      </text>
    </comment>
    <comment authorId="0" ref="E134">
      <text>
        <t xml:space="preserve">Salutation + Name
Fill on your own. If unclear, attend class or watch the video</t>
      </text>
    </comment>
    <comment authorId="0" ref="G134">
      <text>
        <t xml:space="preserve">Fill on your own. If unclear, attend class or watch the video</t>
      </text>
    </comment>
    <comment authorId="0" ref="J134">
      <text>
        <t xml:space="preserve">North and South Region -- Rs. 10,000
East and West Region -- Rs. 5,000
Fill on your own. If unclear, attend class or watch the video
</t>
      </text>
    </comment>
    <comment authorId="0" ref="D135">
      <text>
        <t xml:space="preserve">Mr. or Ms.
Depending on Male or Female
Fill on your own. If unclear, attend class or watch the video</t>
      </text>
    </comment>
    <comment authorId="0" ref="E135">
      <text>
        <t xml:space="preserve">Salutation + Name
Fill on your own. If unclear, attend class or watch the video</t>
      </text>
    </comment>
    <comment authorId="0" ref="G135">
      <text>
        <t xml:space="preserve">Fill on your own. If unclear, attend class or watch the video</t>
      </text>
    </comment>
    <comment authorId="0" ref="J135">
      <text>
        <t xml:space="preserve">North and South Region -- Rs. 10,000
East and West Region -- Rs. 5,000
Fill on your own. If unclear, attend class or watch the video
</t>
      </text>
    </comment>
    <comment authorId="0" ref="D136">
      <text>
        <t xml:space="preserve">Mr. or Ms.
Depending on Male or Female
Fill on your own. If unclear, attend class or watch the video</t>
      </text>
    </comment>
    <comment authorId="0" ref="E136">
      <text>
        <t xml:space="preserve">Salutation + Name
Fill on your own. If unclear, attend class or watch the video</t>
      </text>
    </comment>
    <comment authorId="0" ref="G136">
      <text>
        <t xml:space="preserve">Fill on your own. If unclear, attend class or watch the video</t>
      </text>
    </comment>
    <comment authorId="0" ref="J136">
      <text>
        <t xml:space="preserve">North and South Region -- Rs. 10,000
East and West Region -- Rs. 5,000
Fill on your own. If unclear, attend class or watch the video
</t>
      </text>
    </comment>
    <comment authorId="0" ref="D137">
      <text>
        <t xml:space="preserve">Mr. or Ms.
Depending on Male or Female
Fill on your own. If unclear, attend class or watch the video</t>
      </text>
    </comment>
    <comment authorId="0" ref="E137">
      <text>
        <t xml:space="preserve">Salutation + Name
Fill on your own. If unclear, attend class or watch the video</t>
      </text>
    </comment>
    <comment authorId="0" ref="G137">
      <text>
        <t xml:space="preserve">Fill on your own. If unclear, attend class or watch the video</t>
      </text>
    </comment>
    <comment authorId="0" ref="J137">
      <text>
        <t xml:space="preserve">North and South Region -- Rs. 10,000
East and West Region -- Rs. 5,000
Fill on your own. If unclear, attend class or watch the video
</t>
      </text>
    </comment>
    <comment authorId="0" ref="D138">
      <text>
        <t xml:space="preserve">Mr. or Ms.
Depending on Male or Female
Fill on your own. If unclear, attend class or watch the video</t>
      </text>
    </comment>
    <comment authorId="0" ref="E138">
      <text>
        <t xml:space="preserve">Salutation + Name
Fill on your own. If unclear, attend class or watch the video</t>
      </text>
    </comment>
    <comment authorId="0" ref="G138">
      <text>
        <t xml:space="preserve">Fill on your own. If unclear, attend class or watch the video</t>
      </text>
    </comment>
    <comment authorId="0" ref="J138">
      <text>
        <t xml:space="preserve">North and South Region -- Rs. 10,000
East and West Region -- Rs. 5,000
Fill on your own. If unclear, attend class or watch the video
</t>
      </text>
    </comment>
    <comment authorId="0" ref="D139">
      <text>
        <t xml:space="preserve">Mr. or Ms.
Depending on Male or Female
Fill on your own. If unclear, attend class or watch the video</t>
      </text>
    </comment>
    <comment authorId="0" ref="E139">
      <text>
        <t xml:space="preserve">Salutation + Name
Fill on your own. If unclear, attend class or watch the video</t>
      </text>
    </comment>
    <comment authorId="0" ref="G139">
      <text>
        <t xml:space="preserve">Fill on your own. If unclear, attend class or watch the video</t>
      </text>
    </comment>
    <comment authorId="0" ref="J139">
      <text>
        <t xml:space="preserve">North and South Region -- Rs. 10,000
East and West Region -- Rs. 5,000
Fill on your own. If unclear, attend class or watch the video
</t>
      </text>
    </comment>
    <comment authorId="0" ref="D140">
      <text>
        <t xml:space="preserve">Mr. or Ms.
Depending on Male or Female
Fill on your own. If unclear, attend class or watch the video</t>
      </text>
    </comment>
    <comment authorId="0" ref="E140">
      <text>
        <t xml:space="preserve">Salutation + Name
Fill on your own. If unclear, attend class or watch the video</t>
      </text>
    </comment>
    <comment authorId="0" ref="G140">
      <text>
        <t xml:space="preserve">Fill on your own. If unclear, attend class or watch the video</t>
      </text>
    </comment>
    <comment authorId="0" ref="J140">
      <text>
        <t xml:space="preserve">North and South Region -- Rs. 10,000
East and West Region -- Rs. 5,000
Fill on your own. If unclear, attend class or watch the video
</t>
      </text>
    </comment>
    <comment authorId="0" ref="D141">
      <text>
        <t xml:space="preserve">Mr. or Ms.
Depending on Male or Female
Fill on your own. If unclear, attend class or watch the video</t>
      </text>
    </comment>
    <comment authorId="0" ref="E141">
      <text>
        <t xml:space="preserve">Salutation + Name
Fill on your own. If unclear, attend class or watch the video</t>
      </text>
    </comment>
    <comment authorId="0" ref="G141">
      <text>
        <t xml:space="preserve">Fill on your own. If unclear, attend class or watch the video</t>
      </text>
    </comment>
    <comment authorId="0" ref="J141">
      <text>
        <t xml:space="preserve">North and South Region -- Rs. 10,000
East and West Region -- Rs. 5,000
Fill on your own. If unclear, attend class or watch the video
</t>
      </text>
    </comment>
    <comment authorId="0" ref="D142">
      <text>
        <t xml:space="preserve">Mr. or Ms.
Depending on Male or Female
Fill on your own. If unclear, attend class or watch the video</t>
      </text>
    </comment>
    <comment authorId="0" ref="E142">
      <text>
        <t xml:space="preserve">Salutation + Name
Fill on your own. If unclear, attend class or watch the video</t>
      </text>
    </comment>
    <comment authorId="0" ref="G142">
      <text>
        <t xml:space="preserve">Fill on your own. If unclear, attend class or watch the video</t>
      </text>
    </comment>
    <comment authorId="0" ref="J142">
      <text>
        <t xml:space="preserve">North and South Region -- Rs. 10,000
East and West Region -- Rs. 5,000
Fill on your own. If unclear, attend class or watch the video
</t>
      </text>
    </comment>
    <comment authorId="0" ref="D143">
      <text>
        <t xml:space="preserve">Mr. or Ms.
Depending on Male or Female
Fill on your own. If unclear, attend class or watch the video</t>
      </text>
    </comment>
    <comment authorId="0" ref="E143">
      <text>
        <t xml:space="preserve">Salutation + Name
Fill on your own. If unclear, attend class or watch the video</t>
      </text>
    </comment>
    <comment authorId="0" ref="G143">
      <text>
        <t xml:space="preserve">Fill on your own. If unclear, attend class or watch the video</t>
      </text>
    </comment>
    <comment authorId="0" ref="J143">
      <text>
        <t xml:space="preserve">North and South Region -- Rs. 10,000
East and West Region -- Rs. 5,000
Fill on your own. If unclear, attend class or watch the video
</t>
      </text>
    </comment>
    <comment authorId="0" ref="D144">
      <text>
        <t xml:space="preserve">Mr. or Ms.
Depending on Male or Female
Fill on your own. If unclear, attend class or watch the video</t>
      </text>
    </comment>
    <comment authorId="0" ref="E144">
      <text>
        <t xml:space="preserve">Salutation + Name
Fill on your own. If unclear, attend class or watch the video</t>
      </text>
    </comment>
    <comment authorId="0" ref="G144">
      <text>
        <t xml:space="preserve">Fill on your own. If unclear, attend class or watch the video</t>
      </text>
    </comment>
    <comment authorId="0" ref="J144">
      <text>
        <t xml:space="preserve">North and South Region -- Rs. 10,000
East and West Region -- Rs. 5,000
Fill on your own. If unclear, attend class or watch the video
</t>
      </text>
    </comment>
    <comment authorId="0" ref="D145">
      <text>
        <t xml:space="preserve">Mr. or Ms.
Depending on Male or Female
Fill on your own. If unclear, attend class or watch the video</t>
      </text>
    </comment>
    <comment authorId="0" ref="E145">
      <text>
        <t xml:space="preserve">Salutation + Name
Fill on your own. If unclear, attend class or watch the video</t>
      </text>
    </comment>
    <comment authorId="0" ref="G145">
      <text>
        <t xml:space="preserve">Fill on your own. If unclear, attend class or watch the video</t>
      </text>
    </comment>
    <comment authorId="0" ref="J145">
      <text>
        <t xml:space="preserve">North and South Region -- Rs. 10,000
East and West Region -- Rs. 5,000
Fill on your own. If unclear, attend class or watch the video
</t>
      </text>
    </comment>
    <comment authorId="0" ref="D146">
      <text>
        <t xml:space="preserve">Mr. or Ms.
Depending on Male or Female
Fill on your own. If unclear, attend class or watch the video</t>
      </text>
    </comment>
    <comment authorId="0" ref="E146">
      <text>
        <t xml:space="preserve">Salutation + Name
Fill on your own. If unclear, attend class or watch the video</t>
      </text>
    </comment>
    <comment authorId="0" ref="G146">
      <text>
        <t xml:space="preserve">Fill on your own. If unclear, attend class or watch the video</t>
      </text>
    </comment>
    <comment authorId="0" ref="J146">
      <text>
        <t xml:space="preserve">North and South Region -- Rs. 10,000
East and West Region -- Rs. 5,000
Fill on your own. If unclear, attend class or watch the video
</t>
      </text>
    </comment>
    <comment authorId="0" ref="D147">
      <text>
        <t xml:space="preserve">Mr. or Ms.
Depending on Male or Female
Fill on your own. If unclear, attend class or watch the video</t>
      </text>
    </comment>
    <comment authorId="0" ref="E147">
      <text>
        <t xml:space="preserve">Salutation + Name
Fill on your own. If unclear, attend class or watch the video</t>
      </text>
    </comment>
    <comment authorId="0" ref="G147">
      <text>
        <t xml:space="preserve">Fill on your own. If unclear, attend class or watch the video</t>
      </text>
    </comment>
    <comment authorId="0" ref="J147">
      <text>
        <t xml:space="preserve">North and South Region -- Rs. 10,000
East and West Region -- Rs. 5,000
Fill on your own. If unclear, attend class or watch the video
</t>
      </text>
    </comment>
    <comment authorId="0" ref="D148">
      <text>
        <t xml:space="preserve">Mr. or Ms.
Depending on Male or Female
Fill on your own. If unclear, attend class or watch the video</t>
      </text>
    </comment>
    <comment authorId="0" ref="E148">
      <text>
        <t xml:space="preserve">Salutation + Name
Fill on your own. If unclear, attend class or watch the video</t>
      </text>
    </comment>
    <comment authorId="0" ref="G148">
      <text>
        <t xml:space="preserve">Fill on your own. If unclear, attend class or watch the video</t>
      </text>
    </comment>
    <comment authorId="0" ref="J148">
      <text>
        <t xml:space="preserve">North and South Region -- Rs. 10,000
East and West Region -- Rs. 5,000
Fill on your own. If unclear, attend class or watch the video
</t>
      </text>
    </comment>
    <comment authorId="0" ref="D149">
      <text>
        <t xml:space="preserve">Mr. or Ms.
Depending on Male or Female
Fill on your own. If unclear, attend class or watch the video</t>
      </text>
    </comment>
    <comment authorId="0" ref="E149">
      <text>
        <t xml:space="preserve">Salutation + Name
Fill on your own. If unclear, attend class or watch the video</t>
      </text>
    </comment>
    <comment authorId="0" ref="G149">
      <text>
        <t xml:space="preserve">Fill on your own. If unclear, attend class or watch the video</t>
      </text>
    </comment>
    <comment authorId="0" ref="J149">
      <text>
        <t xml:space="preserve">North and South Region -- Rs. 10,000
East and West Region -- Rs. 5,000
Fill on your own. If unclear, attend class or watch the video
</t>
      </text>
    </comment>
    <comment authorId="0" ref="D150">
      <text>
        <t xml:space="preserve">Mr. or Ms.
Depending on Male or Female
Fill on your own. If unclear, attend class or watch the video</t>
      </text>
    </comment>
    <comment authorId="0" ref="E150">
      <text>
        <t xml:space="preserve">Salutation + Name
Fill on your own. If unclear, attend class or watch the video</t>
      </text>
    </comment>
    <comment authorId="0" ref="G150">
      <text>
        <t xml:space="preserve">Fill on your own. If unclear, attend class or watch the video</t>
      </text>
    </comment>
    <comment authorId="0" ref="J150">
      <text>
        <t xml:space="preserve">North and South Region -- Rs. 10,000
East and West Region -- Rs. 5,000
Fill on your own. If unclear, attend class or watch the video
</t>
      </text>
    </comment>
    <comment authorId="0" ref="D151">
      <text>
        <t xml:space="preserve">Mr. or Ms.
Depending on Male or Female
Fill on your own. If unclear, attend class or watch the video</t>
      </text>
    </comment>
    <comment authorId="0" ref="E151">
      <text>
        <t xml:space="preserve">Salutation + Name
Fill on your own. If unclear, attend class or watch the video</t>
      </text>
    </comment>
    <comment authorId="0" ref="G151">
      <text>
        <t xml:space="preserve">Fill on your own. If unclear, attend class or watch the video</t>
      </text>
    </comment>
    <comment authorId="0" ref="J151">
      <text>
        <t xml:space="preserve">North and South Region -- Rs. 10,000
East and West Region -- Rs. 5,000
Fill on your own. If unclear, attend class or watch the video
</t>
      </text>
    </comment>
    <comment authorId="0" ref="D152">
      <text>
        <t xml:space="preserve">Mr. or Ms.
Depending on Male or Female
Fill on your own. If unclear, attend class or watch the video</t>
      </text>
    </comment>
    <comment authorId="0" ref="E152">
      <text>
        <t xml:space="preserve">Salutation + Name
Fill on your own. If unclear, attend class or watch the video</t>
      </text>
    </comment>
    <comment authorId="0" ref="G152">
      <text>
        <t xml:space="preserve">Fill on your own. If unclear, attend class or watch the video</t>
      </text>
    </comment>
    <comment authorId="0" ref="J152">
      <text>
        <t xml:space="preserve">North and South Region -- Rs. 10,000
East and West Region -- Rs. 5,000
Fill on your own. If unclear, attend class or watch the video
</t>
      </text>
    </comment>
    <comment authorId="0" ref="D153">
      <text>
        <t xml:space="preserve">Mr. or Ms.
Depending on Male or Female
Fill on your own. If unclear, attend class or watch the video</t>
      </text>
    </comment>
    <comment authorId="0" ref="E153">
      <text>
        <t xml:space="preserve">Salutation + Name
Fill on your own. If unclear, attend class or watch the video</t>
      </text>
    </comment>
    <comment authorId="0" ref="G153">
      <text>
        <t xml:space="preserve">Fill on your own. If unclear, attend class or watch the video</t>
      </text>
    </comment>
    <comment authorId="0" ref="J153">
      <text>
        <t xml:space="preserve">North and South Region -- Rs. 10,000
East and West Region -- Rs. 5,000
Fill on your own. If unclear, attend class or watch the video
</t>
      </text>
    </comment>
    <comment authorId="0" ref="D154">
      <text>
        <t xml:space="preserve">Mr. or Ms.
Depending on Male or Female
Fill on your own. If unclear, attend class or watch the video</t>
      </text>
    </comment>
    <comment authorId="0" ref="E154">
      <text>
        <t xml:space="preserve">Salutation + Name
Fill on your own. If unclear, attend class or watch the video</t>
      </text>
    </comment>
    <comment authorId="0" ref="G154">
      <text>
        <t xml:space="preserve">Fill on your own. If unclear, attend class or watch the video</t>
      </text>
    </comment>
    <comment authorId="0" ref="J154">
      <text>
        <t xml:space="preserve">North and South Region -- Rs. 10,000
East and West Region -- Rs. 5,000
Fill on your own. If unclear, attend class or watch the video
</t>
      </text>
    </comment>
    <comment authorId="0" ref="D155">
      <text>
        <t xml:space="preserve">Mr. or Ms.
Depending on Male or Female
Fill on your own. If unclear, attend class or watch the video</t>
      </text>
    </comment>
    <comment authorId="0" ref="E155">
      <text>
        <t xml:space="preserve">Salutation + Name
Fill on your own. If unclear, attend class or watch the video</t>
      </text>
    </comment>
    <comment authorId="0" ref="G155">
      <text>
        <t xml:space="preserve">Fill on your own. If unclear, attend class or watch the video</t>
      </text>
    </comment>
    <comment authorId="0" ref="J155">
      <text>
        <t xml:space="preserve">North and South Region -- Rs. 10,000
East and West Region -- Rs. 5,000
Fill on your own. If unclear, attend class or watch the video
</t>
      </text>
    </comment>
    <comment authorId="0" ref="D156">
      <text>
        <t xml:space="preserve">Mr. or Ms.
Depending on Male or Female
Fill on your own. If unclear, attend class or watch the video</t>
      </text>
    </comment>
    <comment authorId="0" ref="E156">
      <text>
        <t xml:space="preserve">Salutation + Name
Fill on your own. If unclear, attend class or watch the video</t>
      </text>
    </comment>
    <comment authorId="0" ref="G156">
      <text>
        <t xml:space="preserve">Fill on your own. If unclear, attend class or watch the video</t>
      </text>
    </comment>
    <comment authorId="0" ref="J156">
      <text>
        <t xml:space="preserve">North and South Region -- Rs. 10,000
East and West Region -- Rs. 5,000
Fill on your own. If unclear, attend class or watch the video
</t>
      </text>
    </comment>
    <comment authorId="0" ref="D157">
      <text>
        <t xml:space="preserve">Mr. or Ms.
Depending on Male or Female
Fill on your own. If unclear, attend class or watch the video</t>
      </text>
    </comment>
    <comment authorId="0" ref="E157">
      <text>
        <t xml:space="preserve">Salutation + Name
Fill on your own. If unclear, attend class or watch the video</t>
      </text>
    </comment>
    <comment authorId="0" ref="G157">
      <text>
        <t xml:space="preserve">Fill on your own. If unclear, attend class or watch the video</t>
      </text>
    </comment>
    <comment authorId="0" ref="J157">
      <text>
        <t xml:space="preserve">North and South Region -- Rs. 10,000
East and West Region -- Rs. 5,000
Fill on your own. If unclear, attend class or watch the video
</t>
      </text>
    </comment>
    <comment authorId="0" ref="D158">
      <text>
        <t xml:space="preserve">Mr. or Ms.
Depending on Male or Female
Fill on your own. If unclear, attend class or watch the video</t>
      </text>
    </comment>
    <comment authorId="0" ref="E158">
      <text>
        <t xml:space="preserve">Salutation + Name
Fill on your own. If unclear, attend class or watch the video</t>
      </text>
    </comment>
    <comment authorId="0" ref="G158">
      <text>
        <t xml:space="preserve">Fill on your own. If unclear, attend class or watch the video</t>
      </text>
    </comment>
    <comment authorId="0" ref="J158">
      <text>
        <t xml:space="preserve">North and South Region -- Rs. 10,000
East and West Region -- Rs. 5,000
Fill on your own. If unclear, attend class or watch the video
</t>
      </text>
    </comment>
    <comment authorId="0" ref="D159">
      <text>
        <t xml:space="preserve">Mr. or Ms.
Depending on Male or Female
Fill on your own. If unclear, attend class or watch the video</t>
      </text>
    </comment>
    <comment authorId="0" ref="E159">
      <text>
        <t xml:space="preserve">Salutation + Name
Fill on your own. If unclear, attend class or watch the video</t>
      </text>
    </comment>
    <comment authorId="0" ref="G159">
      <text>
        <t xml:space="preserve">Fill on your own. If unclear, attend class or watch the video</t>
      </text>
    </comment>
    <comment authorId="0" ref="J159">
      <text>
        <t xml:space="preserve">North and South Region -- Rs. 10,000
East and West Region -- Rs. 5,000
Fill on your own. If unclear, attend class or watch the video
</t>
      </text>
    </comment>
    <comment authorId="0" ref="D160">
      <text>
        <t xml:space="preserve">Mr. or Ms.
Depending on Male or Female
Fill on your own. If unclear, attend class or watch the video</t>
      </text>
    </comment>
    <comment authorId="0" ref="E160">
      <text>
        <t xml:space="preserve">Salutation + Name
Fill on your own. If unclear, attend class or watch the video</t>
      </text>
    </comment>
    <comment authorId="0" ref="G160">
      <text>
        <t xml:space="preserve">Fill on your own. If unclear, attend class or watch the video</t>
      </text>
    </comment>
    <comment authorId="0" ref="J160">
      <text>
        <t xml:space="preserve">North and South Region -- Rs. 10,000
East and West Region -- Rs. 5,000
Fill on your own. If unclear, attend class or watch the video
</t>
      </text>
    </comment>
    <comment authorId="0" ref="D161">
      <text>
        <t xml:space="preserve">Mr. or Ms.
Depending on Male or Female
Fill on your own. If unclear, attend class or watch the video</t>
      </text>
    </comment>
    <comment authorId="0" ref="E161">
      <text>
        <t xml:space="preserve">Salutation + Name
Fill on your own. If unclear, attend class or watch the video</t>
      </text>
    </comment>
    <comment authorId="0" ref="G161">
      <text>
        <t xml:space="preserve">Fill on your own. If unclear, attend class or watch the video</t>
      </text>
    </comment>
    <comment authorId="0" ref="J161">
      <text>
        <t xml:space="preserve">North and South Region -- Rs. 10,000
East and West Region -- Rs. 5,000
Fill on your own. If unclear, attend class or watch the video
</t>
      </text>
    </comment>
    <comment authorId="0" ref="D162">
      <text>
        <t xml:space="preserve">Mr. or Ms.
Depending on Male or Female
Fill on your own. If unclear, attend class or watch the video</t>
      </text>
    </comment>
    <comment authorId="0" ref="E162">
      <text>
        <t xml:space="preserve">Salutation + Name
Fill on your own. If unclear, attend class or watch the video</t>
      </text>
    </comment>
    <comment authorId="0" ref="G162">
      <text>
        <t xml:space="preserve">Fill on your own. If unclear, attend class or watch the video</t>
      </text>
    </comment>
    <comment authorId="0" ref="J162">
      <text>
        <t xml:space="preserve">North and South Region -- Rs. 10,000
East and West Region -- Rs. 5,000
Fill on your own. If unclear, attend class or watch the video
</t>
      </text>
    </comment>
    <comment authorId="0" ref="D163">
      <text>
        <t xml:space="preserve">Mr. or Ms.
Depending on Male or Female
Fill on your own. If unclear, attend class or watch the video</t>
      </text>
    </comment>
    <comment authorId="0" ref="E163">
      <text>
        <t xml:space="preserve">Salutation + Name
Fill on your own. If unclear, attend class or watch the video</t>
      </text>
    </comment>
    <comment authorId="0" ref="G163">
      <text>
        <t xml:space="preserve">Fill on your own. If unclear, attend class or watch the video</t>
      </text>
    </comment>
    <comment authorId="0" ref="J163">
      <text>
        <t xml:space="preserve">North and South Region -- Rs. 10,000
East and West Region -- Rs. 5,000
Fill on your own. If unclear, attend class or watch the video
</t>
      </text>
    </comment>
    <comment authorId="0" ref="D164">
      <text>
        <t xml:space="preserve">Mr. or Ms.
Depending on Male or Female
Fill on your own. If unclear, attend class or watch the video</t>
      </text>
    </comment>
    <comment authorId="0" ref="E164">
      <text>
        <t xml:space="preserve">Salutation + Name
Fill on your own. If unclear, attend class or watch the video</t>
      </text>
    </comment>
    <comment authorId="0" ref="G164">
      <text>
        <t xml:space="preserve">Fill on your own. If unclear, attend class or watch the video</t>
      </text>
    </comment>
    <comment authorId="0" ref="J164">
      <text>
        <t xml:space="preserve">North and South Region -- Rs. 10,000
East and West Region -- Rs. 5,000
Fill on your own. If unclear, attend class or watch the video
</t>
      </text>
    </comment>
    <comment authorId="0" ref="D165">
      <text>
        <t xml:space="preserve">Mr. or Ms.
Depending on Male or Female
Fill on your own. If unclear, attend class or watch the video</t>
      </text>
    </comment>
    <comment authorId="0" ref="E165">
      <text>
        <t xml:space="preserve">Salutation + Name
Fill on your own. If unclear, attend class or watch the video</t>
      </text>
    </comment>
    <comment authorId="0" ref="G165">
      <text>
        <t xml:space="preserve">Fill on your own. If unclear, attend class or watch the video</t>
      </text>
    </comment>
    <comment authorId="0" ref="J165">
      <text>
        <t xml:space="preserve">North and South Region -- Rs. 10,000
East and West Region -- Rs. 5,000
Fill on your own. If unclear, attend class or watch the video
</t>
      </text>
    </comment>
    <comment authorId="0" ref="D166">
      <text>
        <t xml:space="preserve">Mr. or Ms.
Depending on Male or Female
Fill on your own. If unclear, attend class or watch the video</t>
      </text>
    </comment>
    <comment authorId="0" ref="E166">
      <text>
        <t xml:space="preserve">Salutation + Name
Fill on your own. If unclear, attend class or watch the video</t>
      </text>
    </comment>
    <comment authorId="0" ref="G166">
      <text>
        <t xml:space="preserve">Fill on your own. If unclear, attend class or watch the video</t>
      </text>
    </comment>
    <comment authorId="0" ref="J166">
      <text>
        <t xml:space="preserve">North and South Region -- Rs. 10,000
East and West Region -- Rs. 5,000
Fill on your own. If unclear, attend class or watch the video
</t>
      </text>
    </comment>
    <comment authorId="0" ref="D167">
      <text>
        <t xml:space="preserve">Mr. or Ms.
Depending on Male or Female
Fill on your own. If unclear, attend class or watch the video</t>
      </text>
    </comment>
    <comment authorId="0" ref="E167">
      <text>
        <t xml:space="preserve">Salutation + Name
Fill on your own. If unclear, attend class or watch the video</t>
      </text>
    </comment>
    <comment authorId="0" ref="G167">
      <text>
        <t xml:space="preserve">Fill on your own. If unclear, attend class or watch the video</t>
      </text>
    </comment>
    <comment authorId="0" ref="J167">
      <text>
        <t xml:space="preserve">North and South Region -- Rs. 10,000
East and West Region -- Rs. 5,000
Fill on your own. If unclear, attend class or watch the video
</t>
      </text>
    </comment>
    <comment authorId="0" ref="D168">
      <text>
        <t xml:space="preserve">Mr. or Ms.
Depending on Male or Female
Fill on your own. If unclear, attend class or watch the video</t>
      </text>
    </comment>
    <comment authorId="0" ref="E168">
      <text>
        <t xml:space="preserve">Salutation + Name
Fill on your own. If unclear, attend class or watch the video</t>
      </text>
    </comment>
    <comment authorId="0" ref="G168">
      <text>
        <t xml:space="preserve">Fill on your own. If unclear, attend class or watch the video</t>
      </text>
    </comment>
    <comment authorId="0" ref="J168">
      <text>
        <t xml:space="preserve">North and South Region -- Rs. 10,000
East and West Region -- Rs. 5,000
Fill on your own. If unclear, attend class or watch the video
</t>
      </text>
    </comment>
    <comment authorId="0" ref="D169">
      <text>
        <t xml:space="preserve">Mr. or Ms.
Depending on Male or Female
Fill on your own. If unclear, attend class or watch the video</t>
      </text>
    </comment>
    <comment authorId="0" ref="E169">
      <text>
        <t xml:space="preserve">Salutation + Name
Fill on your own. If unclear, attend class or watch the video</t>
      </text>
    </comment>
    <comment authorId="0" ref="G169">
      <text>
        <t xml:space="preserve">Fill on your own. If unclear, attend class or watch the video</t>
      </text>
    </comment>
    <comment authorId="0" ref="J169">
      <text>
        <t xml:space="preserve">North and South Region -- Rs. 10,000
East and West Region -- Rs. 5,000
Fill on your own. If unclear, attend class or watch the video
</t>
      </text>
    </comment>
    <comment authorId="0" ref="D170">
      <text>
        <t xml:space="preserve">Mr. or Ms.
Depending on Male or Female
Fill on your own. If unclear, attend class or watch the video</t>
      </text>
    </comment>
    <comment authorId="0" ref="E170">
      <text>
        <t xml:space="preserve">Salutation + Name
Fill on your own. If unclear, attend class or watch the video</t>
      </text>
    </comment>
    <comment authorId="0" ref="G170">
      <text>
        <t xml:space="preserve">Fill on your own. If unclear, attend class or watch the video</t>
      </text>
    </comment>
    <comment authorId="0" ref="J170">
      <text>
        <t xml:space="preserve">North and South Region -- Rs. 10,000
East and West Region -- Rs. 5,000
Fill on your own. If unclear, attend class or watch the video
</t>
      </text>
    </comment>
    <comment authorId="0" ref="D171">
      <text>
        <t xml:space="preserve">Mr. or Ms.
Depending on Male or Female
Fill on your own. If unclear, attend class or watch the video</t>
      </text>
    </comment>
    <comment authorId="0" ref="E171">
      <text>
        <t xml:space="preserve">Salutation + Name
Fill on your own. If unclear, attend class or watch the video</t>
      </text>
    </comment>
    <comment authorId="0" ref="G171">
      <text>
        <t xml:space="preserve">Fill on your own. If unclear, attend class or watch the video</t>
      </text>
    </comment>
    <comment authorId="0" ref="J171">
      <text>
        <t xml:space="preserve">North and South Region -- Rs. 10,000
East and West Region -- Rs. 5,000
Fill on your own. If unclear, attend class or watch the video
</t>
      </text>
    </comment>
    <comment authorId="0" ref="D172">
      <text>
        <t xml:space="preserve">Mr. or Ms.
Depending on Male or Female
Fill on your own. If unclear, attend class or watch the video</t>
      </text>
    </comment>
    <comment authorId="0" ref="E172">
      <text>
        <t xml:space="preserve">Salutation + Name
Fill on your own. If unclear, attend class or watch the video</t>
      </text>
    </comment>
    <comment authorId="0" ref="G172">
      <text>
        <t xml:space="preserve">Fill on your own. If unclear, attend class or watch the video</t>
      </text>
    </comment>
    <comment authorId="0" ref="J172">
      <text>
        <t xml:space="preserve">North and South Region -- Rs. 10,000
East and West Region -- Rs. 5,000
Fill on your own. If unclear, attend class or watch the video
</t>
      </text>
    </comment>
    <comment authorId="0" ref="D173">
      <text>
        <t xml:space="preserve">Mr. or Ms.
Depending on Male or Female
Fill on your own. If unclear, attend class or watch the video</t>
      </text>
    </comment>
    <comment authorId="0" ref="E173">
      <text>
        <t xml:space="preserve">Salutation + Name
Fill on your own. If unclear, attend class or watch the video</t>
      </text>
    </comment>
    <comment authorId="0" ref="G173">
      <text>
        <t xml:space="preserve">Fill on your own. If unclear, attend class or watch the video</t>
      </text>
    </comment>
    <comment authorId="0" ref="J173">
      <text>
        <t xml:space="preserve">North and South Region -- Rs. 10,000
East and West Region -- Rs. 5,000
Fill on your own. If unclear, attend class or watch the video
</t>
      </text>
    </comment>
    <comment authorId="0" ref="D174">
      <text>
        <t xml:space="preserve">Mr. or Ms.
Depending on Male or Female
Fill on your own. If unclear, attend class or watch the video</t>
      </text>
    </comment>
    <comment authorId="0" ref="E174">
      <text>
        <t xml:space="preserve">Salutation + Name
Fill on your own. If unclear, attend class or watch the video</t>
      </text>
    </comment>
    <comment authorId="0" ref="G174">
      <text>
        <t xml:space="preserve">Fill on your own. If unclear, attend class or watch the video</t>
      </text>
    </comment>
    <comment authorId="0" ref="J174">
      <text>
        <t xml:space="preserve">North and South Region -- Rs. 10,000
East and West Region -- Rs. 5,000
Fill on your own. If unclear, attend class or watch the video
</t>
      </text>
    </comment>
    <comment authorId="0" ref="D175">
      <text>
        <t xml:space="preserve">Mr. or Ms.
Depending on Male or Female
Fill on your own. If unclear, attend class or watch the video</t>
      </text>
    </comment>
    <comment authorId="0" ref="E175">
      <text>
        <t xml:space="preserve">Salutation + Name
Fill on your own. If unclear, attend class or watch the video</t>
      </text>
    </comment>
    <comment authorId="0" ref="G175">
      <text>
        <t xml:space="preserve">Fill on your own. If unclear, attend class or watch the video</t>
      </text>
    </comment>
    <comment authorId="0" ref="J175">
      <text>
        <t xml:space="preserve">North and South Region -- Rs. 10,000
East and West Region -- Rs. 5,000
Fill on your own. If unclear, attend class or watch the video
</t>
      </text>
    </comment>
    <comment authorId="0" ref="D176">
      <text>
        <t xml:space="preserve">Mr. or Ms.
Depending on Male or Female
Fill on your own. If unclear, attend class or watch the video</t>
      </text>
    </comment>
    <comment authorId="0" ref="E176">
      <text>
        <t xml:space="preserve">Salutation + Name
Fill on your own. If unclear, attend class or watch the video</t>
      </text>
    </comment>
    <comment authorId="0" ref="G176">
      <text>
        <t xml:space="preserve">Fill on your own. If unclear, attend class or watch the video</t>
      </text>
    </comment>
    <comment authorId="0" ref="J176">
      <text>
        <t xml:space="preserve">North and South Region -- Rs. 10,000
East and West Region -- Rs. 5,000
Fill on your own. If unclear, attend class or watch the video
</t>
      </text>
    </comment>
    <comment authorId="0" ref="D177">
      <text>
        <t xml:space="preserve">Mr. or Ms.
Depending on Male or Female
Fill on your own. If unclear, attend class or watch the video</t>
      </text>
    </comment>
    <comment authorId="0" ref="E177">
      <text>
        <t xml:space="preserve">Salutation + Name
Fill on your own. If unclear, attend class or watch the video</t>
      </text>
    </comment>
    <comment authorId="0" ref="G177">
      <text>
        <t xml:space="preserve">Fill on your own. If unclear, attend class or watch the video</t>
      </text>
    </comment>
    <comment authorId="0" ref="J177">
      <text>
        <t xml:space="preserve">North and South Region -- Rs. 10,000
East and West Region -- Rs. 5,000
Fill on your own. If unclear, attend class or watch the video
</t>
      </text>
    </comment>
    <comment authorId="0" ref="D178">
      <text>
        <t xml:space="preserve">Mr. or Ms.
Depending on Male or Female
Fill on your own. If unclear, attend class or watch the video</t>
      </text>
    </comment>
    <comment authorId="0" ref="E178">
      <text>
        <t xml:space="preserve">Salutation + Name
Fill on your own. If unclear, attend class or watch the video</t>
      </text>
    </comment>
    <comment authorId="0" ref="G178">
      <text>
        <t xml:space="preserve">Fill on your own. If unclear, attend class or watch the video</t>
      </text>
    </comment>
    <comment authorId="0" ref="J178">
      <text>
        <t xml:space="preserve">North and South Region -- Rs. 10,000
East and West Region -- Rs. 5,000
Fill on your own. If unclear, attend class or watch the video
</t>
      </text>
    </comment>
    <comment authorId="0" ref="D179">
      <text>
        <t xml:space="preserve">Mr. or Ms.
Depending on Male or Female
Fill on your own. If unclear, attend class or watch the video</t>
      </text>
    </comment>
    <comment authorId="0" ref="E179">
      <text>
        <t xml:space="preserve">Salutation + Name
Fill on your own. If unclear, attend class or watch the video</t>
      </text>
    </comment>
    <comment authorId="0" ref="G179">
      <text>
        <t xml:space="preserve">Fill on your own. If unclear, attend class or watch the video</t>
      </text>
    </comment>
    <comment authorId="0" ref="J179">
      <text>
        <t xml:space="preserve">North and South Region -- Rs. 10,000
East and West Region -- Rs. 5,000
Fill on your own. If unclear, attend class or watch the video
</t>
      </text>
    </comment>
    <comment authorId="0" ref="D180">
      <text>
        <t xml:space="preserve">Mr. or Ms.
Depending on Male or Female
Fill on your own. If unclear, attend class or watch the video</t>
      </text>
    </comment>
    <comment authorId="0" ref="E180">
      <text>
        <t xml:space="preserve">Salutation + Name
Fill on your own. If unclear, attend class or watch the video</t>
      </text>
    </comment>
    <comment authorId="0" ref="G180">
      <text>
        <t xml:space="preserve">Fill on your own. If unclear, attend class or watch the video</t>
      </text>
    </comment>
    <comment authorId="0" ref="J180">
      <text>
        <t xml:space="preserve">North and South Region -- Rs. 10,000
East and West Region -- Rs. 5,000
Fill on your own. If unclear, attend class or watch the video
</t>
      </text>
    </comment>
    <comment authorId="0" ref="D181">
      <text>
        <t xml:space="preserve">Mr. or Ms.
Depending on Male or Female
Fill on your own. If unclear, attend class or watch the video</t>
      </text>
    </comment>
    <comment authorId="0" ref="E181">
      <text>
        <t xml:space="preserve">Salutation + Name
Fill on your own. If unclear, attend class or watch the video</t>
      </text>
    </comment>
    <comment authorId="0" ref="G181">
      <text>
        <t xml:space="preserve">Fill on your own. If unclear, attend class or watch the video</t>
      </text>
    </comment>
    <comment authorId="0" ref="J181">
      <text>
        <t xml:space="preserve">North and South Region -- Rs. 10,000
East and West Region -- Rs. 5,000
Fill on your own. If unclear, attend class or watch the video
</t>
      </text>
    </comment>
    <comment authorId="0" ref="D182">
      <text>
        <t xml:space="preserve">Mr. or Ms.
Depending on Male or Female
Fill on your own. If unclear, attend class or watch the video</t>
      </text>
    </comment>
    <comment authorId="0" ref="E182">
      <text>
        <t xml:space="preserve">Salutation + Name
Fill on your own. If unclear, attend class or watch the video</t>
      </text>
    </comment>
    <comment authorId="0" ref="G182">
      <text>
        <t xml:space="preserve">Fill on your own. If unclear, attend class or watch the video</t>
      </text>
    </comment>
    <comment authorId="0" ref="J182">
      <text>
        <t xml:space="preserve">North and South Region -- Rs. 10,000
East and West Region -- Rs. 5,000
Fill on your own. If unclear, attend class or watch the video
</t>
      </text>
    </comment>
    <comment authorId="0" ref="D183">
      <text>
        <t xml:space="preserve">Mr. or Ms.
Depending on Male or Female
Fill on your own. If unclear, attend class or watch the video</t>
      </text>
    </comment>
    <comment authorId="0" ref="E183">
      <text>
        <t xml:space="preserve">Salutation + Name
Fill on your own. If unclear, attend class or watch the video</t>
      </text>
    </comment>
    <comment authorId="0" ref="G183">
      <text>
        <t xml:space="preserve">Fill on your own. If unclear, attend class or watch the video</t>
      </text>
    </comment>
    <comment authorId="0" ref="J183">
      <text>
        <t xml:space="preserve">North and South Region -- Rs. 10,000
East and West Region -- Rs. 5,000
Fill on your own. If unclear, attend class or watch the video
</t>
      </text>
    </comment>
    <comment authorId="0" ref="D184">
      <text>
        <t xml:space="preserve">Mr. or Ms.
Depending on Male or Female
Fill on your own. If unclear, attend class or watch the video</t>
      </text>
    </comment>
    <comment authorId="0" ref="E184">
      <text>
        <t xml:space="preserve">Salutation + Name
Fill on your own. If unclear, attend class or watch the video</t>
      </text>
    </comment>
    <comment authorId="0" ref="G184">
      <text>
        <t xml:space="preserve">Fill on your own. If unclear, attend class or watch the video</t>
      </text>
    </comment>
    <comment authorId="0" ref="J184">
      <text>
        <t xml:space="preserve">North and South Region -- Rs. 10,000
East and West Region -- Rs. 5,000
Fill on your own. If unclear, attend class or watch the video
</t>
      </text>
    </comment>
    <comment authorId="0" ref="D185">
      <text>
        <t xml:space="preserve">Mr. or Ms.
Depending on Male or Female
Fill on your own. If unclear, attend class or watch the video</t>
      </text>
    </comment>
    <comment authorId="0" ref="E185">
      <text>
        <t xml:space="preserve">Salutation + Name
Fill on your own. If unclear, attend class or watch the video</t>
      </text>
    </comment>
    <comment authorId="0" ref="G185">
      <text>
        <t xml:space="preserve">Fill on your own. If unclear, attend class or watch the video</t>
      </text>
    </comment>
    <comment authorId="0" ref="J185">
      <text>
        <t xml:space="preserve">North and South Region -- Rs. 10,000
East and West Region -- Rs. 5,000
Fill on your own. If unclear, attend class or watch the video
</t>
      </text>
    </comment>
    <comment authorId="0" ref="D186">
      <text>
        <t xml:space="preserve">Mr. or Ms.
Depending on Male or Female
Fill on your own. If unclear, attend class or watch the video</t>
      </text>
    </comment>
    <comment authorId="0" ref="E186">
      <text>
        <t xml:space="preserve">Salutation + Name
Fill on your own. If unclear, attend class or watch the video</t>
      </text>
    </comment>
    <comment authorId="0" ref="G186">
      <text>
        <t xml:space="preserve">Fill on your own. If unclear, attend class or watch the video</t>
      </text>
    </comment>
    <comment authorId="0" ref="J186">
      <text>
        <t xml:space="preserve">North and South Region -- Rs. 10,000
East and West Region -- Rs. 5,000
Fill on your own. If unclear, attend class or watch the video
</t>
      </text>
    </comment>
    <comment authorId="0" ref="D187">
      <text>
        <t xml:space="preserve">Mr. or Ms.
Depending on Male or Female
Fill on your own. If unclear, attend class or watch the video</t>
      </text>
    </comment>
    <comment authorId="0" ref="E187">
      <text>
        <t xml:space="preserve">Salutation + Name
Fill on your own. If unclear, attend class or watch the video</t>
      </text>
    </comment>
    <comment authorId="0" ref="G187">
      <text>
        <t xml:space="preserve">Fill on your own. If unclear, attend class or watch the video</t>
      </text>
    </comment>
    <comment authorId="0" ref="J187">
      <text>
        <t xml:space="preserve">North and South Region -- Rs. 10,000
East and West Region -- Rs. 5,000
Fill on your own. If unclear, attend class or watch the video
</t>
      </text>
    </comment>
    <comment authorId="0" ref="D188">
      <text>
        <t xml:space="preserve">Mr. or Ms.
Depending on Male or Female
Fill on your own. If unclear, attend class or watch the video</t>
      </text>
    </comment>
    <comment authorId="0" ref="E188">
      <text>
        <t xml:space="preserve">Salutation + Name
Fill on your own. If unclear, attend class or watch the video</t>
      </text>
    </comment>
    <comment authorId="0" ref="G188">
      <text>
        <t xml:space="preserve">Fill on your own. If unclear, attend class or watch the video</t>
      </text>
    </comment>
    <comment authorId="0" ref="J188">
      <text>
        <t xml:space="preserve">North and South Region -- Rs. 10,000
East and West Region -- Rs. 5,000
Fill on your own. If unclear, attend class or watch the video
</t>
      </text>
    </comment>
    <comment authorId="0" ref="D189">
      <text>
        <t xml:space="preserve">Mr. or Ms.
Depending on Male or Female
Fill on your own. If unclear, attend class or watch the video</t>
      </text>
    </comment>
    <comment authorId="0" ref="E189">
      <text>
        <t xml:space="preserve">Salutation + Name
Fill on your own. If unclear, attend class or watch the video</t>
      </text>
    </comment>
    <comment authorId="0" ref="G189">
      <text>
        <t xml:space="preserve">Fill on your own. If unclear, attend class or watch the video</t>
      </text>
    </comment>
    <comment authorId="0" ref="J189">
      <text>
        <t xml:space="preserve">North and South Region -- Rs. 10,000
East and West Region -- Rs. 5,000
Fill on your own. If unclear, attend class or watch the video
</t>
      </text>
    </comment>
    <comment authorId="0" ref="D190">
      <text>
        <t xml:space="preserve">Mr. or Ms.
Depending on Male or Female
Fill on your own. If unclear, attend class or watch the video</t>
      </text>
    </comment>
    <comment authorId="0" ref="E190">
      <text>
        <t xml:space="preserve">Salutation + Name
Fill on your own. If unclear, attend class or watch the video</t>
      </text>
    </comment>
    <comment authorId="0" ref="G190">
      <text>
        <t xml:space="preserve">Fill on your own. If unclear, attend class or watch the video</t>
      </text>
    </comment>
    <comment authorId="0" ref="J190">
      <text>
        <t xml:space="preserve">North and South Region -- Rs. 10,000
East and West Region -- Rs. 5,000
Fill on your own. If unclear, attend class or watch the video
</t>
      </text>
    </comment>
    <comment authorId="0" ref="D191">
      <text>
        <t xml:space="preserve">Mr. or Ms.
Depending on Male or Female
Fill on your own. If unclear, attend class or watch the video</t>
      </text>
    </comment>
    <comment authorId="0" ref="E191">
      <text>
        <t xml:space="preserve">Salutation + Name
Fill on your own. If unclear, attend class or watch the video</t>
      </text>
    </comment>
    <comment authorId="0" ref="G191">
      <text>
        <t xml:space="preserve">Fill on your own. If unclear, attend class or watch the video</t>
      </text>
    </comment>
    <comment authorId="0" ref="J191">
      <text>
        <t xml:space="preserve">North and South Region -- Rs. 10,000
East and West Region -- Rs. 5,000
Fill on your own. If unclear, attend class or watch the video
</t>
      </text>
    </comment>
    <comment authorId="0" ref="D192">
      <text>
        <t xml:space="preserve">Mr. or Ms.
Depending on Male or Female
Fill on your own. If unclear, attend class or watch the video</t>
      </text>
    </comment>
    <comment authorId="0" ref="E192">
      <text>
        <t xml:space="preserve">Salutation + Name
Fill on your own. If unclear, attend class or watch the video</t>
      </text>
    </comment>
    <comment authorId="0" ref="G192">
      <text>
        <t xml:space="preserve">Fill on your own. If unclear, attend class or watch the video</t>
      </text>
    </comment>
    <comment authorId="0" ref="J192">
      <text>
        <t xml:space="preserve">North and South Region -- Rs. 10,000
East and West Region -- Rs. 5,000
Fill on your own. If unclear, attend class or watch the video
</t>
      </text>
    </comment>
    <comment authorId="0" ref="D193">
      <text>
        <t xml:space="preserve">Mr. or Ms.
Depending on Male or Female
Fill on your own. If unclear, attend class or watch the video</t>
      </text>
    </comment>
    <comment authorId="0" ref="E193">
      <text>
        <t xml:space="preserve">Salutation + Name
Fill on your own. If unclear, attend class or watch the video</t>
      </text>
    </comment>
    <comment authorId="0" ref="G193">
      <text>
        <t xml:space="preserve">Fill on your own. If unclear, attend class or watch the video</t>
      </text>
    </comment>
    <comment authorId="0" ref="J193">
      <text>
        <t xml:space="preserve">North and South Region -- Rs. 10,000
East and West Region -- Rs. 5,000
Fill on your own. If unclear, attend class or watch the video
</t>
      </text>
    </comment>
    <comment authorId="0" ref="D194">
      <text>
        <t xml:space="preserve">Mr. or Ms.
Depending on Male or Female
Fill on your own. If unclear, attend class or watch the video</t>
      </text>
    </comment>
    <comment authorId="0" ref="E194">
      <text>
        <t xml:space="preserve">Salutation + Name
Fill on your own. If unclear, attend class or watch the video</t>
      </text>
    </comment>
    <comment authorId="0" ref="G194">
      <text>
        <t xml:space="preserve">Fill on your own. If unclear, attend class or watch the video</t>
      </text>
    </comment>
    <comment authorId="0" ref="J194">
      <text>
        <t xml:space="preserve">North and South Region -- Rs. 10,000
East and West Region -- Rs. 5,000
Fill on your own. If unclear, attend class or watch the video
</t>
      </text>
    </comment>
    <comment authorId="0" ref="D195">
      <text>
        <t xml:space="preserve">Mr. or Ms.
Depending on Male or Female
Fill on your own. If unclear, attend class or watch the video</t>
      </text>
    </comment>
    <comment authorId="0" ref="E195">
      <text>
        <t xml:space="preserve">Salutation + Name
Fill on your own. If unclear, attend class or watch the video</t>
      </text>
    </comment>
    <comment authorId="0" ref="G195">
      <text>
        <t xml:space="preserve">Fill on your own. If unclear, attend class or watch the video</t>
      </text>
    </comment>
    <comment authorId="0" ref="J195">
      <text>
        <t xml:space="preserve">North and South Region -- Rs. 10,000
East and West Region -- Rs. 5,000
Fill on your own. If unclear, attend class or watch the video
</t>
      </text>
    </comment>
    <comment authorId="0" ref="D196">
      <text>
        <t xml:space="preserve">Mr. or Ms.
Depending on Male or Female
Fill on your own. If unclear, attend class or watch the video</t>
      </text>
    </comment>
    <comment authorId="0" ref="E196">
      <text>
        <t xml:space="preserve">Salutation + Name
Fill on your own. If unclear, attend class or watch the video</t>
      </text>
    </comment>
    <comment authorId="0" ref="G196">
      <text>
        <t xml:space="preserve">Fill on your own. If unclear, attend class or watch the video</t>
      </text>
    </comment>
    <comment authorId="0" ref="J196">
      <text>
        <t xml:space="preserve">North and South Region -- Rs. 10,000
East and West Region -- Rs. 5,000
Fill on your own. If unclear, attend class or watch the video
</t>
      </text>
    </comment>
    <comment authorId="0" ref="D197">
      <text>
        <t xml:space="preserve">Mr. or Ms.
Depending on Male or Female
Fill on your own. If unclear, attend class or watch the video</t>
      </text>
    </comment>
    <comment authorId="0" ref="E197">
      <text>
        <t xml:space="preserve">Salutation + Name
Fill on your own. If unclear, attend class or watch the video</t>
      </text>
    </comment>
    <comment authorId="0" ref="G197">
      <text>
        <t xml:space="preserve">Fill on your own. If unclear, attend class or watch the video</t>
      </text>
    </comment>
    <comment authorId="0" ref="J197">
      <text>
        <t xml:space="preserve">North and South Region -- Rs. 10,000
East and West Region -- Rs. 5,000
Fill on your own. If unclear, attend class or watch the video
</t>
      </text>
    </comment>
    <comment authorId="0" ref="D198">
      <text>
        <t xml:space="preserve">Mr. or Ms.
Depending on Male or Female
Fill on your own. If unclear, attend class or watch the video</t>
      </text>
    </comment>
    <comment authorId="0" ref="E198">
      <text>
        <t xml:space="preserve">Salutation + Name
Fill on your own. If unclear, attend class or watch the video</t>
      </text>
    </comment>
    <comment authorId="0" ref="G198">
      <text>
        <t xml:space="preserve">Fill on your own. If unclear, attend class or watch the video</t>
      </text>
    </comment>
    <comment authorId="0" ref="J198">
      <text>
        <t xml:space="preserve">North and South Region -- Rs. 10,000
East and West Region -- Rs. 5,000
Fill on your own. If unclear, attend class or watch the video
</t>
      </text>
    </comment>
    <comment authorId="0" ref="D199">
      <text>
        <t xml:space="preserve">Mr. or Ms.
Depending on Male or Female
Fill on your own. If unclear, attend class or watch the video</t>
      </text>
    </comment>
    <comment authorId="0" ref="E199">
      <text>
        <t xml:space="preserve">Salutation + Name
Fill on your own. If unclear, attend class or watch the video</t>
      </text>
    </comment>
    <comment authorId="0" ref="G199">
      <text>
        <t xml:space="preserve">Fill on your own. If unclear, attend class or watch the video</t>
      </text>
    </comment>
    <comment authorId="0" ref="J199">
      <text>
        <t xml:space="preserve">North and South Region -- Rs. 10,000
East and West Region -- Rs. 5,000
Fill on your own. If unclear, attend class or watch the video
</t>
      </text>
    </comment>
    <comment authorId="0" ref="D200">
      <text>
        <t xml:space="preserve">Mr. or Ms.
Depending on Male or Female
Fill on your own. If unclear, attend class or watch the video</t>
      </text>
    </comment>
    <comment authorId="0" ref="E200">
      <text>
        <t xml:space="preserve">Salutation + Name
Fill on your own. If unclear, attend class or watch the video</t>
      </text>
    </comment>
    <comment authorId="0" ref="G200">
      <text>
        <t xml:space="preserve">Fill on your own. If unclear, attend class or watch the video</t>
      </text>
    </comment>
    <comment authorId="0" ref="J200">
      <text>
        <t xml:space="preserve">North and South Region -- Rs. 10,000
East and West Region -- Rs. 5,000
Fill on your own. If unclear, attend class or watch the video
</t>
      </text>
    </comment>
    <comment authorId="0" ref="D201">
      <text>
        <t xml:space="preserve">Mr. or Ms.
Depending on Male or Female
Fill on your own. If unclear, attend class or watch the video</t>
      </text>
    </comment>
    <comment authorId="0" ref="E201">
      <text>
        <t xml:space="preserve">Salutation + Name
Fill on your own. If unclear, attend class or watch the video</t>
      </text>
    </comment>
    <comment authorId="0" ref="G201">
      <text>
        <t xml:space="preserve">Fill on your own. If unclear, attend class or watch the video</t>
      </text>
    </comment>
    <comment authorId="0" ref="J201">
      <text>
        <t xml:space="preserve">North and South Region -- Rs. 10,000
East and West Region -- Rs. 5,000
Fill on your own. If unclear, attend class or watch the video
</t>
      </text>
    </comment>
    <comment authorId="0" ref="D202">
      <text>
        <t xml:space="preserve">Mr. or Ms.
Depending on Male or Female
Fill on your own. If unclear, attend class or watch the video</t>
      </text>
    </comment>
    <comment authorId="0" ref="E202">
      <text>
        <t xml:space="preserve">Salutation + Name
Fill on your own. If unclear, attend class or watch the video</t>
      </text>
    </comment>
    <comment authorId="0" ref="G202">
      <text>
        <t xml:space="preserve">Fill on your own. If unclear, attend class or watch the video</t>
      </text>
    </comment>
    <comment authorId="0" ref="J202">
      <text>
        <t xml:space="preserve">North and South Region -- Rs. 10,000
East and West Region -- Rs. 5,000
Fill on your own. If unclear, attend class or watch the video
</t>
      </text>
    </comment>
    <comment authorId="0" ref="D203">
      <text>
        <t xml:space="preserve">Mr. or Ms.
Depending on Male or Female
Fill on your own. If unclear, attend class or watch the video</t>
      </text>
    </comment>
    <comment authorId="0" ref="E203">
      <text>
        <t xml:space="preserve">Salutation + Name
Fill on your own. If unclear, attend class or watch the video</t>
      </text>
    </comment>
    <comment authorId="0" ref="G203">
      <text>
        <t xml:space="preserve">Fill on your own. If unclear, attend class or watch the video</t>
      </text>
    </comment>
    <comment authorId="0" ref="J203">
      <text>
        <t xml:space="preserve">North and South Region -- Rs. 10,000
East and West Region -- Rs. 5,000
Fill on your own. If unclear, attend class or watch the video
</t>
      </text>
    </comment>
    <comment authorId="0" ref="D204">
      <text>
        <t xml:space="preserve">Mr. or Ms.
Depending on Male or Female
Fill on your own. If unclear, attend class or watch the video</t>
      </text>
    </comment>
    <comment authorId="0" ref="E204">
      <text>
        <t xml:space="preserve">Salutation + Name
Fill on your own. If unclear, attend class or watch the video</t>
      </text>
    </comment>
    <comment authorId="0" ref="G204">
      <text>
        <t xml:space="preserve">Fill on your own. If unclear, attend class or watch the video</t>
      </text>
    </comment>
    <comment authorId="0" ref="J204">
      <text>
        <t xml:space="preserve">North and South Region -- Rs. 10,000
East and West Region -- Rs. 5,000
Fill on your own. If unclear, attend class or watch the video
</t>
      </text>
    </comment>
    <comment authorId="0" ref="D205">
      <text>
        <t xml:space="preserve">Mr. or Ms.
Depending on Male or Female
Fill on your own. If unclear, attend class or watch the video</t>
      </text>
    </comment>
    <comment authorId="0" ref="E205">
      <text>
        <t xml:space="preserve">Salutation + Name
Fill on your own. If unclear, attend class or watch the video</t>
      </text>
    </comment>
    <comment authorId="0" ref="G205">
      <text>
        <t xml:space="preserve">Fill on your own. If unclear, attend class or watch the video</t>
      </text>
    </comment>
    <comment authorId="0" ref="J205">
      <text>
        <t xml:space="preserve">North and South Region -- Rs. 10,000
East and West Region -- Rs. 5,000
Fill on your own. If unclear, attend class or watch the video
</t>
      </text>
    </comment>
    <comment authorId="0" ref="D206">
      <text>
        <t xml:space="preserve">Mr. or Ms.
Depending on Male or Female
Fill on your own. If unclear, attend class or watch the video</t>
      </text>
    </comment>
    <comment authorId="0" ref="E206">
      <text>
        <t xml:space="preserve">Salutation + Name
Fill on your own. If unclear, attend class or watch the video</t>
      </text>
    </comment>
    <comment authorId="0" ref="G206">
      <text>
        <t xml:space="preserve">Fill on your own. If unclear, attend class or watch the video</t>
      </text>
    </comment>
    <comment authorId="0" ref="J206">
      <text>
        <t xml:space="preserve">North and South Region -- Rs. 10,000
East and West Region -- Rs. 5,000
Fill on your own. If unclear, attend class or watch the video
</t>
      </text>
    </comment>
    <comment authorId="0" ref="D207">
      <text>
        <t xml:space="preserve">Mr. or Ms.
Depending on Male or Female
Fill on your own. If unclear, attend class or watch the video</t>
      </text>
    </comment>
    <comment authorId="0" ref="E207">
      <text>
        <t xml:space="preserve">Salutation + Name
Fill on your own. If unclear, attend class or watch the video</t>
      </text>
    </comment>
    <comment authorId="0" ref="G207">
      <text>
        <t xml:space="preserve">Fill on your own. If unclear, attend class or watch the video</t>
      </text>
    </comment>
    <comment authorId="0" ref="J207">
      <text>
        <t xml:space="preserve">North and South Region -- Rs. 10,000
East and West Region -- Rs. 5,000
Fill on your own. If unclear, attend class or watch the video
</t>
      </text>
    </comment>
    <comment authorId="0" ref="D208">
      <text>
        <t xml:space="preserve">Mr. or Ms.
Depending on Male or Female
Fill on your own. If unclear, attend class or watch the video</t>
      </text>
    </comment>
    <comment authorId="0" ref="E208">
      <text>
        <t xml:space="preserve">Salutation + Name
Fill on your own. If unclear, attend class or watch the video</t>
      </text>
    </comment>
    <comment authorId="0" ref="G208">
      <text>
        <t xml:space="preserve">Fill on your own. If unclear, attend class or watch the video</t>
      </text>
    </comment>
    <comment authorId="0" ref="J208">
      <text>
        <t xml:space="preserve">North and South Region -- Rs. 10,000
East and West Region -- Rs. 5,000
Fill on your own. If unclear, attend class or watch the video
</t>
      </text>
    </comment>
    <comment authorId="0" ref="D209">
      <text>
        <t xml:space="preserve">Mr. or Ms.
Depending on Male or Female
Fill on your own. If unclear, attend class or watch the video</t>
      </text>
    </comment>
    <comment authorId="0" ref="E209">
      <text>
        <t xml:space="preserve">Salutation + Name
Fill on your own. If unclear, attend class or watch the video</t>
      </text>
    </comment>
    <comment authorId="0" ref="G209">
      <text>
        <t xml:space="preserve">Fill on your own. If unclear, attend class or watch the video</t>
      </text>
    </comment>
    <comment authorId="0" ref="J209">
      <text>
        <t xml:space="preserve">North and South Region -- Rs. 10,000
East and West Region -- Rs. 5,000
Fill on your own. If unclear, attend class or watch the video
</t>
      </text>
    </comment>
    <comment authorId="0" ref="D210">
      <text>
        <t xml:space="preserve">Mr. or Ms.
Depending on Male or Female
Fill on your own. If unclear, attend class or watch the video</t>
      </text>
    </comment>
    <comment authorId="0" ref="E210">
      <text>
        <t xml:space="preserve">Salutation + Name
Fill on your own. If unclear, attend class or watch the video</t>
      </text>
    </comment>
    <comment authorId="0" ref="G210">
      <text>
        <t xml:space="preserve">Fill on your own. If unclear, attend class or watch the video</t>
      </text>
    </comment>
    <comment authorId="0" ref="J210">
      <text>
        <t xml:space="preserve">North and South Region -- Rs. 10,000
East and West Region -- Rs. 5,000
Fill on your own. If unclear, attend class or watch the video
</t>
      </text>
    </comment>
    <comment authorId="0" ref="D211">
      <text>
        <t xml:space="preserve">Mr. or Ms.
Depending on Male or Female
Fill on your own. If unclear, attend class or watch the video</t>
      </text>
    </comment>
    <comment authorId="0" ref="E211">
      <text>
        <t xml:space="preserve">Salutation + Name
Fill on your own. If unclear, attend class or watch the video</t>
      </text>
    </comment>
    <comment authorId="0" ref="G211">
      <text>
        <t xml:space="preserve">Fill on your own. If unclear, attend class or watch the video</t>
      </text>
    </comment>
    <comment authorId="0" ref="J211">
      <text>
        <t xml:space="preserve">North and South Region -- Rs. 10,000
East and West Region -- Rs. 5,000
Fill on your own. If unclear, attend class or watch the video
</t>
      </text>
    </comment>
    <comment authorId="0" ref="D212">
      <text>
        <t xml:space="preserve">Mr. or Ms.
Depending on Male or Female
Fill on your own. If unclear, attend class or watch the video</t>
      </text>
    </comment>
    <comment authorId="0" ref="E212">
      <text>
        <t xml:space="preserve">Salutation + Name
Fill on your own. If unclear, attend class or watch the video</t>
      </text>
    </comment>
    <comment authorId="0" ref="G212">
      <text>
        <t xml:space="preserve">Fill on your own. If unclear, attend class or watch the video</t>
      </text>
    </comment>
    <comment authorId="0" ref="J212">
      <text>
        <t xml:space="preserve">North and South Region -- Rs. 10,000
East and West Region -- Rs. 5,000
Fill on your own. If unclear, attend class or watch the video
</t>
      </text>
    </comment>
    <comment authorId="0" ref="D213">
      <text>
        <t xml:space="preserve">Mr. or Ms.
Depending on Male or Female
Fill on your own. If unclear, attend class or watch the video</t>
      </text>
    </comment>
    <comment authorId="0" ref="E213">
      <text>
        <t xml:space="preserve">Salutation + Name
Fill on your own. If unclear, attend class or watch the video</t>
      </text>
    </comment>
    <comment authorId="0" ref="G213">
      <text>
        <t xml:space="preserve">Fill on your own. If unclear, attend class or watch the video</t>
      </text>
    </comment>
    <comment authorId="0" ref="J213">
      <text>
        <t xml:space="preserve">North and South Region -- Rs. 10,000
East and West Region -- Rs. 5,000
Fill on your own. If unclear, attend class or watch the video
</t>
      </text>
    </comment>
    <comment authorId="0" ref="D214">
      <text>
        <t xml:space="preserve">Mr. or Ms.
Depending on Male or Female
Fill on your own. If unclear, attend class or watch the video</t>
      </text>
    </comment>
    <comment authorId="0" ref="E214">
      <text>
        <t xml:space="preserve">Salutation + Name
Fill on your own. If unclear, attend class or watch the video</t>
      </text>
    </comment>
    <comment authorId="0" ref="G214">
      <text>
        <t xml:space="preserve">Fill on your own. If unclear, attend class or watch the video</t>
      </text>
    </comment>
    <comment authorId="0" ref="J214">
      <text>
        <t xml:space="preserve">North and South Region -- Rs. 10,000
East and West Region -- Rs. 5,000
Fill on your own. If unclear, attend class or watch the video
</t>
      </text>
    </comment>
    <comment authorId="0" ref="D215">
      <text>
        <t xml:space="preserve">Mr. or Ms.
Depending on Male or Female
Fill on your own. If unclear, attend class or watch the video</t>
      </text>
    </comment>
    <comment authorId="0" ref="E215">
      <text>
        <t xml:space="preserve">Salutation + Name
Fill on your own. If unclear, attend class or watch the video</t>
      </text>
    </comment>
    <comment authorId="0" ref="G215">
      <text>
        <t xml:space="preserve">Fill on your own. If unclear, attend class or watch the video</t>
      </text>
    </comment>
    <comment authorId="0" ref="J215">
      <text>
        <t xml:space="preserve">North and South Region -- Rs. 10,000
East and West Region -- Rs. 5,000
Fill on your own. If unclear, attend class or watch the video
</t>
      </text>
    </comment>
    <comment authorId="0" ref="D216">
      <text>
        <t xml:space="preserve">Mr. or Ms.
Depending on Male or Female
Fill on your own. If unclear, attend class or watch the video</t>
      </text>
    </comment>
    <comment authorId="0" ref="E216">
      <text>
        <t xml:space="preserve">Salutation + Name
Fill on your own. If unclear, attend class or watch the video</t>
      </text>
    </comment>
    <comment authorId="0" ref="G216">
      <text>
        <t xml:space="preserve">Fill on your own. If unclear, attend class or watch the video</t>
      </text>
    </comment>
    <comment authorId="0" ref="J216">
      <text>
        <t xml:space="preserve">North and South Region -- Rs. 10,000
East and West Region -- Rs. 5,000
Fill on your own. If unclear, attend class or watch the video
</t>
      </text>
    </comment>
    <comment authorId="0" ref="D217">
      <text>
        <t xml:space="preserve">Mr. or Ms.
Depending on Male or Female
Fill on your own. If unclear, attend class or watch the video</t>
      </text>
    </comment>
    <comment authorId="0" ref="E217">
      <text>
        <t xml:space="preserve">Salutation + Name
Fill on your own. If unclear, attend class or watch the video</t>
      </text>
    </comment>
    <comment authorId="0" ref="G217">
      <text>
        <t xml:space="preserve">Fill on your own. If unclear, attend class or watch the video</t>
      </text>
    </comment>
    <comment authorId="0" ref="J217">
      <text>
        <t xml:space="preserve">North and South Region -- Rs. 10,000
East and West Region -- Rs. 5,000
Fill on your own. If unclear, attend class or watch the video
</t>
      </text>
    </comment>
    <comment authorId="0" ref="D218">
      <text>
        <t xml:space="preserve">Mr. or Ms.
Depending on Male or Female
Fill on your own. If unclear, attend class or watch the video</t>
      </text>
    </comment>
    <comment authorId="0" ref="E218">
      <text>
        <t xml:space="preserve">Salutation + Name
Fill on your own. If unclear, attend class or watch the video</t>
      </text>
    </comment>
    <comment authorId="0" ref="G218">
      <text>
        <t xml:space="preserve">Fill on your own. If unclear, attend class or watch the video</t>
      </text>
    </comment>
    <comment authorId="0" ref="J218">
      <text>
        <t xml:space="preserve">North and South Region -- Rs. 10,000
East and West Region -- Rs. 5,000
Fill on your own. If unclear, attend class or watch the video
</t>
      </text>
    </comment>
    <comment authorId="0" ref="D219">
      <text>
        <t xml:space="preserve">Mr. or Ms.
Depending on Male or Female
Fill on your own. If unclear, attend class or watch the video</t>
      </text>
    </comment>
    <comment authorId="0" ref="E219">
      <text>
        <t xml:space="preserve">Salutation + Name
Fill on your own. If unclear, attend class or watch the video</t>
      </text>
    </comment>
    <comment authorId="0" ref="G219">
      <text>
        <t xml:space="preserve">Fill on your own. If unclear, attend class or watch the video</t>
      </text>
    </comment>
    <comment authorId="0" ref="J219">
      <text>
        <t xml:space="preserve">North and South Region -- Rs. 10,000
East and West Region -- Rs. 5,000
Fill on your own. If unclear, attend class or watch the video
</t>
      </text>
    </comment>
    <comment authorId="0" ref="D220">
      <text>
        <t xml:space="preserve">Mr. or Ms.
Depending on Male or Female
Fill on your own. If unclear, attend class or watch the video</t>
      </text>
    </comment>
    <comment authorId="0" ref="E220">
      <text>
        <t xml:space="preserve">Salutation + Name
Fill on your own. If unclear, attend class or watch the video</t>
      </text>
    </comment>
    <comment authorId="0" ref="G220">
      <text>
        <t xml:space="preserve">Fill on your own. If unclear, attend class or watch the video</t>
      </text>
    </comment>
    <comment authorId="0" ref="J220">
      <text>
        <t xml:space="preserve">North and South Region -- Rs. 10,000
East and West Region -- Rs. 5,000
Fill on your own. If unclear, attend class or watch the video
</t>
      </text>
    </comment>
    <comment authorId="0" ref="D221">
      <text>
        <t xml:space="preserve">Mr. or Ms.
Depending on Male or Female
Fill on your own. If unclear, attend class or watch the video</t>
      </text>
    </comment>
    <comment authorId="0" ref="E221">
      <text>
        <t xml:space="preserve">Salutation + Name
Fill on your own. If unclear, attend class or watch the video</t>
      </text>
    </comment>
    <comment authorId="0" ref="G221">
      <text>
        <t xml:space="preserve">Fill on your own. If unclear, attend class or watch the video</t>
      </text>
    </comment>
    <comment authorId="0" ref="J221">
      <text>
        <t xml:space="preserve">North and South Region -- Rs. 10,000
East and West Region -- Rs. 5,000
Fill on your own. If unclear, attend class or watch the video
</t>
      </text>
    </comment>
    <comment authorId="0" ref="D222">
      <text>
        <t xml:space="preserve">Mr. or Ms.
Depending on Male or Female
Fill on your own. If unclear, attend class or watch the video</t>
      </text>
    </comment>
    <comment authorId="0" ref="E222">
      <text>
        <t xml:space="preserve">Salutation + Name
Fill on your own. If unclear, attend class or watch the video</t>
      </text>
    </comment>
    <comment authorId="0" ref="G222">
      <text>
        <t xml:space="preserve">Fill on your own. If unclear, attend class or watch the video</t>
      </text>
    </comment>
    <comment authorId="0" ref="J222">
      <text>
        <t xml:space="preserve">North and South Region -- Rs. 10,000
East and West Region -- Rs. 5,000
Fill on your own. If unclear, attend class or watch the video
</t>
      </text>
    </comment>
    <comment authorId="0" ref="D223">
      <text>
        <t xml:space="preserve">Mr. or Ms.
Depending on Male or Female
Fill on your own. If unclear, attend class or watch the video</t>
      </text>
    </comment>
    <comment authorId="0" ref="E223">
      <text>
        <t xml:space="preserve">Salutation + Name
Fill on your own. If unclear, attend class or watch the video</t>
      </text>
    </comment>
    <comment authorId="0" ref="G223">
      <text>
        <t xml:space="preserve">Fill on your own. If unclear, attend class or watch the video</t>
      </text>
    </comment>
    <comment authorId="0" ref="J223">
      <text>
        <t xml:space="preserve">North and South Region -- Rs. 10,000
East and West Region -- Rs. 5,000
Fill on your own. If unclear, attend class or watch the video
</t>
      </text>
    </comment>
    <comment authorId="0" ref="D224">
      <text>
        <t xml:space="preserve">Mr. or Ms.
Depending on Male or Female
Fill on your own. If unclear, attend class or watch the video</t>
      </text>
    </comment>
    <comment authorId="0" ref="E224">
      <text>
        <t xml:space="preserve">Salutation + Name
Fill on your own. If unclear, attend class or watch the video</t>
      </text>
    </comment>
    <comment authorId="0" ref="G224">
      <text>
        <t xml:space="preserve">Fill on your own. If unclear, attend class or watch the video</t>
      </text>
    </comment>
    <comment authorId="0" ref="J224">
      <text>
        <t xml:space="preserve">North and South Region -- Rs. 10,000
East and West Region -- Rs. 5,000
Fill on your own. If unclear, attend class or watch the video
</t>
      </text>
    </comment>
    <comment authorId="0" ref="D225">
      <text>
        <t xml:space="preserve">Mr. or Ms.
Depending on Male or Female
Fill on your own. If unclear, attend class or watch the video</t>
      </text>
    </comment>
    <comment authorId="0" ref="E225">
      <text>
        <t xml:space="preserve">Salutation + Name
Fill on your own. If unclear, attend class or watch the video</t>
      </text>
    </comment>
    <comment authorId="0" ref="G225">
      <text>
        <t xml:space="preserve">Fill on your own. If unclear, attend class or watch the video</t>
      </text>
    </comment>
    <comment authorId="0" ref="J225">
      <text>
        <t xml:space="preserve">North and South Region -- Rs. 10,000
East and West Region -- Rs. 5,000
Fill on your own. If unclear, attend class or watch the video
</t>
      </text>
    </comment>
    <comment authorId="0" ref="D226">
      <text>
        <t xml:space="preserve">Mr. or Ms.
Depending on Male or Female
Fill on your own. If unclear, attend class or watch the video</t>
      </text>
    </comment>
    <comment authorId="0" ref="E226">
      <text>
        <t xml:space="preserve">Salutation + Name
Fill on your own. If unclear, attend class or watch the video</t>
      </text>
    </comment>
    <comment authorId="0" ref="G226">
      <text>
        <t xml:space="preserve">Fill on your own. If unclear, attend class or watch the video</t>
      </text>
    </comment>
    <comment authorId="0" ref="J226">
      <text>
        <t xml:space="preserve">North and South Region -- Rs. 10,000
East and West Region -- Rs. 5,000
Fill on your own. If unclear, attend class or watch the video
</t>
      </text>
    </comment>
    <comment authorId="0" ref="D227">
      <text>
        <t xml:space="preserve">Mr. or Ms.
Depending on Male or Female
Fill on your own. If unclear, attend class or watch the video</t>
      </text>
    </comment>
    <comment authorId="0" ref="E227">
      <text>
        <t xml:space="preserve">Salutation + Name
Fill on your own. If unclear, attend class or watch the video</t>
      </text>
    </comment>
    <comment authorId="0" ref="G227">
      <text>
        <t xml:space="preserve">Fill on your own. If unclear, attend class or watch the video</t>
      </text>
    </comment>
    <comment authorId="0" ref="J227">
      <text>
        <t xml:space="preserve">North and South Region -- Rs. 10,000
East and West Region -- Rs. 5,000
Fill on your own. If unclear, attend class or watch the video
</t>
      </text>
    </comment>
    <comment authorId="0" ref="D228">
      <text>
        <t xml:space="preserve">Mr. or Ms.
Depending on Male or Female
Fill on your own. If unclear, attend class or watch the video</t>
      </text>
    </comment>
    <comment authorId="0" ref="E228">
      <text>
        <t xml:space="preserve">Salutation + Name
Fill on your own. If unclear, attend class or watch the video</t>
      </text>
    </comment>
    <comment authorId="0" ref="G228">
      <text>
        <t xml:space="preserve">Fill on your own. If unclear, attend class or watch the video</t>
      </text>
    </comment>
    <comment authorId="0" ref="J228">
      <text>
        <t xml:space="preserve">North and South Region -- Rs. 10,000
East and West Region -- Rs. 5,000
Fill on your own. If unclear, attend class or watch the video
</t>
      </text>
    </comment>
    <comment authorId="0" ref="D229">
      <text>
        <t xml:space="preserve">Mr. or Ms.
Depending on Male or Female
Fill on your own. If unclear, attend class or watch the video</t>
      </text>
    </comment>
    <comment authorId="0" ref="E229">
      <text>
        <t xml:space="preserve">Salutation + Name
Fill on your own. If unclear, attend class or watch the video</t>
      </text>
    </comment>
    <comment authorId="0" ref="G229">
      <text>
        <t xml:space="preserve">Fill on your own. If unclear, attend class or watch the video</t>
      </text>
    </comment>
    <comment authorId="0" ref="J229">
      <text>
        <t xml:space="preserve">North and South Region -- Rs. 10,000
East and West Region -- Rs. 5,000
Fill on your own. If unclear, attend class or watch the video
</t>
      </text>
    </comment>
    <comment authorId="0" ref="D230">
      <text>
        <t xml:space="preserve">Mr. or Ms.
Depending on Male or Female
Fill on your own. If unclear, attend class or watch the video</t>
      </text>
    </comment>
    <comment authorId="0" ref="E230">
      <text>
        <t xml:space="preserve">Salutation + Name
Fill on your own. If unclear, attend class or watch the video</t>
      </text>
    </comment>
    <comment authorId="0" ref="G230">
      <text>
        <t xml:space="preserve">Fill on your own. If unclear, attend class or watch the video</t>
      </text>
    </comment>
    <comment authorId="0" ref="J230">
      <text>
        <t xml:space="preserve">North and South Region -- Rs. 10,000
East and West Region -- Rs. 5,000
Fill on your own. If unclear, attend class or watch the video
</t>
      </text>
    </comment>
    <comment authorId="0" ref="D231">
      <text>
        <t xml:space="preserve">Mr. or Ms.
Depending on Male or Female
Fill on your own. If unclear, attend class or watch the video</t>
      </text>
    </comment>
    <comment authorId="0" ref="E231">
      <text>
        <t xml:space="preserve">Salutation + Name
Fill on your own. If unclear, attend class or watch the video</t>
      </text>
    </comment>
    <comment authorId="0" ref="G231">
      <text>
        <t xml:space="preserve">Fill on your own. If unclear, attend class or watch the video</t>
      </text>
    </comment>
    <comment authorId="0" ref="J231">
      <text>
        <t xml:space="preserve">North and South Region -- Rs. 10,000
East and West Region -- Rs. 5,000
Fill on your own. If unclear, attend class or watch the video
</t>
      </text>
    </comment>
    <comment authorId="0" ref="D232">
      <text>
        <t xml:space="preserve">Mr. or Ms.
Depending on Male or Female
Fill on your own. If unclear, attend class or watch the video</t>
      </text>
    </comment>
    <comment authorId="0" ref="E232">
      <text>
        <t xml:space="preserve">Salutation + Name
Fill on your own. If unclear, attend class or watch the video</t>
      </text>
    </comment>
    <comment authorId="0" ref="G232">
      <text>
        <t xml:space="preserve">Fill on your own. If unclear, attend class or watch the video</t>
      </text>
    </comment>
    <comment authorId="0" ref="J232">
      <text>
        <t xml:space="preserve">North and South Region -- Rs. 10,000
East and West Region -- Rs. 5,000
Fill on your own. If unclear, attend class or watch the video
</t>
      </text>
    </comment>
    <comment authorId="0" ref="D233">
      <text>
        <t xml:space="preserve">Mr. or Ms.
Depending on Male or Female
Fill on your own. If unclear, attend class or watch the video</t>
      </text>
    </comment>
    <comment authorId="0" ref="E233">
      <text>
        <t xml:space="preserve">Salutation + Name
Fill on your own. If unclear, attend class or watch the video</t>
      </text>
    </comment>
    <comment authorId="0" ref="G233">
      <text>
        <t xml:space="preserve">Fill on your own. If unclear, attend class or watch the video</t>
      </text>
    </comment>
    <comment authorId="0" ref="J233">
      <text>
        <t xml:space="preserve">North and South Region -- Rs. 10,000
East and West Region -- Rs. 5,000
Fill on your own. If unclear, attend class or watch the video
</t>
      </text>
    </comment>
    <comment authorId="0" ref="D234">
      <text>
        <t xml:space="preserve">Mr. or Ms.
Depending on Male or Female
Fill on your own. If unclear, attend class or watch the video</t>
      </text>
    </comment>
    <comment authorId="0" ref="E234">
      <text>
        <t xml:space="preserve">Salutation + Name
Fill on your own. If unclear, attend class or watch the video</t>
      </text>
    </comment>
    <comment authorId="0" ref="G234">
      <text>
        <t xml:space="preserve">Fill on your own. If unclear, attend class or watch the video</t>
      </text>
    </comment>
    <comment authorId="0" ref="J234">
      <text>
        <t xml:space="preserve">North and South Region -- Rs. 10,000
East and West Region -- Rs. 5,000
Fill on your own. If unclear, attend class or watch the video
</t>
      </text>
    </comment>
    <comment authorId="0" ref="D235">
      <text>
        <t xml:space="preserve">Mr. or Ms.
Depending on Male or Female
Fill on your own. If unclear, attend class or watch the video</t>
      </text>
    </comment>
    <comment authorId="0" ref="E235">
      <text>
        <t xml:space="preserve">Salutation + Name
Fill on your own. If unclear, attend class or watch the video</t>
      </text>
    </comment>
    <comment authorId="0" ref="G235">
      <text>
        <t xml:space="preserve">Fill on your own. If unclear, attend class or watch the video</t>
      </text>
    </comment>
    <comment authorId="0" ref="J235">
      <text>
        <t xml:space="preserve">North and South Region -- Rs. 10,000
East and West Region -- Rs. 5,000
Fill on your own. If unclear, attend class or watch the video
</t>
      </text>
    </comment>
    <comment authorId="0" ref="D236">
      <text>
        <t xml:space="preserve">Mr. or Ms.
Depending on Male or Female
Fill on your own. If unclear, attend class or watch the video</t>
      </text>
    </comment>
    <comment authorId="0" ref="E236">
      <text>
        <t xml:space="preserve">Salutation + Name
Fill on your own. If unclear, attend class or watch the video</t>
      </text>
    </comment>
    <comment authorId="0" ref="G236">
      <text>
        <t xml:space="preserve">Fill on your own. If unclear, attend class or watch the video</t>
      </text>
    </comment>
    <comment authorId="0" ref="J236">
      <text>
        <t xml:space="preserve">North and South Region -- Rs. 10,000
East and West Region -- Rs. 5,000
Fill on your own. If unclear, attend class or watch the video
</t>
      </text>
    </comment>
    <comment authorId="0" ref="D237">
      <text>
        <t xml:space="preserve">Mr. or Ms.
Depending on Male or Female
Fill on your own. If unclear, attend class or watch the video</t>
      </text>
    </comment>
    <comment authorId="0" ref="E237">
      <text>
        <t xml:space="preserve">Salutation + Name
Fill on your own. If unclear, attend class or watch the video</t>
      </text>
    </comment>
    <comment authorId="0" ref="G237">
      <text>
        <t xml:space="preserve">Fill on your own. If unclear, attend class or watch the video</t>
      </text>
    </comment>
    <comment authorId="0" ref="J237">
      <text>
        <t xml:space="preserve">North and South Region -- Rs. 10,000
East and West Region -- Rs. 5,000
Fill on your own. If unclear, attend class or watch the video
</t>
      </text>
    </comment>
    <comment authorId="0" ref="D238">
      <text>
        <t xml:space="preserve">Mr. or Ms.
Depending on Male or Female
Fill on your own. If unclear, attend class or watch the video</t>
      </text>
    </comment>
    <comment authorId="0" ref="E238">
      <text>
        <t xml:space="preserve">Salutation + Name
Fill on your own. If unclear, attend class or watch the video</t>
      </text>
    </comment>
    <comment authorId="0" ref="G238">
      <text>
        <t xml:space="preserve">Fill on your own. If unclear, attend class or watch the video</t>
      </text>
    </comment>
    <comment authorId="0" ref="J238">
      <text>
        <t xml:space="preserve">North and South Region -- Rs. 10,000
East and West Region -- Rs. 5,000
Fill on your own. If unclear, attend class or watch the video
</t>
      </text>
    </comment>
    <comment authorId="0" ref="D239">
      <text>
        <t xml:space="preserve">Mr. or Ms.
Depending on Male or Female
Fill on your own. If unclear, attend class or watch the video</t>
      </text>
    </comment>
    <comment authorId="0" ref="E239">
      <text>
        <t xml:space="preserve">Salutation + Name
Fill on your own. If unclear, attend class or watch the video</t>
      </text>
    </comment>
    <comment authorId="0" ref="G239">
      <text>
        <t xml:space="preserve">Fill on your own. If unclear, attend class or watch the video</t>
      </text>
    </comment>
    <comment authorId="0" ref="J239">
      <text>
        <t xml:space="preserve">North and South Region -- Rs. 10,000
East and West Region -- Rs. 5,000
Fill on your own. If unclear, attend class or watch the video
</t>
      </text>
    </comment>
    <comment authorId="0" ref="D240">
      <text>
        <t xml:space="preserve">Mr. or Ms.
Depending on Male or Female
Fill on your own. If unclear, attend class or watch the video</t>
      </text>
    </comment>
    <comment authorId="0" ref="E240">
      <text>
        <t xml:space="preserve">Salutation + Name
Fill on your own. If unclear, attend class or watch the video</t>
      </text>
    </comment>
    <comment authorId="0" ref="G240">
      <text>
        <t xml:space="preserve">Fill on your own. If unclear, attend class or watch the video</t>
      </text>
    </comment>
    <comment authorId="0" ref="J240">
      <text>
        <t xml:space="preserve">North and South Region -- Rs. 10,000
East and West Region -- Rs. 5,000
Fill on your own. If unclear, attend class or watch the video
</t>
      </text>
    </comment>
    <comment authorId="0" ref="D241">
      <text>
        <t xml:space="preserve">Mr. or Ms.
Depending on Male or Female
Fill on your own. If unclear, attend class or watch the video</t>
      </text>
    </comment>
    <comment authorId="0" ref="E241">
      <text>
        <t xml:space="preserve">Salutation + Name
Fill on your own. If unclear, attend class or watch the video</t>
      </text>
    </comment>
    <comment authorId="0" ref="G241">
      <text>
        <t xml:space="preserve">Fill on your own. If unclear, attend class or watch the video</t>
      </text>
    </comment>
    <comment authorId="0" ref="J241">
      <text>
        <t xml:space="preserve">North and South Region -- Rs. 10,000
East and West Region -- Rs. 5,000
Fill on your own. If unclear, attend class or watch the video
</t>
      </text>
    </comment>
    <comment authorId="0" ref="D242">
      <text>
        <t xml:space="preserve">Mr. or Ms.
Depending on Male or Female
Fill on your own. If unclear, attend class or watch the video</t>
      </text>
    </comment>
    <comment authorId="0" ref="E242">
      <text>
        <t xml:space="preserve">Salutation + Name
Fill on your own. If unclear, attend class or watch the video</t>
      </text>
    </comment>
    <comment authorId="0" ref="G242">
      <text>
        <t xml:space="preserve">Fill on your own. If unclear, attend class or watch the video</t>
      </text>
    </comment>
    <comment authorId="0" ref="J242">
      <text>
        <t xml:space="preserve">North and South Region -- Rs. 10,000
East and West Region -- Rs. 5,000
Fill on your own. If unclear, attend class or watch the video
</t>
      </text>
    </comment>
    <comment authorId="0" ref="D243">
      <text>
        <t xml:space="preserve">Mr. or Ms.
Depending on Male or Female
Fill on your own. If unclear, attend class or watch the video</t>
      </text>
    </comment>
    <comment authorId="0" ref="E243">
      <text>
        <t xml:space="preserve">Salutation + Name
Fill on your own. If unclear, attend class or watch the video</t>
      </text>
    </comment>
    <comment authorId="0" ref="G243">
      <text>
        <t xml:space="preserve">Fill on your own. If unclear, attend class or watch the video</t>
      </text>
    </comment>
    <comment authorId="0" ref="J243">
      <text>
        <t xml:space="preserve">North and South Region -- Rs. 10,000
East and West Region -- Rs. 5,000
Fill on your own. If unclear, attend class or watch the video
</t>
      </text>
    </comment>
    <comment authorId="0" ref="D244">
      <text>
        <t xml:space="preserve">Mr. or Ms.
Depending on Male or Female
Fill on your own. If unclear, attend class or watch the video</t>
      </text>
    </comment>
    <comment authorId="0" ref="E244">
      <text>
        <t xml:space="preserve">Salutation + Name
Fill on your own. If unclear, attend class or watch the video</t>
      </text>
    </comment>
    <comment authorId="0" ref="G244">
      <text>
        <t xml:space="preserve">Fill on your own. If unclear, attend class or watch the video</t>
      </text>
    </comment>
    <comment authorId="0" ref="J244">
      <text>
        <t xml:space="preserve">North and South Region -- Rs. 10,000
East and West Region -- Rs. 5,000
Fill on your own. If unclear, attend class or watch the video
</t>
      </text>
    </comment>
    <comment authorId="0" ref="D245">
      <text>
        <t xml:space="preserve">Mr. or Ms.
Depending on Male or Female
Fill on your own. If unclear, attend class or watch the video</t>
      </text>
    </comment>
    <comment authorId="0" ref="E245">
      <text>
        <t xml:space="preserve">Salutation + Name
Fill on your own. If unclear, attend class or watch the video</t>
      </text>
    </comment>
    <comment authorId="0" ref="G245">
      <text>
        <t xml:space="preserve">Fill on your own. If unclear, attend class or watch the video</t>
      </text>
    </comment>
    <comment authorId="0" ref="J245">
      <text>
        <t xml:space="preserve">North and South Region -- Rs. 10,000
East and West Region -- Rs. 5,000
Fill on your own. If unclear, attend class or watch the video
</t>
      </text>
    </comment>
    <comment authorId="0" ref="D246">
      <text>
        <t xml:space="preserve">Mr. or Ms.
Depending on Male or Female
Fill on your own. If unclear, attend class or watch the video</t>
      </text>
    </comment>
    <comment authorId="0" ref="E246">
      <text>
        <t xml:space="preserve">Salutation + Name
Fill on your own. If unclear, attend class or watch the video</t>
      </text>
    </comment>
    <comment authorId="0" ref="G246">
      <text>
        <t xml:space="preserve">Fill on your own. If unclear, attend class or watch the video</t>
      </text>
    </comment>
    <comment authorId="0" ref="J246">
      <text>
        <t xml:space="preserve">North and South Region -- Rs. 10,000
East and West Region -- Rs. 5,000
Fill on your own. If unclear, attend class or watch the video
</t>
      </text>
    </comment>
    <comment authorId="0" ref="D247">
      <text>
        <t xml:space="preserve">Mr. or Ms.
Depending on Male or Female
Fill on your own. If unclear, attend class or watch the video</t>
      </text>
    </comment>
    <comment authorId="0" ref="E247">
      <text>
        <t xml:space="preserve">Salutation + Name
Fill on your own. If unclear, attend class or watch the video</t>
      </text>
    </comment>
    <comment authorId="0" ref="G247">
      <text>
        <t xml:space="preserve">Fill on your own. If unclear, attend class or watch the video</t>
      </text>
    </comment>
    <comment authorId="0" ref="J247">
      <text>
        <t xml:space="preserve">North and South Region -- Rs. 10,000
East and West Region -- Rs. 5,000
Fill on your own. If unclear, attend class or watch the video
</t>
      </text>
    </comment>
    <comment authorId="0" ref="D248">
      <text>
        <t xml:space="preserve">Mr. or Ms.
Depending on Male or Female
Fill on your own. If unclear, attend class or watch the video</t>
      </text>
    </comment>
    <comment authorId="0" ref="E248">
      <text>
        <t xml:space="preserve">Salutation + Name
Fill on your own. If unclear, attend class or watch the video</t>
      </text>
    </comment>
    <comment authorId="0" ref="G248">
      <text>
        <t xml:space="preserve">Fill on your own. If unclear, attend class or watch the video</t>
      </text>
    </comment>
    <comment authorId="0" ref="J248">
      <text>
        <t xml:space="preserve">North and South Region -- Rs. 10,000
East and West Region -- Rs. 5,000
Fill on your own. If unclear, attend class or watch the video
</t>
      </text>
    </comment>
    <comment authorId="0" ref="D249">
      <text>
        <t xml:space="preserve">Mr. or Ms.
Depending on Male or Female
Fill on your own. If unclear, attend class or watch the video</t>
      </text>
    </comment>
    <comment authorId="0" ref="E249">
      <text>
        <t xml:space="preserve">Salutation + Name
Fill on your own. If unclear, attend class or watch the video</t>
      </text>
    </comment>
    <comment authorId="0" ref="G249">
      <text>
        <t xml:space="preserve">Fill on your own. If unclear, attend class or watch the video</t>
      </text>
    </comment>
    <comment authorId="0" ref="J249">
      <text>
        <t xml:space="preserve">North and South Region -- Rs. 10,000
East and West Region -- Rs. 5,000
Fill on your own. If unclear, attend class or watch the video
</t>
      </text>
    </comment>
    <comment authorId="0" ref="D250">
      <text>
        <t xml:space="preserve">Mr. or Ms.
Depending on Male or Female
Fill on your own. If unclear, attend class or watch the video</t>
      </text>
    </comment>
    <comment authorId="0" ref="E250">
      <text>
        <t xml:space="preserve">Salutation + Name
Fill on your own. If unclear, attend class or watch the video</t>
      </text>
    </comment>
    <comment authorId="0" ref="G250">
      <text>
        <t xml:space="preserve">Fill on your own. If unclear, attend class or watch the video</t>
      </text>
    </comment>
    <comment authorId="0" ref="J250">
      <text>
        <t xml:space="preserve">North and South Region -- Rs. 10,000
East and West Region -- Rs. 5,000
Fill on your own. If unclear, attend class or watch the video
</t>
      </text>
    </comment>
    <comment authorId="0" ref="D251">
      <text>
        <t xml:space="preserve">Mr. or Ms.
Depending on Male or Female
Fill on your own. If unclear, attend class or watch the video</t>
      </text>
    </comment>
    <comment authorId="0" ref="E251">
      <text>
        <t xml:space="preserve">Salutation + Name
Fill on your own. If unclear, attend class or watch the video</t>
      </text>
    </comment>
    <comment authorId="0" ref="G251">
      <text>
        <t xml:space="preserve">Fill on your own. If unclear, attend class or watch the video</t>
      </text>
    </comment>
    <comment authorId="0" ref="J251">
      <text>
        <t xml:space="preserve">North and South Region -- Rs. 10,000
East and West Region -- Rs. 5,000
Fill on your own. If unclear, attend class or watch the video
</t>
      </text>
    </comment>
    <comment authorId="0" ref="D252">
      <text>
        <t xml:space="preserve">Mr. or Ms.
Depending on Male or Female
Fill on your own. If unclear, attend class or watch the video</t>
      </text>
    </comment>
    <comment authorId="0" ref="E252">
      <text>
        <t xml:space="preserve">Salutation + Name
Fill on your own. If unclear, attend class or watch the video</t>
      </text>
    </comment>
    <comment authorId="0" ref="G252">
      <text>
        <t xml:space="preserve">Fill on your own. If unclear, attend class or watch the video</t>
      </text>
    </comment>
    <comment authorId="0" ref="J252">
      <text>
        <t xml:space="preserve">North and South Region -- Rs. 10,000
East and West Region -- Rs. 5,000
Fill on your own. If unclear, attend class or watch the video
</t>
      </text>
    </comment>
    <comment authorId="0" ref="D253">
      <text>
        <t xml:space="preserve">Mr. or Ms.
Depending on Male or Female
Fill on your own. If unclear, attend class or watch the video</t>
      </text>
    </comment>
    <comment authorId="0" ref="E253">
      <text>
        <t xml:space="preserve">Salutation + Name
Fill on your own. If unclear, attend class or watch the video</t>
      </text>
    </comment>
    <comment authorId="0" ref="G253">
      <text>
        <t xml:space="preserve">Fill on your own. If unclear, attend class or watch the video</t>
      </text>
    </comment>
    <comment authorId="0" ref="J253">
      <text>
        <t xml:space="preserve">North and South Region -- Rs. 10,000
East and West Region -- Rs. 5,000
Fill on your own. If unclear, attend class or watch the video
</t>
      </text>
    </comment>
    <comment authorId="0" ref="D254">
      <text>
        <t xml:space="preserve">Mr. or Ms.
Depending on Male or Female
Fill on your own. If unclear, attend class or watch the video</t>
      </text>
    </comment>
    <comment authorId="0" ref="E254">
      <text>
        <t xml:space="preserve">Salutation + Name
Fill on your own. If unclear, attend class or watch the video</t>
      </text>
    </comment>
    <comment authorId="0" ref="G254">
      <text>
        <t xml:space="preserve">Fill on your own. If unclear, attend class or watch the video</t>
      </text>
    </comment>
    <comment authorId="0" ref="J254">
      <text>
        <t xml:space="preserve">North and South Region -- Rs. 10,000
East and West Region -- Rs. 5,000
Fill on your own. If unclear, attend class or watch the video
</t>
      </text>
    </comment>
    <comment authorId="0" ref="D255">
      <text>
        <t xml:space="preserve">Mr. or Ms.
Depending on Male or Female
Fill on your own. If unclear, attend class or watch the video</t>
      </text>
    </comment>
    <comment authorId="0" ref="E255">
      <text>
        <t xml:space="preserve">Salutation + Name
Fill on your own. If unclear, attend class or watch the video</t>
      </text>
    </comment>
    <comment authorId="0" ref="G255">
      <text>
        <t xml:space="preserve">Fill on your own. If unclear, attend class or watch the video</t>
      </text>
    </comment>
    <comment authorId="0" ref="J255">
      <text>
        <t xml:space="preserve">North and South Region -- Rs. 10,000
East and West Region -- Rs. 5,000
Fill on your own. If unclear, attend class or watch the video
</t>
      </text>
    </comment>
    <comment authorId="0" ref="D256">
      <text>
        <t xml:space="preserve">Mr. or Ms.
Depending on Male or Female
Fill on your own. If unclear, attend class or watch the video</t>
      </text>
    </comment>
    <comment authorId="0" ref="E256">
      <text>
        <t xml:space="preserve">Salutation + Name
Fill on your own. If unclear, attend class or watch the video</t>
      </text>
    </comment>
    <comment authorId="0" ref="G256">
      <text>
        <t xml:space="preserve">Fill on your own. If unclear, attend class or watch the video</t>
      </text>
    </comment>
    <comment authorId="0" ref="J256">
      <text>
        <t xml:space="preserve">North and South Region -- Rs. 10,000
East and West Region -- Rs. 5,000
Fill on your own. If unclear, attend class or watch the video
</t>
      </text>
    </comment>
    <comment authorId="0" ref="D257">
      <text>
        <t xml:space="preserve">Mr. or Ms.
Depending on Male or Female
Fill on your own. If unclear, attend class or watch the video</t>
      </text>
    </comment>
    <comment authorId="0" ref="E257">
      <text>
        <t xml:space="preserve">Salutation + Name
Fill on your own. If unclear, attend class or watch the video</t>
      </text>
    </comment>
    <comment authorId="0" ref="G257">
      <text>
        <t xml:space="preserve">Fill on your own. If unclear, attend class or watch the video</t>
      </text>
    </comment>
    <comment authorId="0" ref="J257">
      <text>
        <t xml:space="preserve">North and South Region -- Rs. 10,000
East and West Region -- Rs. 5,000
Fill on your own. If unclear, attend class or watch the video
</t>
      </text>
    </comment>
    <comment authorId="0" ref="D258">
      <text>
        <t xml:space="preserve">Mr. or Ms.
Depending on Male or Female
Fill on your own. If unclear, attend class or watch the video</t>
      </text>
    </comment>
    <comment authorId="0" ref="E258">
      <text>
        <t xml:space="preserve">Salutation + Name
Fill on your own. If unclear, attend class or watch the video</t>
      </text>
    </comment>
    <comment authorId="0" ref="G258">
      <text>
        <t xml:space="preserve">Fill on your own. If unclear, attend class or watch the video</t>
      </text>
    </comment>
    <comment authorId="0" ref="J258">
      <text>
        <t xml:space="preserve">North and South Region -- Rs. 10,000
East and West Region -- Rs. 5,000
Fill on your own. If unclear, attend class or watch the video
</t>
      </text>
    </comment>
    <comment authorId="0" ref="D259">
      <text>
        <t xml:space="preserve">Mr. or Ms.
Depending on Male or Female
Fill on your own. If unclear, attend class or watch the video</t>
      </text>
    </comment>
    <comment authorId="0" ref="E259">
      <text>
        <t xml:space="preserve">Salutation + Name
Fill on your own. If unclear, attend class or watch the video</t>
      </text>
    </comment>
    <comment authorId="0" ref="G259">
      <text>
        <t xml:space="preserve">Fill on your own. If unclear, attend class or watch the video</t>
      </text>
    </comment>
    <comment authorId="0" ref="J259">
      <text>
        <t xml:space="preserve">North and South Region -- Rs. 10,000
East and West Region -- Rs. 5,000
Fill on your own. If unclear, attend class or watch the video
</t>
      </text>
    </comment>
    <comment authorId="0" ref="D260">
      <text>
        <t xml:space="preserve">Mr. or Ms.
Depending on Male or Female
Fill on your own. If unclear, attend class or watch the video</t>
      </text>
    </comment>
    <comment authorId="0" ref="E260">
      <text>
        <t xml:space="preserve">Salutation + Name
Fill on your own. If unclear, attend class or watch the video</t>
      </text>
    </comment>
    <comment authorId="0" ref="G260">
      <text>
        <t xml:space="preserve">Fill on your own. If unclear, attend class or watch the video</t>
      </text>
    </comment>
    <comment authorId="0" ref="J260">
      <text>
        <t xml:space="preserve">North and South Region -- Rs. 10,000
East and West Region -- Rs. 5,000
Fill on your own. If unclear, attend class or watch the video
</t>
      </text>
    </comment>
    <comment authorId="0" ref="D261">
      <text>
        <t xml:space="preserve">Mr. or Ms.
Depending on Male or Female
Fill on your own. If unclear, attend class or watch the video</t>
      </text>
    </comment>
    <comment authorId="0" ref="E261">
      <text>
        <t xml:space="preserve">Salutation + Name
Fill on your own. If unclear, attend class or watch the video</t>
      </text>
    </comment>
    <comment authorId="0" ref="G261">
      <text>
        <t xml:space="preserve">Fill on your own. If unclear, attend class or watch the video</t>
      </text>
    </comment>
    <comment authorId="0" ref="J261">
      <text>
        <t xml:space="preserve">North and South Region -- Rs. 10,000
East and West Region -- Rs. 5,000
Fill on your own. If unclear, attend class or watch the video
</t>
      </text>
    </comment>
    <comment authorId="0" ref="D262">
      <text>
        <t xml:space="preserve">Mr. or Ms.
Depending on Male or Female
Fill on your own. If unclear, attend class or watch the video</t>
      </text>
    </comment>
    <comment authorId="0" ref="E262">
      <text>
        <t xml:space="preserve">Salutation + Name
Fill on your own. If unclear, attend class or watch the video</t>
      </text>
    </comment>
    <comment authorId="0" ref="G262">
      <text>
        <t xml:space="preserve">Fill on your own. If unclear, attend class or watch the video</t>
      </text>
    </comment>
    <comment authorId="0" ref="J262">
      <text>
        <t xml:space="preserve">North and South Region -- Rs. 10,000
East and West Region -- Rs. 5,000
Fill on your own. If unclear, attend class or watch the video
</t>
      </text>
    </comment>
    <comment authorId="0" ref="D263">
      <text>
        <t xml:space="preserve">Mr. or Ms.
Depending on Male or Female
Fill on your own. If unclear, attend class or watch the video</t>
      </text>
    </comment>
    <comment authorId="0" ref="E263">
      <text>
        <t xml:space="preserve">Salutation + Name
Fill on your own. If unclear, attend class or watch the video</t>
      </text>
    </comment>
    <comment authorId="0" ref="G263">
      <text>
        <t xml:space="preserve">Fill on your own. If unclear, attend class or watch the video</t>
      </text>
    </comment>
    <comment authorId="0" ref="J263">
      <text>
        <t xml:space="preserve">North and South Region -- Rs. 10,000
East and West Region -- Rs. 5,000
Fill on your own. If unclear, attend class or watch the video
</t>
      </text>
    </comment>
    <comment authorId="0" ref="D264">
      <text>
        <t xml:space="preserve">Mr. or Ms.
Depending on Male or Female
Fill on your own. If unclear, attend class or watch the video</t>
      </text>
    </comment>
    <comment authorId="0" ref="E264">
      <text>
        <t xml:space="preserve">Salutation + Name
Fill on your own. If unclear, attend class or watch the video</t>
      </text>
    </comment>
    <comment authorId="0" ref="G264">
      <text>
        <t xml:space="preserve">Fill on your own. If unclear, attend class or watch the video</t>
      </text>
    </comment>
    <comment authorId="0" ref="J264">
      <text>
        <t xml:space="preserve">North and South Region -- Rs. 10,000
East and West Region -- Rs. 5,000
Fill on your own. If unclear, attend class or watch the video
</t>
      </text>
    </comment>
    <comment authorId="0" ref="D265">
      <text>
        <t xml:space="preserve">Mr. or Ms.
Depending on Male or Female
Fill on your own. If unclear, attend class or watch the video</t>
      </text>
    </comment>
    <comment authorId="0" ref="E265">
      <text>
        <t xml:space="preserve">Salutation + Name
Fill on your own. If unclear, attend class or watch the video</t>
      </text>
    </comment>
    <comment authorId="0" ref="G265">
      <text>
        <t xml:space="preserve">Fill on your own. If unclear, attend class or watch the video</t>
      </text>
    </comment>
    <comment authorId="0" ref="J265">
      <text>
        <t xml:space="preserve">North and South Region -- Rs. 10,000
East and West Region -- Rs. 5,000
Fill on your own. If unclear, attend class or watch the video
</t>
      </text>
    </comment>
    <comment authorId="0" ref="D266">
      <text>
        <t xml:space="preserve">Mr. or Ms.
Depending on Male or Female
Fill on your own. If unclear, attend class or watch the video</t>
      </text>
    </comment>
    <comment authorId="0" ref="E266">
      <text>
        <t xml:space="preserve">Salutation + Name
Fill on your own. If unclear, attend class or watch the video</t>
      </text>
    </comment>
    <comment authorId="0" ref="G266">
      <text>
        <t xml:space="preserve">Fill on your own. If unclear, attend class or watch the video</t>
      </text>
    </comment>
    <comment authorId="0" ref="J266">
      <text>
        <t xml:space="preserve">North and South Region -- Rs. 10,000
East and West Region -- Rs. 5,000
Fill on your own. If unclear, attend class or watch the video
</t>
      </text>
    </comment>
    <comment authorId="0" ref="D267">
      <text>
        <t xml:space="preserve">Mr. or Ms.
Depending on Male or Female
Fill on your own. If unclear, attend class or watch the video</t>
      </text>
    </comment>
    <comment authorId="0" ref="E267">
      <text>
        <t xml:space="preserve">Salutation + Name
Fill on your own. If unclear, attend class or watch the video</t>
      </text>
    </comment>
    <comment authorId="0" ref="G267">
      <text>
        <t xml:space="preserve">Fill on your own. If unclear, attend class or watch the video</t>
      </text>
    </comment>
    <comment authorId="0" ref="J267">
      <text>
        <t xml:space="preserve">North and South Region -- Rs. 10,000
East and West Region -- Rs. 5,000
Fill on your own. If unclear, attend class or watch the video
</t>
      </text>
    </comment>
    <comment authorId="0" ref="D268">
      <text>
        <t xml:space="preserve">Mr. or Ms.
Depending on Male or Female
Fill on your own. If unclear, attend class or watch the video</t>
      </text>
    </comment>
    <comment authorId="0" ref="E268">
      <text>
        <t xml:space="preserve">Salutation + Name
Fill on your own. If unclear, attend class or watch the video</t>
      </text>
    </comment>
    <comment authorId="0" ref="G268">
      <text>
        <t xml:space="preserve">Fill on your own. If unclear, attend class or watch the video</t>
      </text>
    </comment>
    <comment authorId="0" ref="J268">
      <text>
        <t xml:space="preserve">North and South Region -- Rs. 10,000
East and West Region -- Rs. 5,000
Fill on your own. If unclear, attend class or watch the video
</t>
      </text>
    </comment>
    <comment authorId="0" ref="D269">
      <text>
        <t xml:space="preserve">Mr. or Ms.
Depending on Male or Female
Fill on your own. If unclear, attend class or watch the video</t>
      </text>
    </comment>
    <comment authorId="0" ref="E269">
      <text>
        <t xml:space="preserve">Salutation + Name
Fill on your own. If unclear, attend class or watch the video</t>
      </text>
    </comment>
    <comment authorId="0" ref="G269">
      <text>
        <t xml:space="preserve">Fill on your own. If unclear, attend class or watch the video</t>
      </text>
    </comment>
    <comment authorId="0" ref="J269">
      <text>
        <t xml:space="preserve">North and South Region -- Rs. 10,000
East and West Region -- Rs. 5,000
Fill on your own. If unclear, attend class or watch the video
</t>
      </text>
    </comment>
    <comment authorId="0" ref="D270">
      <text>
        <t xml:space="preserve">Mr. or Ms.
Depending on Male or Female
Fill on your own. If unclear, attend class or watch the video</t>
      </text>
    </comment>
    <comment authorId="0" ref="E270">
      <text>
        <t xml:space="preserve">Salutation + Name
Fill on your own. If unclear, attend class or watch the video</t>
      </text>
    </comment>
    <comment authorId="0" ref="G270">
      <text>
        <t xml:space="preserve">Fill on your own. If unclear, attend class or watch the video</t>
      </text>
    </comment>
    <comment authorId="0" ref="J270">
      <text>
        <t xml:space="preserve">North and South Region -- Rs. 10,000
East and West Region -- Rs. 5,000
Fill on your own. If unclear, attend class or watch the video
</t>
      </text>
    </comment>
    <comment authorId="0" ref="D271">
      <text>
        <t xml:space="preserve">Mr. or Ms.
Depending on Male or Female
Fill on your own. If unclear, attend class or watch the video</t>
      </text>
    </comment>
    <comment authorId="0" ref="E271">
      <text>
        <t xml:space="preserve">Salutation + Name
Fill on your own. If unclear, attend class or watch the video</t>
      </text>
    </comment>
    <comment authorId="0" ref="G271">
      <text>
        <t xml:space="preserve">Fill on your own. If unclear, attend class or watch the video</t>
      </text>
    </comment>
    <comment authorId="0" ref="J271">
      <text>
        <t xml:space="preserve">North and South Region -- Rs. 10,000
East and West Region -- Rs. 5,000
Fill on your own. If unclear, attend class or watch the video
</t>
      </text>
    </comment>
    <comment authorId="0" ref="D272">
      <text>
        <t xml:space="preserve">Mr. or Ms.
Depending on Male or Female
Fill on your own. If unclear, attend class or watch the video</t>
      </text>
    </comment>
    <comment authorId="0" ref="E272">
      <text>
        <t xml:space="preserve">Salutation + Name
Fill on your own. If unclear, attend class or watch the video</t>
      </text>
    </comment>
    <comment authorId="0" ref="G272">
      <text>
        <t xml:space="preserve">Fill on your own. If unclear, attend class or watch the video</t>
      </text>
    </comment>
    <comment authorId="0" ref="J272">
      <text>
        <t xml:space="preserve">North and South Region -- Rs. 10,000
East and West Region -- Rs. 5,000
Fill on your own. If unclear, attend class or watch the video
</t>
      </text>
    </comment>
    <comment authorId="0" ref="D273">
      <text>
        <t xml:space="preserve">Mr. or Ms.
Depending on Male or Female
Fill on your own. If unclear, attend class or watch the video</t>
      </text>
    </comment>
    <comment authorId="0" ref="E273">
      <text>
        <t xml:space="preserve">Salutation + Name
Fill on your own. If unclear, attend class or watch the video</t>
      </text>
    </comment>
    <comment authorId="0" ref="G273">
      <text>
        <t xml:space="preserve">Fill on your own. If unclear, attend class or watch the video</t>
      </text>
    </comment>
    <comment authorId="0" ref="J273">
      <text>
        <t xml:space="preserve">North and South Region -- Rs. 10,000
East and West Region -- Rs. 5,000
Fill on your own. If unclear, attend class or watch the video
</t>
      </text>
    </comment>
    <comment authorId="0" ref="D274">
      <text>
        <t xml:space="preserve">Mr. or Ms.
Depending on Male or Female
Fill on your own. If unclear, attend class or watch the video</t>
      </text>
    </comment>
    <comment authorId="0" ref="E274">
      <text>
        <t xml:space="preserve">Salutation + Name
Fill on your own. If unclear, attend class or watch the video</t>
      </text>
    </comment>
    <comment authorId="0" ref="G274">
      <text>
        <t xml:space="preserve">Fill on your own. If unclear, attend class or watch the video</t>
      </text>
    </comment>
    <comment authorId="0" ref="J274">
      <text>
        <t xml:space="preserve">North and South Region -- Rs. 10,000
East and West Region -- Rs. 5,000
Fill on your own. If unclear, attend class or watch the video
</t>
      </text>
    </comment>
    <comment authorId="0" ref="D275">
      <text>
        <t xml:space="preserve">Mr. or Ms.
Depending on Male or Female
Fill on your own. If unclear, attend class or watch the video</t>
      </text>
    </comment>
    <comment authorId="0" ref="E275">
      <text>
        <t xml:space="preserve">Salutation + Name
Fill on your own. If unclear, attend class or watch the video</t>
      </text>
    </comment>
    <comment authorId="0" ref="G275">
      <text>
        <t xml:space="preserve">Fill on your own. If unclear, attend class or watch the video</t>
      </text>
    </comment>
    <comment authorId="0" ref="J275">
      <text>
        <t xml:space="preserve">North and South Region -- Rs. 10,000
East and West Region -- Rs. 5,000
Fill on your own. If unclear, attend class or watch the video
</t>
      </text>
    </comment>
    <comment authorId="0" ref="D276">
      <text>
        <t xml:space="preserve">Mr. or Ms.
Depending on Male or Female
Fill on your own. If unclear, attend class or watch the video</t>
      </text>
    </comment>
    <comment authorId="0" ref="E276">
      <text>
        <t xml:space="preserve">Salutation + Name
Fill on your own. If unclear, attend class or watch the video</t>
      </text>
    </comment>
    <comment authorId="0" ref="G276">
      <text>
        <t xml:space="preserve">Fill on your own. If unclear, attend class or watch the video</t>
      </text>
    </comment>
    <comment authorId="0" ref="J276">
      <text>
        <t xml:space="preserve">North and South Region -- Rs. 10,000
East and West Region -- Rs. 5,000
Fill on your own. If unclear, attend class or watch the video
</t>
      </text>
    </comment>
    <comment authorId="0" ref="D277">
      <text>
        <t xml:space="preserve">Mr. or Ms.
Depending on Male or Female
Fill on your own. If unclear, attend class or watch the video</t>
      </text>
    </comment>
    <comment authorId="0" ref="E277">
      <text>
        <t xml:space="preserve">Salutation + Name
Fill on your own. If unclear, attend class or watch the video</t>
      </text>
    </comment>
    <comment authorId="0" ref="G277">
      <text>
        <t xml:space="preserve">Fill on your own. If unclear, attend class or watch the video</t>
      </text>
    </comment>
    <comment authorId="0" ref="J277">
      <text>
        <t xml:space="preserve">North and South Region -- Rs. 10,000
East and West Region -- Rs. 5,000
Fill on your own. If unclear, attend class or watch the video
</t>
      </text>
    </comment>
    <comment authorId="0" ref="D278">
      <text>
        <t xml:space="preserve">Mr. or Ms.
Depending on Male or Female
Fill on your own. If unclear, attend class or watch the video</t>
      </text>
    </comment>
    <comment authorId="0" ref="E278">
      <text>
        <t xml:space="preserve">Salutation + Name
Fill on your own. If unclear, attend class or watch the video</t>
      </text>
    </comment>
    <comment authorId="0" ref="G278">
      <text>
        <t xml:space="preserve">Fill on your own. If unclear, attend class or watch the video</t>
      </text>
    </comment>
    <comment authorId="0" ref="J278">
      <text>
        <t xml:space="preserve">North and South Region -- Rs. 10,000
East and West Region -- Rs. 5,000
Fill on your own. If unclear, attend class or watch the video
</t>
      </text>
    </comment>
    <comment authorId="0" ref="D279">
      <text>
        <t xml:space="preserve">Mr. or Ms.
Depending on Male or Female
Fill on your own. If unclear, attend class or watch the video</t>
      </text>
    </comment>
    <comment authorId="0" ref="E279">
      <text>
        <t xml:space="preserve">Salutation + Name
Fill on your own. If unclear, attend class or watch the video</t>
      </text>
    </comment>
    <comment authorId="0" ref="G279">
      <text>
        <t xml:space="preserve">Fill on your own. If unclear, attend class or watch the video</t>
      </text>
    </comment>
    <comment authorId="0" ref="J279">
      <text>
        <t xml:space="preserve">North and South Region -- Rs. 10,000
East and West Region -- Rs. 5,000
Fill on your own. If unclear, attend class or watch the video
</t>
      </text>
    </comment>
    <comment authorId="0" ref="D280">
      <text>
        <t xml:space="preserve">Mr. or Ms.
Depending on Male or Female
Fill on your own. If unclear, attend class or watch the video</t>
      </text>
    </comment>
    <comment authorId="0" ref="E280">
      <text>
        <t xml:space="preserve">Salutation + Name
Fill on your own. If unclear, attend class or watch the video</t>
      </text>
    </comment>
    <comment authorId="0" ref="G280">
      <text>
        <t xml:space="preserve">Fill on your own. If unclear, attend class or watch the video</t>
      </text>
    </comment>
    <comment authorId="0" ref="J280">
      <text>
        <t xml:space="preserve">North and South Region -- Rs. 10,000
East and West Region -- Rs. 5,000
Fill on your own. If unclear, attend class or watch the video
</t>
      </text>
    </comment>
    <comment authorId="0" ref="D281">
      <text>
        <t xml:space="preserve">Mr. or Ms.
Depending on Male or Female
Fill on your own. If unclear, attend class or watch the video</t>
      </text>
    </comment>
    <comment authorId="0" ref="E281">
      <text>
        <t xml:space="preserve">Salutation + Name
Fill on your own. If unclear, attend class or watch the video</t>
      </text>
    </comment>
    <comment authorId="0" ref="G281">
      <text>
        <t xml:space="preserve">Fill on your own. If unclear, attend class or watch the video</t>
      </text>
    </comment>
    <comment authorId="0" ref="J281">
      <text>
        <t xml:space="preserve">North and South Region -- Rs. 10,000
East and West Region -- Rs. 5,000
Fill on your own. If unclear, attend class or watch the video
</t>
      </text>
    </comment>
    <comment authorId="0" ref="D282">
      <text>
        <t xml:space="preserve">Mr. or Ms.
Depending on Male or Female
Fill on your own. If unclear, attend class or watch the video</t>
      </text>
    </comment>
    <comment authorId="0" ref="E282">
      <text>
        <t xml:space="preserve">Salutation + Name
Fill on your own. If unclear, attend class or watch the video</t>
      </text>
    </comment>
    <comment authorId="0" ref="G282">
      <text>
        <t xml:space="preserve">Fill on your own. If unclear, attend class or watch the video</t>
      </text>
    </comment>
    <comment authorId="0" ref="J282">
      <text>
        <t xml:space="preserve">North and South Region -- Rs. 10,000
East and West Region -- Rs. 5,000
Fill on your own. If unclear, attend class or watch the video
</t>
      </text>
    </comment>
    <comment authorId="0" ref="D283">
      <text>
        <t xml:space="preserve">Mr. or Ms.
Depending on Male or Female
Fill on your own. If unclear, attend class or watch the video</t>
      </text>
    </comment>
    <comment authorId="0" ref="E283">
      <text>
        <t xml:space="preserve">Salutation + Name
Fill on your own. If unclear, attend class or watch the video</t>
      </text>
    </comment>
    <comment authorId="0" ref="G283">
      <text>
        <t xml:space="preserve">Fill on your own. If unclear, attend class or watch the video</t>
      </text>
    </comment>
    <comment authorId="0" ref="J283">
      <text>
        <t xml:space="preserve">North and South Region -- Rs. 10,000
East and West Region -- Rs. 5,000
Fill on your own. If unclear, attend class or watch the video
</t>
      </text>
    </comment>
    <comment authorId="0" ref="D284">
      <text>
        <t xml:space="preserve">Mr. or Ms.
Depending on Male or Female
Fill on your own. If unclear, attend class or watch the video</t>
      </text>
    </comment>
    <comment authorId="0" ref="E284">
      <text>
        <t xml:space="preserve">Salutation + Name
Fill on your own. If unclear, attend class or watch the video</t>
      </text>
    </comment>
    <comment authorId="0" ref="G284">
      <text>
        <t xml:space="preserve">Fill on your own. If unclear, attend class or watch the video</t>
      </text>
    </comment>
    <comment authorId="0" ref="J284">
      <text>
        <t xml:space="preserve">North and South Region -- Rs. 10,000
East and West Region -- Rs. 5,000
Fill on your own. If unclear, attend class or watch the video
</t>
      </text>
    </comment>
    <comment authorId="0" ref="D285">
      <text>
        <t xml:space="preserve">Mr. or Ms.
Depending on Male or Female
Fill on your own. If unclear, attend class or watch the video</t>
      </text>
    </comment>
    <comment authorId="0" ref="E285">
      <text>
        <t xml:space="preserve">Salutation + Name
Fill on your own. If unclear, attend class or watch the video</t>
      </text>
    </comment>
    <comment authorId="0" ref="G285">
      <text>
        <t xml:space="preserve">Fill on your own. If unclear, attend class or watch the video</t>
      </text>
    </comment>
    <comment authorId="0" ref="J285">
      <text>
        <t xml:space="preserve">North and South Region -- Rs. 10,000
East and West Region -- Rs. 5,000
Fill on your own. If unclear, attend class or watch the video
</t>
      </text>
    </comment>
    <comment authorId="0" ref="D286">
      <text>
        <t xml:space="preserve">Mr. or Ms.
Depending on Male or Female
Fill on your own. If unclear, attend class or watch the video</t>
      </text>
    </comment>
    <comment authorId="0" ref="E286">
      <text>
        <t xml:space="preserve">Salutation + Name
Fill on your own. If unclear, attend class or watch the video</t>
      </text>
    </comment>
    <comment authorId="0" ref="G286">
      <text>
        <t xml:space="preserve">Fill on your own. If unclear, attend class or watch the video</t>
      </text>
    </comment>
    <comment authorId="0" ref="J286">
      <text>
        <t xml:space="preserve">North and South Region -- Rs. 10,000
East and West Region -- Rs. 5,000
Fill on your own. If unclear, attend class or watch the video
</t>
      </text>
    </comment>
    <comment authorId="0" ref="D287">
      <text>
        <t xml:space="preserve">Mr. or Ms.
Depending on Male or Female
Fill on your own. If unclear, attend class or watch the video</t>
      </text>
    </comment>
    <comment authorId="0" ref="E287">
      <text>
        <t xml:space="preserve">Salutation + Name
Fill on your own. If unclear, attend class or watch the video</t>
      </text>
    </comment>
    <comment authorId="0" ref="G287">
      <text>
        <t xml:space="preserve">Fill on your own. If unclear, attend class or watch the video</t>
      </text>
    </comment>
    <comment authorId="0" ref="J287">
      <text>
        <t xml:space="preserve">North and South Region -- Rs. 10,000
East and West Region -- Rs. 5,000
Fill on your own. If unclear, attend class or watch the video
</t>
      </text>
    </comment>
    <comment authorId="0" ref="D288">
      <text>
        <t xml:space="preserve">Mr. or Ms.
Depending on Male or Female
Fill on your own. If unclear, attend class or watch the video</t>
      </text>
    </comment>
    <comment authorId="0" ref="E288">
      <text>
        <t xml:space="preserve">Salutation + Name
Fill on your own. If unclear, attend class or watch the video</t>
      </text>
    </comment>
    <comment authorId="0" ref="G288">
      <text>
        <t xml:space="preserve">Fill on your own. If unclear, attend class or watch the video</t>
      </text>
    </comment>
    <comment authorId="0" ref="J288">
      <text>
        <t xml:space="preserve">North and South Region -- Rs. 10,000
East and West Region -- Rs. 5,000
Fill on your own. If unclear, attend class or watch the video
</t>
      </text>
    </comment>
    <comment authorId="0" ref="D289">
      <text>
        <t xml:space="preserve">Mr. or Ms.
Depending on Male or Female
Fill on your own. If unclear, attend class or watch the video</t>
      </text>
    </comment>
    <comment authorId="0" ref="E289">
      <text>
        <t xml:space="preserve">Salutation + Name
Fill on your own. If unclear, attend class or watch the video</t>
      </text>
    </comment>
    <comment authorId="0" ref="G289">
      <text>
        <t xml:space="preserve">Fill on your own. If unclear, attend class or watch the video</t>
      </text>
    </comment>
    <comment authorId="0" ref="J289">
      <text>
        <t xml:space="preserve">North and South Region -- Rs. 10,000
East and West Region -- Rs. 5,000
Fill on your own. If unclear, attend class or watch the video
</t>
      </text>
    </comment>
    <comment authorId="0" ref="D290">
      <text>
        <t xml:space="preserve">Mr. or Ms.
Depending on Male or Female
Fill on your own. If unclear, attend class or watch the video</t>
      </text>
    </comment>
    <comment authorId="0" ref="E290">
      <text>
        <t xml:space="preserve">Salutation + Name
Fill on your own. If unclear, attend class or watch the video</t>
      </text>
    </comment>
    <comment authorId="0" ref="G290">
      <text>
        <t xml:space="preserve">Fill on your own. If unclear, attend class or watch the video</t>
      </text>
    </comment>
    <comment authorId="0" ref="J290">
      <text>
        <t xml:space="preserve">North and South Region -- Rs. 10,000
East and West Region -- Rs. 5,000
Fill on your own. If unclear, attend class or watch the video
</t>
      </text>
    </comment>
    <comment authorId="0" ref="D291">
      <text>
        <t xml:space="preserve">Mr. or Ms.
Depending on Male or Female
Fill on your own. If unclear, attend class or watch the video</t>
      </text>
    </comment>
    <comment authorId="0" ref="E291">
      <text>
        <t xml:space="preserve">Salutation + Name
Fill on your own. If unclear, attend class or watch the video</t>
      </text>
    </comment>
    <comment authorId="0" ref="G291">
      <text>
        <t xml:space="preserve">Fill on your own. If unclear, attend class or watch the video</t>
      </text>
    </comment>
    <comment authorId="0" ref="J291">
      <text>
        <t xml:space="preserve">North and South Region -- Rs. 10,000
East and West Region -- Rs. 5,000
Fill on your own. If unclear, attend class or watch the video
</t>
      </text>
    </comment>
    <comment authorId="0" ref="D292">
      <text>
        <t xml:space="preserve">Mr. or Ms.
Depending on Male or Female
Fill on your own. If unclear, attend class or watch the video</t>
      </text>
    </comment>
    <comment authorId="0" ref="E292">
      <text>
        <t xml:space="preserve">Salutation + Name
Fill on your own. If unclear, attend class or watch the video</t>
      </text>
    </comment>
    <comment authorId="0" ref="G292">
      <text>
        <t xml:space="preserve">Fill on your own. If unclear, attend class or watch the video</t>
      </text>
    </comment>
    <comment authorId="0" ref="J292">
      <text>
        <t xml:space="preserve">North and South Region -- Rs. 10,000
East and West Region -- Rs. 5,000
Fill on your own. If unclear, attend class or watch the video
</t>
      </text>
    </comment>
    <comment authorId="0" ref="D293">
      <text>
        <t xml:space="preserve">Mr. or Ms.
Depending on Male or Female
Fill on your own. If unclear, attend class or watch the video</t>
      </text>
    </comment>
    <comment authorId="0" ref="E293">
      <text>
        <t xml:space="preserve">Salutation + Name
Fill on your own. If unclear, attend class or watch the video</t>
      </text>
    </comment>
    <comment authorId="0" ref="G293">
      <text>
        <t xml:space="preserve">Fill on your own. If unclear, attend class or watch the video</t>
      </text>
    </comment>
    <comment authorId="0" ref="J293">
      <text>
        <t xml:space="preserve">North and South Region -- Rs. 10,000
East and West Region -- Rs. 5,000
Fill on your own. If unclear, attend class or watch the video
</t>
      </text>
    </comment>
    <comment authorId="0" ref="D294">
      <text>
        <t xml:space="preserve">Mr. or Ms.
Depending on Male or Female
Fill on your own. If unclear, attend class or watch the video</t>
      </text>
    </comment>
    <comment authorId="0" ref="E294">
      <text>
        <t xml:space="preserve">Salutation + Name
Fill on your own. If unclear, attend class or watch the video</t>
      </text>
    </comment>
    <comment authorId="0" ref="G294">
      <text>
        <t xml:space="preserve">Fill on your own. If unclear, attend class or watch the video</t>
      </text>
    </comment>
    <comment authorId="0" ref="J294">
      <text>
        <t xml:space="preserve">North and South Region -- Rs. 10,000
East and West Region -- Rs. 5,000
Fill on your own. If unclear, attend class or watch the video
</t>
      </text>
    </comment>
    <comment authorId="0" ref="D295">
      <text>
        <t xml:space="preserve">Mr. or Ms.
Depending on Male or Female
Fill on your own. If unclear, attend class or watch the video</t>
      </text>
    </comment>
    <comment authorId="0" ref="E295">
      <text>
        <t xml:space="preserve">Salutation + Name
Fill on your own. If unclear, attend class or watch the video</t>
      </text>
    </comment>
    <comment authorId="0" ref="G295">
      <text>
        <t xml:space="preserve">Fill on your own. If unclear, attend class or watch the video</t>
      </text>
    </comment>
    <comment authorId="0" ref="J295">
      <text>
        <t xml:space="preserve">North and South Region -- Rs. 10,000
East and West Region -- Rs. 5,000
Fill on your own. If unclear, attend class or watch the video
</t>
      </text>
    </comment>
    <comment authorId="0" ref="D296">
      <text>
        <t xml:space="preserve">Mr. or Ms.
Depending on Male or Female
Fill on your own. If unclear, attend class or watch the video</t>
      </text>
    </comment>
    <comment authorId="0" ref="E296">
      <text>
        <t xml:space="preserve">Salutation + Name
Fill on your own. If unclear, attend class or watch the video</t>
      </text>
    </comment>
    <comment authorId="0" ref="G296">
      <text>
        <t xml:space="preserve">Fill on your own. If unclear, attend class or watch the video</t>
      </text>
    </comment>
    <comment authorId="0" ref="J296">
      <text>
        <t xml:space="preserve">North and South Region -- Rs. 10,000
East and West Region -- Rs. 5,000
Fill on your own. If unclear, attend class or watch the video
</t>
      </text>
    </comment>
    <comment authorId="0" ref="D297">
      <text>
        <t xml:space="preserve">Mr. or Ms.
Depending on Male or Female
Fill on your own. If unclear, attend class or watch the video</t>
      </text>
    </comment>
    <comment authorId="0" ref="E297">
      <text>
        <t xml:space="preserve">Salutation + Name
Fill on your own. If unclear, attend class or watch the video</t>
      </text>
    </comment>
    <comment authorId="0" ref="G297">
      <text>
        <t xml:space="preserve">Fill on your own. If unclear, attend class or watch the video</t>
      </text>
    </comment>
    <comment authorId="0" ref="J297">
      <text>
        <t xml:space="preserve">North and South Region -- Rs. 10,000
East and West Region -- Rs. 5,000
Fill on your own. If unclear, attend class or watch the video
</t>
      </text>
    </comment>
    <comment authorId="0" ref="D298">
      <text>
        <t xml:space="preserve">Mr. or Ms.
Depending on Male or Female
Fill on your own. If unclear, attend class or watch the video</t>
      </text>
    </comment>
    <comment authorId="0" ref="E298">
      <text>
        <t xml:space="preserve">Salutation + Name
Fill on your own. If unclear, attend class or watch the video</t>
      </text>
    </comment>
    <comment authorId="0" ref="G298">
      <text>
        <t xml:space="preserve">Fill on your own. If unclear, attend class or watch the video</t>
      </text>
    </comment>
    <comment authorId="0" ref="J298">
      <text>
        <t xml:space="preserve">North and South Region -- Rs. 10,000
East and West Region -- Rs. 5,000
Fill on your own. If unclear, attend class or watch the video
</t>
      </text>
    </comment>
    <comment authorId="0" ref="D299">
      <text>
        <t xml:space="preserve">Mr. or Ms.
Depending on Male or Female
Fill on your own. If unclear, attend class or watch the video</t>
      </text>
    </comment>
    <comment authorId="0" ref="E299">
      <text>
        <t xml:space="preserve">Salutation + Name
Fill on your own. If unclear, attend class or watch the video</t>
      </text>
    </comment>
    <comment authorId="0" ref="G299">
      <text>
        <t xml:space="preserve">Fill on your own. If unclear, attend class or watch the video</t>
      </text>
    </comment>
    <comment authorId="0" ref="J299">
      <text>
        <t xml:space="preserve">North and South Region -- Rs. 10,000
East and West Region -- Rs. 5,000
Fill on your own. If unclear, attend class or watch the video
</t>
      </text>
    </comment>
    <comment authorId="0" ref="D300">
      <text>
        <t xml:space="preserve">Mr. or Ms.
Depending on Male or Female
Fill on your own. If unclear, attend class or watch the video</t>
      </text>
    </comment>
    <comment authorId="0" ref="E300">
      <text>
        <t xml:space="preserve">Salutation + Name
Fill on your own. If unclear, attend class or watch the video</t>
      </text>
    </comment>
    <comment authorId="0" ref="G300">
      <text>
        <t xml:space="preserve">Fill on your own. If unclear, attend class or watch the video</t>
      </text>
    </comment>
    <comment authorId="0" ref="J300">
      <text>
        <t xml:space="preserve">North and South Region -- Rs. 10,000
East and West Region -- Rs. 5,000
Fill on your own. If unclear, attend class or watch the video
</t>
      </text>
    </comment>
    <comment authorId="0" ref="D301">
      <text>
        <t xml:space="preserve">Mr. or Ms.
Depending on Male or Female
Fill on your own. If unclear, attend class or watch the video</t>
      </text>
    </comment>
    <comment authorId="0" ref="E301">
      <text>
        <t xml:space="preserve">Salutation + Name
Fill on your own. If unclear, attend class or watch the video</t>
      </text>
    </comment>
    <comment authorId="0" ref="G301">
      <text>
        <t xml:space="preserve">Fill on your own. If unclear, attend class or watch the video</t>
      </text>
    </comment>
    <comment authorId="0" ref="J301">
      <text>
        <t xml:space="preserve">North and South Region -- Rs. 10,000
East and West Region -- Rs. 5,000
Fill on your own. If unclear, attend class or watch the video
</t>
      </text>
    </comment>
    <comment authorId="0" ref="D302">
      <text>
        <t xml:space="preserve">Mr. or Ms.
Depending on Male or Female
Fill on your own. If unclear, attend class or watch the video</t>
      </text>
    </comment>
    <comment authorId="0" ref="E302">
      <text>
        <t xml:space="preserve">Salutation + Name
Fill on your own. If unclear, attend class or watch the video</t>
      </text>
    </comment>
    <comment authorId="0" ref="G302">
      <text>
        <t xml:space="preserve">Fill on your own. If unclear, attend class or watch the video</t>
      </text>
    </comment>
    <comment authorId="0" ref="J302">
      <text>
        <t xml:space="preserve">North and South Region -- Rs. 10,000
East and West Region -- Rs. 5,000
Fill on your own. If unclear, attend class or watch the video
</t>
      </text>
    </comment>
    <comment authorId="0" ref="D303">
      <text>
        <t xml:space="preserve">Mr. or Ms.
Depending on Male or Female
Fill on your own. If unclear, attend class or watch the video</t>
      </text>
    </comment>
    <comment authorId="0" ref="E303">
      <text>
        <t xml:space="preserve">Salutation + Name
Fill on your own. If unclear, attend class or watch the video</t>
      </text>
    </comment>
    <comment authorId="0" ref="G303">
      <text>
        <t xml:space="preserve">Fill on your own. If unclear, attend class or watch the video</t>
      </text>
    </comment>
    <comment authorId="0" ref="J303">
      <text>
        <t xml:space="preserve">North and South Region -- Rs. 10,000
East and West Region -- Rs. 5,000
Fill on your own. If unclear, attend class or watch the video
</t>
      </text>
    </comment>
    <comment authorId="0" ref="D304">
      <text>
        <t xml:space="preserve">Mr. or Ms.
Depending on Male or Female
Fill on your own. If unclear, attend class or watch the video</t>
      </text>
    </comment>
    <comment authorId="0" ref="E304">
      <text>
        <t xml:space="preserve">Salutation + Name
Fill on your own. If unclear, attend class or watch the video</t>
      </text>
    </comment>
    <comment authorId="0" ref="G304">
      <text>
        <t xml:space="preserve">Fill on your own. If unclear, attend class or watch the video</t>
      </text>
    </comment>
    <comment authorId="0" ref="J304">
      <text>
        <t xml:space="preserve">North and South Region -- Rs. 10,000
East and West Region -- Rs. 5,000
Fill on your own. If unclear, attend class or watch the video
</t>
      </text>
    </comment>
    <comment authorId="0" ref="D305">
      <text>
        <t xml:space="preserve">Mr. or Ms.
Depending on Male or Female
Fill on your own. If unclear, attend class or watch the video</t>
      </text>
    </comment>
    <comment authorId="0" ref="E305">
      <text>
        <t xml:space="preserve">Salutation + Name
Fill on your own. If unclear, attend class or watch the video</t>
      </text>
    </comment>
    <comment authorId="0" ref="G305">
      <text>
        <t xml:space="preserve">Fill on your own. If unclear, attend class or watch the video</t>
      </text>
    </comment>
    <comment authorId="0" ref="J305">
      <text>
        <t xml:space="preserve">North and South Region -- Rs. 10,000
East and West Region -- Rs. 5,000
Fill on your own. If unclear, attend class or watch the video
</t>
      </text>
    </comment>
    <comment authorId="0" ref="D306">
      <text>
        <t xml:space="preserve">Mr. or Ms.
Depending on Male or Female
Fill on your own. If unclear, attend class or watch the video</t>
      </text>
    </comment>
    <comment authorId="0" ref="E306">
      <text>
        <t xml:space="preserve">Salutation + Name
Fill on your own. If unclear, attend class or watch the video</t>
      </text>
    </comment>
    <comment authorId="0" ref="G306">
      <text>
        <t xml:space="preserve">Fill on your own. If unclear, attend class or watch the video</t>
      </text>
    </comment>
    <comment authorId="0" ref="J306">
      <text>
        <t xml:space="preserve">North and South Region -- Rs. 10,000
East and West Region -- Rs. 5,000
Fill on your own. If unclear, attend class or watch the video
</t>
      </text>
    </comment>
    <comment authorId="0" ref="D307">
      <text>
        <t xml:space="preserve">Mr. or Ms.
Depending on Male or Female
Fill on your own. If unclear, attend class or watch the video</t>
      </text>
    </comment>
    <comment authorId="0" ref="E307">
      <text>
        <t xml:space="preserve">Salutation + Name
Fill on your own. If unclear, attend class or watch the video</t>
      </text>
    </comment>
    <comment authorId="0" ref="G307">
      <text>
        <t xml:space="preserve">Fill on your own. If unclear, attend class or watch the video</t>
      </text>
    </comment>
    <comment authorId="0" ref="J307">
      <text>
        <t xml:space="preserve">North and South Region -- Rs. 10,000
East and West Region -- Rs. 5,000
Fill on your own. If unclear, attend class or watch the video
</t>
      </text>
    </comment>
    <comment authorId="0" ref="D308">
      <text>
        <t xml:space="preserve">Mr. or Ms.
Depending on Male or Female
Fill on your own. If unclear, attend class or watch the video</t>
      </text>
    </comment>
    <comment authorId="0" ref="E308">
      <text>
        <t xml:space="preserve">Salutation + Name
Fill on your own. If unclear, attend class or watch the video</t>
      </text>
    </comment>
    <comment authorId="0" ref="G308">
      <text>
        <t xml:space="preserve">Fill on your own. If unclear, attend class or watch the video</t>
      </text>
    </comment>
    <comment authorId="0" ref="J308">
      <text>
        <t xml:space="preserve">North and South Region -- Rs. 10,000
East and West Region -- Rs. 5,000
Fill on your own. If unclear, attend class or watch the video
</t>
      </text>
    </comment>
    <comment authorId="0" ref="D309">
      <text>
        <t xml:space="preserve">Mr. or Ms.
Depending on Male or Female
Fill on your own. If unclear, attend class or watch the video</t>
      </text>
    </comment>
    <comment authorId="0" ref="E309">
      <text>
        <t xml:space="preserve">Salutation + Name
Fill on your own. If unclear, attend class or watch the video</t>
      </text>
    </comment>
    <comment authorId="0" ref="G309">
      <text>
        <t xml:space="preserve">Fill on your own. If unclear, attend class or watch the video</t>
      </text>
    </comment>
    <comment authorId="0" ref="J309">
      <text>
        <t xml:space="preserve">North and South Region -- Rs. 10,000
East and West Region -- Rs. 5,000
Fill on your own. If unclear, attend class or watch the video
</t>
      </text>
    </comment>
    <comment authorId="0" ref="D310">
      <text>
        <t xml:space="preserve">Mr. or Ms.
Depending on Male or Female
Fill on your own. If unclear, attend class or watch the video</t>
      </text>
    </comment>
    <comment authorId="0" ref="E310">
      <text>
        <t xml:space="preserve">Salutation + Name
Fill on your own. If unclear, attend class or watch the video</t>
      </text>
    </comment>
    <comment authorId="0" ref="G310">
      <text>
        <t xml:space="preserve">Fill on your own. If unclear, attend class or watch the video</t>
      </text>
    </comment>
    <comment authorId="0" ref="J310">
      <text>
        <t xml:space="preserve">North and South Region -- Rs. 10,000
East and West Region -- Rs. 5,000
Fill on your own. If unclear, attend class or watch the video
</t>
      </text>
    </comment>
    <comment authorId="0" ref="D311">
      <text>
        <t xml:space="preserve">Mr. or Ms.
Depending on Male or Female
Fill on your own. If unclear, attend class or watch the video</t>
      </text>
    </comment>
    <comment authorId="0" ref="E311">
      <text>
        <t xml:space="preserve">Salutation + Name
Fill on your own. If unclear, attend class or watch the video</t>
      </text>
    </comment>
    <comment authorId="0" ref="G311">
      <text>
        <t xml:space="preserve">Fill on your own. If unclear, attend class or watch the video</t>
      </text>
    </comment>
    <comment authorId="0" ref="J311">
      <text>
        <t xml:space="preserve">North and South Region -- Rs. 10,000
East and West Region -- Rs. 5,000
Fill on your own. If unclear, attend class or watch the video
</t>
      </text>
    </comment>
    <comment authorId="0" ref="D312">
      <text>
        <t xml:space="preserve">Mr. or Ms.
Depending on Male or Female
Fill on your own. If unclear, attend class or watch the video</t>
      </text>
    </comment>
    <comment authorId="0" ref="E312">
      <text>
        <t xml:space="preserve">Salutation + Name
Fill on your own. If unclear, attend class or watch the video</t>
      </text>
    </comment>
    <comment authorId="0" ref="G312">
      <text>
        <t xml:space="preserve">Fill on your own. If unclear, attend class or watch the video</t>
      </text>
    </comment>
    <comment authorId="0" ref="J312">
      <text>
        <t xml:space="preserve">North and South Region -- Rs. 10,000
East and West Region -- Rs. 5,000
Fill on your own. If unclear, attend class or watch the video
</t>
      </text>
    </comment>
    <comment authorId="0" ref="D313">
      <text>
        <t xml:space="preserve">Mr. or Ms.
Depending on Male or Female
Fill on your own. If unclear, attend class or watch the video</t>
      </text>
    </comment>
    <comment authorId="0" ref="E313">
      <text>
        <t xml:space="preserve">Salutation + Name
Fill on your own. If unclear, attend class or watch the video</t>
      </text>
    </comment>
    <comment authorId="0" ref="G313">
      <text>
        <t xml:space="preserve">Fill on your own. If unclear, attend class or watch the video</t>
      </text>
    </comment>
    <comment authorId="0" ref="J313">
      <text>
        <t xml:space="preserve">North and South Region -- Rs. 10,000
East and West Region -- Rs. 5,000
Fill on your own. If unclear, attend class or watch the video
</t>
      </text>
    </comment>
    <comment authorId="0" ref="D314">
      <text>
        <t xml:space="preserve">Mr. or Ms.
Depending on Male or Female
Fill on your own. If unclear, attend class or watch the video</t>
      </text>
    </comment>
    <comment authorId="0" ref="E314">
      <text>
        <t xml:space="preserve">Salutation + Name
Fill on your own. If unclear, attend class or watch the video</t>
      </text>
    </comment>
    <comment authorId="0" ref="G314">
      <text>
        <t xml:space="preserve">Fill on your own. If unclear, attend class or watch the video</t>
      </text>
    </comment>
    <comment authorId="0" ref="J314">
      <text>
        <t xml:space="preserve">North and South Region -- Rs. 10,000
East and West Region -- Rs. 5,000
Fill on your own. If unclear, attend class or watch the video
</t>
      </text>
    </comment>
    <comment authorId="0" ref="D315">
      <text>
        <t xml:space="preserve">Mr. or Ms.
Depending on Male or Female
Fill on your own. If unclear, attend class or watch the video</t>
      </text>
    </comment>
    <comment authorId="0" ref="E315">
      <text>
        <t xml:space="preserve">Salutation + Name
Fill on your own. If unclear, attend class or watch the video</t>
      </text>
    </comment>
    <comment authorId="0" ref="G315">
      <text>
        <t xml:space="preserve">Fill on your own. If unclear, attend class or watch the video</t>
      </text>
    </comment>
    <comment authorId="0" ref="J315">
      <text>
        <t xml:space="preserve">North and South Region -- Rs. 10,000
East and West Region -- Rs. 5,000
Fill on your own. If unclear, attend class or watch the video
</t>
      </text>
    </comment>
    <comment authorId="0" ref="D316">
      <text>
        <t xml:space="preserve">Mr. or Ms.
Depending on Male or Female
Fill on your own. If unclear, attend class or watch the video</t>
      </text>
    </comment>
    <comment authorId="0" ref="E316">
      <text>
        <t xml:space="preserve">Salutation + Name
Fill on your own. If unclear, attend class or watch the video</t>
      </text>
    </comment>
    <comment authorId="0" ref="G316">
      <text>
        <t xml:space="preserve">Fill on your own. If unclear, attend class or watch the video</t>
      </text>
    </comment>
    <comment authorId="0" ref="J316">
      <text>
        <t xml:space="preserve">North and South Region -- Rs. 10,000
East and West Region -- Rs. 5,000
Fill on your own. If unclear, attend class or watch the video
</t>
      </text>
    </comment>
    <comment authorId="0" ref="D317">
      <text>
        <t xml:space="preserve">Mr. or Ms.
Depending on Male or Female
Fill on your own. If unclear, attend class or watch the video</t>
      </text>
    </comment>
    <comment authorId="0" ref="E317">
      <text>
        <t xml:space="preserve">Salutation + Name
Fill on your own. If unclear, attend class or watch the video</t>
      </text>
    </comment>
    <comment authorId="0" ref="G317">
      <text>
        <t xml:space="preserve">Fill on your own. If unclear, attend class or watch the video</t>
      </text>
    </comment>
    <comment authorId="0" ref="J317">
      <text>
        <t xml:space="preserve">North and South Region -- Rs. 10,000
East and West Region -- Rs. 5,000
Fill on your own. If unclear, attend class or watch the video
</t>
      </text>
    </comment>
    <comment authorId="0" ref="D318">
      <text>
        <t xml:space="preserve">Mr. or Ms.
Depending on Male or Female
Fill on your own. If unclear, attend class or watch the video</t>
      </text>
    </comment>
    <comment authorId="0" ref="E318">
      <text>
        <t xml:space="preserve">Salutation + Name
Fill on your own. If unclear, attend class or watch the video</t>
      </text>
    </comment>
    <comment authorId="0" ref="G318">
      <text>
        <t xml:space="preserve">Fill on your own. If unclear, attend class or watch the video</t>
      </text>
    </comment>
    <comment authorId="0" ref="J318">
      <text>
        <t xml:space="preserve">North and South Region -- Rs. 10,000
East and West Region -- Rs. 5,000
Fill on your own. If unclear, attend class or watch the video
</t>
      </text>
    </comment>
    <comment authorId="0" ref="D319">
      <text>
        <t xml:space="preserve">Mr. or Ms.
Depending on Male or Female
Fill on your own. If unclear, attend class or watch the video</t>
      </text>
    </comment>
    <comment authorId="0" ref="E319">
      <text>
        <t xml:space="preserve">Salutation + Name
Fill on your own. If unclear, attend class or watch the video</t>
      </text>
    </comment>
    <comment authorId="0" ref="G319">
      <text>
        <t xml:space="preserve">Fill on your own. If unclear, attend class or watch the video</t>
      </text>
    </comment>
    <comment authorId="0" ref="J319">
      <text>
        <t xml:space="preserve">North and South Region -- Rs. 10,000
East and West Region -- Rs. 5,000
Fill on your own. If unclear, attend class or watch the video
</t>
      </text>
    </comment>
    <comment authorId="0" ref="D320">
      <text>
        <t xml:space="preserve">Mr. or Ms.
Depending on Male or Female
Fill on your own. If unclear, attend class or watch the video</t>
      </text>
    </comment>
    <comment authorId="0" ref="E320">
      <text>
        <t xml:space="preserve">Salutation + Name
Fill on your own. If unclear, attend class or watch the video</t>
      </text>
    </comment>
    <comment authorId="0" ref="G320">
      <text>
        <t xml:space="preserve">Fill on your own. If unclear, attend class or watch the video</t>
      </text>
    </comment>
    <comment authorId="0" ref="J320">
      <text>
        <t xml:space="preserve">North and South Region -- Rs. 10,000
East and West Region -- Rs. 5,000
Fill on your own. If unclear, attend class or watch the video
</t>
      </text>
    </comment>
    <comment authorId="0" ref="D321">
      <text>
        <t xml:space="preserve">Mr. or Ms.
Depending on Male or Female
Fill on your own. If unclear, attend class or watch the video</t>
      </text>
    </comment>
    <comment authorId="0" ref="E321">
      <text>
        <t xml:space="preserve">Salutation + Name
Fill on your own. If unclear, attend class or watch the video</t>
      </text>
    </comment>
    <comment authorId="0" ref="G321">
      <text>
        <t xml:space="preserve">Fill on your own. If unclear, attend class or watch the video</t>
      </text>
    </comment>
    <comment authorId="0" ref="J321">
      <text>
        <t xml:space="preserve">North and South Region -- Rs. 10,000
East and West Region -- Rs. 5,000
Fill on your own. If unclear, attend class or watch the video
</t>
      </text>
    </comment>
    <comment authorId="0" ref="D322">
      <text>
        <t xml:space="preserve">Mr. or Ms.
Depending on Male or Female
Fill on your own. If unclear, attend class or watch the video</t>
      </text>
    </comment>
    <comment authorId="0" ref="E322">
      <text>
        <t xml:space="preserve">Salutation + Name
Fill on your own. If unclear, attend class or watch the video</t>
      </text>
    </comment>
    <comment authorId="0" ref="G322">
      <text>
        <t xml:space="preserve">Fill on your own. If unclear, attend class or watch the video</t>
      </text>
    </comment>
    <comment authorId="0" ref="J322">
      <text>
        <t xml:space="preserve">North and South Region -- Rs. 10,000
East and West Region -- Rs. 5,000
Fill on your own. If unclear, attend class or watch the video
</t>
      </text>
    </comment>
    <comment authorId="0" ref="D323">
      <text>
        <t xml:space="preserve">Mr. or Ms.
Depending on Male or Female
Fill on your own. If unclear, attend class or watch the video</t>
      </text>
    </comment>
    <comment authorId="0" ref="E323">
      <text>
        <t xml:space="preserve">Salutation + Name
Fill on your own. If unclear, attend class or watch the video</t>
      </text>
    </comment>
    <comment authorId="0" ref="G323">
      <text>
        <t xml:space="preserve">Fill on your own. If unclear, attend class or watch the video</t>
      </text>
    </comment>
    <comment authorId="0" ref="J323">
      <text>
        <t xml:space="preserve">North and South Region -- Rs. 10,000
East and West Region -- Rs. 5,000
Fill on your own. If unclear, attend class or watch the video
</t>
      </text>
    </comment>
    <comment authorId="0" ref="D324">
      <text>
        <t xml:space="preserve">Mr. or Ms.
Depending on Male or Female
Fill on your own. If unclear, attend class or watch the video</t>
      </text>
    </comment>
    <comment authorId="0" ref="E324">
      <text>
        <t xml:space="preserve">Salutation + Name
Fill on your own. If unclear, attend class or watch the video</t>
      </text>
    </comment>
    <comment authorId="0" ref="G324">
      <text>
        <t xml:space="preserve">Fill on your own. If unclear, attend class or watch the video</t>
      </text>
    </comment>
    <comment authorId="0" ref="J324">
      <text>
        <t xml:space="preserve">North and South Region -- Rs. 10,000
East and West Region -- Rs. 5,000
Fill on your own. If unclear, attend class or watch the video
</t>
      </text>
    </comment>
    <comment authorId="0" ref="D325">
      <text>
        <t xml:space="preserve">Mr. or Ms.
Depending on Male or Female
Fill on your own. If unclear, attend class or watch the video</t>
      </text>
    </comment>
    <comment authorId="0" ref="E325">
      <text>
        <t xml:space="preserve">Salutation + Name
Fill on your own. If unclear, attend class or watch the video</t>
      </text>
    </comment>
    <comment authorId="0" ref="G325">
      <text>
        <t xml:space="preserve">Fill on your own. If unclear, attend class or watch the video</t>
      </text>
    </comment>
    <comment authorId="0" ref="J325">
      <text>
        <t xml:space="preserve">North and South Region -- Rs. 10,000
East and West Region -- Rs. 5,000
Fill on your own. If unclear, attend class or watch the video
</t>
      </text>
    </comment>
    <comment authorId="0" ref="D326">
      <text>
        <t xml:space="preserve">Mr. or Ms.
Depending on Male or Female
Fill on your own. If unclear, attend class or watch the video</t>
      </text>
    </comment>
    <comment authorId="0" ref="E326">
      <text>
        <t xml:space="preserve">Salutation + Name
Fill on your own. If unclear, attend class or watch the video</t>
      </text>
    </comment>
    <comment authorId="0" ref="G326">
      <text>
        <t xml:space="preserve">Fill on your own. If unclear, attend class or watch the video</t>
      </text>
    </comment>
    <comment authorId="0" ref="J326">
      <text>
        <t xml:space="preserve">North and South Region -- Rs. 10,000
East and West Region -- Rs. 5,000
Fill on your own. If unclear, attend class or watch the video
</t>
      </text>
    </comment>
    <comment authorId="0" ref="D327">
      <text>
        <t xml:space="preserve">Mr. or Ms.
Depending on Male or Female
Fill on your own. If unclear, attend class or watch the video</t>
      </text>
    </comment>
    <comment authorId="0" ref="E327">
      <text>
        <t xml:space="preserve">Salutation + Name
Fill on your own. If unclear, attend class or watch the video</t>
      </text>
    </comment>
    <comment authorId="0" ref="G327">
      <text>
        <t xml:space="preserve">Fill on your own. If unclear, attend class or watch the video</t>
      </text>
    </comment>
    <comment authorId="0" ref="J327">
      <text>
        <t xml:space="preserve">North and South Region -- Rs. 10,000
East and West Region -- Rs. 5,000
Fill on your own. If unclear, attend class or watch the video
</t>
      </text>
    </comment>
    <comment authorId="0" ref="D328">
      <text>
        <t xml:space="preserve">Mr. or Ms.
Depending on Male or Female
Fill on your own. If unclear, attend class or watch the video</t>
      </text>
    </comment>
    <comment authorId="0" ref="E328">
      <text>
        <t xml:space="preserve">Salutation + Name
Fill on your own. If unclear, attend class or watch the video</t>
      </text>
    </comment>
    <comment authorId="0" ref="G328">
      <text>
        <t xml:space="preserve">Fill on your own. If unclear, attend class or watch the video</t>
      </text>
    </comment>
    <comment authorId="0" ref="J328">
      <text>
        <t xml:space="preserve">North and South Region -- Rs. 10,000
East and West Region -- Rs. 5,000
Fill on your own. If unclear, attend class or watch the video
</t>
      </text>
    </comment>
    <comment authorId="0" ref="D329">
      <text>
        <t xml:space="preserve">Mr. or Ms.
Depending on Male or Female
Fill on your own. If unclear, attend class or watch the video</t>
      </text>
    </comment>
    <comment authorId="0" ref="E329">
      <text>
        <t xml:space="preserve">Salutation + Name
Fill on your own. If unclear, attend class or watch the video</t>
      </text>
    </comment>
    <comment authorId="0" ref="G329">
      <text>
        <t xml:space="preserve">Fill on your own. If unclear, attend class or watch the video</t>
      </text>
    </comment>
    <comment authorId="0" ref="J329">
      <text>
        <t xml:space="preserve">North and South Region -- Rs. 10,000
East and West Region -- Rs. 5,000
Fill on your own. If unclear, attend class or watch the video
</t>
      </text>
    </comment>
    <comment authorId="0" ref="D330">
      <text>
        <t xml:space="preserve">Mr. or Ms.
Depending on Male or Female
Fill on your own. If unclear, attend class or watch the video</t>
      </text>
    </comment>
    <comment authorId="0" ref="E330">
      <text>
        <t xml:space="preserve">Salutation + Name
Fill on your own. If unclear, attend class or watch the video</t>
      </text>
    </comment>
    <comment authorId="0" ref="G330">
      <text>
        <t xml:space="preserve">Fill on your own. If unclear, attend class or watch the video</t>
      </text>
    </comment>
    <comment authorId="0" ref="J330">
      <text>
        <t xml:space="preserve">North and South Region -- Rs. 10,000
East and West Region -- Rs. 5,000
Fill on your own. If unclear, attend class or watch the video
</t>
      </text>
    </comment>
    <comment authorId="0" ref="D331">
      <text>
        <t xml:space="preserve">Mr. or Ms.
Depending on Male or Female
Fill on your own. If unclear, attend class or watch the video</t>
      </text>
    </comment>
    <comment authorId="0" ref="E331">
      <text>
        <t xml:space="preserve">Salutation + Name
Fill on your own. If unclear, attend class or watch the video</t>
      </text>
    </comment>
    <comment authorId="0" ref="G331">
      <text>
        <t xml:space="preserve">Fill on your own. If unclear, attend class or watch the video</t>
      </text>
    </comment>
    <comment authorId="0" ref="J331">
      <text>
        <t xml:space="preserve">North and South Region -- Rs. 10,000
East and West Region -- Rs. 5,000
Fill on your own. If unclear, attend class or watch the video
</t>
      </text>
    </comment>
    <comment authorId="0" ref="D332">
      <text>
        <t xml:space="preserve">Mr. or Ms.
Depending on Male or Female
Fill on your own. If unclear, attend class or watch the video</t>
      </text>
    </comment>
    <comment authorId="0" ref="E332">
      <text>
        <t xml:space="preserve">Salutation + Name
Fill on your own. If unclear, attend class or watch the video</t>
      </text>
    </comment>
    <comment authorId="0" ref="G332">
      <text>
        <t xml:space="preserve">Fill on your own. If unclear, attend class or watch the video</t>
      </text>
    </comment>
    <comment authorId="0" ref="J332">
      <text>
        <t xml:space="preserve">North and South Region -- Rs. 10,000
East and West Region -- Rs. 5,000
Fill on your own. If unclear, attend class or watch the video
</t>
      </text>
    </comment>
    <comment authorId="0" ref="D333">
      <text>
        <t xml:space="preserve">Mr. or Ms.
Depending on Male or Female
Fill on your own. If unclear, attend class or watch the video</t>
      </text>
    </comment>
    <comment authorId="0" ref="E333">
      <text>
        <t xml:space="preserve">Salutation + Name
Fill on your own. If unclear, attend class or watch the video</t>
      </text>
    </comment>
    <comment authorId="0" ref="G333">
      <text>
        <t xml:space="preserve">Fill on your own. If unclear, attend class or watch the video</t>
      </text>
    </comment>
    <comment authorId="0" ref="J333">
      <text>
        <t xml:space="preserve">North and South Region -- Rs. 10,000
East and West Region -- Rs. 5,000
Fill on your own. If unclear, attend class or watch the video
</t>
      </text>
    </comment>
    <comment authorId="0" ref="D334">
      <text>
        <t xml:space="preserve">Mr. or Ms.
Depending on Male or Female
Fill on your own. If unclear, attend class or watch the video</t>
      </text>
    </comment>
    <comment authorId="0" ref="E334">
      <text>
        <t xml:space="preserve">Salutation + Name
Fill on your own. If unclear, attend class or watch the video</t>
      </text>
    </comment>
    <comment authorId="0" ref="G334">
      <text>
        <t xml:space="preserve">Fill on your own. If unclear, attend class or watch the video</t>
      </text>
    </comment>
    <comment authorId="0" ref="J334">
      <text>
        <t xml:space="preserve">North and South Region -- Rs. 10,000
East and West Region -- Rs. 5,000
Fill on your own. If unclear, attend class or watch the video
</t>
      </text>
    </comment>
    <comment authorId="0" ref="D335">
      <text>
        <t xml:space="preserve">Mr. or Ms.
Depending on Male or Female
Fill on your own. If unclear, attend class or watch the video</t>
      </text>
    </comment>
    <comment authorId="0" ref="E335">
      <text>
        <t xml:space="preserve">Salutation + Name
Fill on your own. If unclear, attend class or watch the video</t>
      </text>
    </comment>
    <comment authorId="0" ref="G335">
      <text>
        <t xml:space="preserve">Fill on your own. If unclear, attend class or watch the video</t>
      </text>
    </comment>
    <comment authorId="0" ref="J335">
      <text>
        <t xml:space="preserve">North and South Region -- Rs. 10,000
East and West Region -- Rs. 5,000
Fill on your own. If unclear, attend class or watch the video
</t>
      </text>
    </comment>
    <comment authorId="0" ref="D336">
      <text>
        <t xml:space="preserve">Mr. or Ms.
Depending on Male or Female
Fill on your own. If unclear, attend class or watch the video</t>
      </text>
    </comment>
    <comment authorId="0" ref="E336">
      <text>
        <t xml:space="preserve">Salutation + Name
Fill on your own. If unclear, attend class or watch the video</t>
      </text>
    </comment>
    <comment authorId="0" ref="G336">
      <text>
        <t xml:space="preserve">Fill on your own. If unclear, attend class or watch the video</t>
      </text>
    </comment>
    <comment authorId="0" ref="J336">
      <text>
        <t xml:space="preserve">North and South Region -- Rs. 10,000
East and West Region -- Rs. 5,000
Fill on your own. If unclear, attend class or watch the video
</t>
      </text>
    </comment>
    <comment authorId="0" ref="D337">
      <text>
        <t xml:space="preserve">Mr. or Ms.
Depending on Male or Female
Fill on your own. If unclear, attend class or watch the video</t>
      </text>
    </comment>
    <comment authorId="0" ref="E337">
      <text>
        <t xml:space="preserve">Salutation + Name
Fill on your own. If unclear, attend class or watch the video</t>
      </text>
    </comment>
    <comment authorId="0" ref="G337">
      <text>
        <t xml:space="preserve">Fill on your own. If unclear, attend class or watch the video</t>
      </text>
    </comment>
    <comment authorId="0" ref="J337">
      <text>
        <t xml:space="preserve">North and South Region -- Rs. 10,000
East and West Region -- Rs. 5,000
Fill on your own. If unclear, attend class or watch the video
</t>
      </text>
    </comment>
    <comment authorId="0" ref="D338">
      <text>
        <t xml:space="preserve">Mr. or Ms.
Depending on Male or Female
Fill on your own. If unclear, attend class or watch the video</t>
      </text>
    </comment>
    <comment authorId="0" ref="E338">
      <text>
        <t xml:space="preserve">Salutation + Name
Fill on your own. If unclear, attend class or watch the video</t>
      </text>
    </comment>
    <comment authorId="0" ref="G338">
      <text>
        <t xml:space="preserve">Fill on your own. If unclear, attend class or watch the video</t>
      </text>
    </comment>
    <comment authorId="0" ref="J338">
      <text>
        <t xml:space="preserve">North and South Region -- Rs. 10,000
East and West Region -- Rs. 5,000
Fill on your own. If unclear, attend class or watch the video
</t>
      </text>
    </comment>
    <comment authorId="0" ref="D339">
      <text>
        <t xml:space="preserve">Mr. or Ms.
Depending on Male or Female
Fill on your own. If unclear, attend class or watch the video</t>
      </text>
    </comment>
    <comment authorId="0" ref="E339">
      <text>
        <t xml:space="preserve">Salutation + Name
Fill on your own. If unclear, attend class or watch the video</t>
      </text>
    </comment>
    <comment authorId="0" ref="G339">
      <text>
        <t xml:space="preserve">Fill on your own. If unclear, attend class or watch the video</t>
      </text>
    </comment>
    <comment authorId="0" ref="J339">
      <text>
        <t xml:space="preserve">North and South Region -- Rs. 10,000
East and West Region -- Rs. 5,000
Fill on your own. If unclear, attend class or watch the video
</t>
      </text>
    </comment>
    <comment authorId="0" ref="D340">
      <text>
        <t xml:space="preserve">Mr. or Ms.
Depending on Male or Female
Fill on your own. If unclear, attend class or watch the video</t>
      </text>
    </comment>
    <comment authorId="0" ref="E340">
      <text>
        <t xml:space="preserve">Salutation + Name
Fill on your own. If unclear, attend class or watch the video</t>
      </text>
    </comment>
    <comment authorId="0" ref="G340">
      <text>
        <t xml:space="preserve">Fill on your own. If unclear, attend class or watch the video</t>
      </text>
    </comment>
    <comment authorId="0" ref="J340">
      <text>
        <t xml:space="preserve">North and South Region -- Rs. 10,000
East and West Region -- Rs. 5,000
Fill on your own. If unclear, attend class or watch the video
</t>
      </text>
    </comment>
    <comment authorId="0" ref="D341">
      <text>
        <t xml:space="preserve">Mr. or Ms.
Depending on Male or Female
Fill on your own. If unclear, attend class or watch the video</t>
      </text>
    </comment>
    <comment authorId="0" ref="E341">
      <text>
        <t xml:space="preserve">Salutation + Name
Fill on your own. If unclear, attend class or watch the video</t>
      </text>
    </comment>
    <comment authorId="0" ref="G341">
      <text>
        <t xml:space="preserve">Fill on your own. If unclear, attend class or watch the video</t>
      </text>
    </comment>
    <comment authorId="0" ref="J341">
      <text>
        <t xml:space="preserve">North and South Region -- Rs. 10,000
East and West Region -- Rs. 5,000
Fill on your own. If unclear, attend class or watch the video
</t>
      </text>
    </comment>
    <comment authorId="0" ref="D342">
      <text>
        <t xml:space="preserve">Mr. or Ms.
Depending on Male or Female
Fill on your own. If unclear, attend class or watch the video</t>
      </text>
    </comment>
    <comment authorId="0" ref="E342">
      <text>
        <t xml:space="preserve">Salutation + Name
Fill on your own. If unclear, attend class or watch the video</t>
      </text>
    </comment>
    <comment authorId="0" ref="G342">
      <text>
        <t xml:space="preserve">Fill on your own. If unclear, attend class or watch the video</t>
      </text>
    </comment>
    <comment authorId="0" ref="J342">
      <text>
        <t xml:space="preserve">North and South Region -- Rs. 10,000
East and West Region -- Rs. 5,000
Fill on your own. If unclear, attend class or watch the video
</t>
      </text>
    </comment>
    <comment authorId="0" ref="D343">
      <text>
        <t xml:space="preserve">Mr. or Ms.
Depending on Male or Female
Fill on your own. If unclear, attend class or watch the video</t>
      </text>
    </comment>
    <comment authorId="0" ref="E343">
      <text>
        <t xml:space="preserve">Salutation + Name
Fill on your own. If unclear, attend class or watch the video</t>
      </text>
    </comment>
    <comment authorId="0" ref="G343">
      <text>
        <t xml:space="preserve">Fill on your own. If unclear, attend class or watch the video</t>
      </text>
    </comment>
    <comment authorId="0" ref="J343">
      <text>
        <t xml:space="preserve">North and South Region -- Rs. 10,000
East and West Region -- Rs. 5,000
Fill on your own. If unclear, attend class or watch the video
</t>
      </text>
    </comment>
    <comment authorId="0" ref="D344">
      <text>
        <t xml:space="preserve">Mr. or Ms.
Depending on Male or Female
Fill on your own. If unclear, attend class or watch the video</t>
      </text>
    </comment>
    <comment authorId="0" ref="E344">
      <text>
        <t xml:space="preserve">Salutation + Name
Fill on your own. If unclear, attend class or watch the video</t>
      </text>
    </comment>
    <comment authorId="0" ref="G344">
      <text>
        <t xml:space="preserve">Fill on your own. If unclear, attend class or watch the video</t>
      </text>
    </comment>
    <comment authorId="0" ref="J344">
      <text>
        <t xml:space="preserve">North and South Region -- Rs. 10,000
East and West Region -- Rs. 5,000
Fill on your own. If unclear, attend class or watch the video
</t>
      </text>
    </comment>
    <comment authorId="0" ref="D345">
      <text>
        <t xml:space="preserve">Mr. or Ms.
Depending on Male or Female
Fill on your own. If unclear, attend class or watch the video</t>
      </text>
    </comment>
    <comment authorId="0" ref="E345">
      <text>
        <t xml:space="preserve">Salutation + Name
Fill on your own. If unclear, attend class or watch the video</t>
      </text>
    </comment>
    <comment authorId="0" ref="G345">
      <text>
        <t xml:space="preserve">Fill on your own. If unclear, attend class or watch the video</t>
      </text>
    </comment>
    <comment authorId="0" ref="J345">
      <text>
        <t xml:space="preserve">North and South Region -- Rs. 10,000
East and West Region -- Rs. 5,000
Fill on your own. If unclear, attend class or watch the video
</t>
      </text>
    </comment>
    <comment authorId="0" ref="D346">
      <text>
        <t xml:space="preserve">Mr. or Ms.
Depending on Male or Female
Fill on your own. If unclear, attend class or watch the video</t>
      </text>
    </comment>
    <comment authorId="0" ref="E346">
      <text>
        <t xml:space="preserve">Salutation + Name
Fill on your own. If unclear, attend class or watch the video</t>
      </text>
    </comment>
    <comment authorId="0" ref="G346">
      <text>
        <t xml:space="preserve">Fill on your own. If unclear, attend class or watch the video</t>
      </text>
    </comment>
    <comment authorId="0" ref="J346">
      <text>
        <t xml:space="preserve">North and South Region -- Rs. 10,000
East and West Region -- Rs. 5,000
Fill on your own. If unclear, attend class or watch the video
</t>
      </text>
    </comment>
    <comment authorId="0" ref="D347">
      <text>
        <t xml:space="preserve">Mr. or Ms.
Depending on Male or Female
Fill on your own. If unclear, attend class or watch the video</t>
      </text>
    </comment>
    <comment authorId="0" ref="E347">
      <text>
        <t xml:space="preserve">Salutation + Name
Fill on your own. If unclear, attend class or watch the video</t>
      </text>
    </comment>
    <comment authorId="0" ref="G347">
      <text>
        <t xml:space="preserve">Fill on your own. If unclear, attend class or watch the video</t>
      </text>
    </comment>
    <comment authorId="0" ref="J347">
      <text>
        <t xml:space="preserve">North and South Region -- Rs. 10,000
East and West Region -- Rs. 5,000
Fill on your own. If unclear, attend class or watch the video
</t>
      </text>
    </comment>
    <comment authorId="0" ref="D348">
      <text>
        <t xml:space="preserve">Mr. or Ms.
Depending on Male or Female
Fill on your own. If unclear, attend class or watch the video</t>
      </text>
    </comment>
    <comment authorId="0" ref="E348">
      <text>
        <t xml:space="preserve">Salutation + Name
Fill on your own. If unclear, attend class or watch the video</t>
      </text>
    </comment>
    <comment authorId="0" ref="G348">
      <text>
        <t xml:space="preserve">Fill on your own. If unclear, attend class or watch the video</t>
      </text>
    </comment>
    <comment authorId="0" ref="J348">
      <text>
        <t xml:space="preserve">North and South Region -- Rs. 10,000
East and West Region -- Rs. 5,000
Fill on your own. If unclear, attend class or watch the video
</t>
      </text>
    </comment>
    <comment authorId="0" ref="D349">
      <text>
        <t xml:space="preserve">Mr. or Ms.
Depending on Male or Female
Fill on your own. If unclear, attend class or watch the video</t>
      </text>
    </comment>
    <comment authorId="0" ref="E349">
      <text>
        <t xml:space="preserve">Salutation + Name
Fill on your own. If unclear, attend class or watch the video</t>
      </text>
    </comment>
    <comment authorId="0" ref="G349">
      <text>
        <t xml:space="preserve">Fill on your own. If unclear, attend class or watch the video</t>
      </text>
    </comment>
    <comment authorId="0" ref="J349">
      <text>
        <t xml:space="preserve">North and South Region -- Rs. 10,000
East and West Region -- Rs. 5,000
Fill on your own. If unclear, attend class or watch the video
</t>
      </text>
    </comment>
    <comment authorId="0" ref="D350">
      <text>
        <t xml:space="preserve">Mr. or Ms.
Depending on Male or Female
Fill on your own. If unclear, attend class or watch the video</t>
      </text>
    </comment>
    <comment authorId="0" ref="E350">
      <text>
        <t xml:space="preserve">Salutation + Name
Fill on your own. If unclear, attend class or watch the video</t>
      </text>
    </comment>
    <comment authorId="0" ref="G350">
      <text>
        <t xml:space="preserve">Fill on your own. If unclear, attend class or watch the video</t>
      </text>
    </comment>
    <comment authorId="0" ref="J350">
      <text>
        <t xml:space="preserve">North and South Region -- Rs. 10,000
East and West Region -- Rs. 5,000
Fill on your own. If unclear, attend class or watch the video
</t>
      </text>
    </comment>
    <comment authorId="0" ref="D351">
      <text>
        <t xml:space="preserve">Mr. or Ms.
Depending on Male or Female
Fill on your own. If unclear, attend class or watch the video</t>
      </text>
    </comment>
    <comment authorId="0" ref="E351">
      <text>
        <t xml:space="preserve">Salutation + Name
Fill on your own. If unclear, attend class or watch the video</t>
      </text>
    </comment>
    <comment authorId="0" ref="G351">
      <text>
        <t xml:space="preserve">Fill on your own. If unclear, attend class or watch the video</t>
      </text>
    </comment>
    <comment authorId="0" ref="J351">
      <text>
        <t xml:space="preserve">North and South Region -- Rs. 10,000
East and West Region -- Rs. 5,000
Fill on your own. If unclear, attend class or watch the video
</t>
      </text>
    </comment>
    <comment authorId="0" ref="D352">
      <text>
        <t xml:space="preserve">Mr. or Ms.
Depending on Male or Female
Fill on your own. If unclear, attend class or watch the video</t>
      </text>
    </comment>
    <comment authorId="0" ref="E352">
      <text>
        <t xml:space="preserve">Salutation + Name
Fill on your own. If unclear, attend class or watch the video</t>
      </text>
    </comment>
    <comment authorId="0" ref="G352">
      <text>
        <t xml:space="preserve">Fill on your own. If unclear, attend class or watch the video</t>
      </text>
    </comment>
    <comment authorId="0" ref="J352">
      <text>
        <t xml:space="preserve">North and South Region -- Rs. 10,000
East and West Region -- Rs. 5,000
Fill on your own. If unclear, attend class or watch the video
</t>
      </text>
    </comment>
    <comment authorId="0" ref="D353">
      <text>
        <t xml:space="preserve">Mr. or Ms.
Depending on Male or Female
Fill on your own. If unclear, attend class or watch the video</t>
      </text>
    </comment>
    <comment authorId="0" ref="E353">
      <text>
        <t xml:space="preserve">Salutation + Name
Fill on your own. If unclear, attend class or watch the video</t>
      </text>
    </comment>
    <comment authorId="0" ref="G353">
      <text>
        <t xml:space="preserve">Fill on your own. If unclear, attend class or watch the video</t>
      </text>
    </comment>
    <comment authorId="0" ref="J353">
      <text>
        <t xml:space="preserve">North and South Region -- Rs. 10,000
East and West Region -- Rs. 5,000
Fill on your own. If unclear, attend class or watch the video
</t>
      </text>
    </comment>
    <comment authorId="0" ref="D354">
      <text>
        <t xml:space="preserve">Mr. or Ms.
Depending on Male or Female
Fill on your own. If unclear, attend class or watch the video</t>
      </text>
    </comment>
    <comment authorId="0" ref="E354">
      <text>
        <t xml:space="preserve">Salutation + Name
Fill on your own. If unclear, attend class or watch the video</t>
      </text>
    </comment>
    <comment authorId="0" ref="G354">
      <text>
        <t xml:space="preserve">Fill on your own. If unclear, attend class or watch the video</t>
      </text>
    </comment>
    <comment authorId="0" ref="J354">
      <text>
        <t xml:space="preserve">North and South Region -- Rs. 10,000
East and West Region -- Rs. 5,000
Fill on your own. If unclear, attend class or watch the video
</t>
      </text>
    </comment>
    <comment authorId="0" ref="D355">
      <text>
        <t xml:space="preserve">Mr. or Ms.
Depending on Male or Female
Fill on your own. If unclear, attend class or watch the video</t>
      </text>
    </comment>
    <comment authorId="0" ref="E355">
      <text>
        <t xml:space="preserve">Salutation + Name
Fill on your own. If unclear, attend class or watch the video</t>
      </text>
    </comment>
    <comment authorId="0" ref="G355">
      <text>
        <t xml:space="preserve">Fill on your own. If unclear, attend class or watch the video</t>
      </text>
    </comment>
    <comment authorId="0" ref="J355">
      <text>
        <t xml:space="preserve">North and South Region -- Rs. 10,000
East and West Region -- Rs. 5,000
Fill on your own. If unclear, attend class or watch the video
</t>
      </text>
    </comment>
    <comment authorId="0" ref="D356">
      <text>
        <t xml:space="preserve">Mr. or Ms.
Depending on Male or Female
Fill on your own. If unclear, attend class or watch the video</t>
      </text>
    </comment>
    <comment authorId="0" ref="E356">
      <text>
        <t xml:space="preserve">Salutation + Name
Fill on your own. If unclear, attend class or watch the video</t>
      </text>
    </comment>
    <comment authorId="0" ref="G356">
      <text>
        <t xml:space="preserve">Fill on your own. If unclear, attend class or watch the video</t>
      </text>
    </comment>
    <comment authorId="0" ref="J356">
      <text>
        <t xml:space="preserve">North and South Region -- Rs. 10,000
East and West Region -- Rs. 5,000
Fill on your own. If unclear, attend class or watch the video
</t>
      </text>
    </comment>
    <comment authorId="0" ref="D357">
      <text>
        <t xml:space="preserve">Mr. or Ms.
Depending on Male or Female
Fill on your own. If unclear, attend class or watch the video</t>
      </text>
    </comment>
    <comment authorId="0" ref="E357">
      <text>
        <t xml:space="preserve">Salutation + Name
Fill on your own. If unclear, attend class or watch the video</t>
      </text>
    </comment>
    <comment authorId="0" ref="G357">
      <text>
        <t xml:space="preserve">Fill on your own. If unclear, attend class or watch the video</t>
      </text>
    </comment>
    <comment authorId="0" ref="J357">
      <text>
        <t xml:space="preserve">North and South Region -- Rs. 10,000
East and West Region -- Rs. 5,000
Fill on your own. If unclear, attend class or watch the video
</t>
      </text>
    </comment>
    <comment authorId="0" ref="D358">
      <text>
        <t xml:space="preserve">Mr. or Ms.
Depending on Male or Female
Fill on your own. If unclear, attend class or watch the video</t>
      </text>
    </comment>
    <comment authorId="0" ref="E358">
      <text>
        <t xml:space="preserve">Salutation + Name
Fill on your own. If unclear, attend class or watch the video</t>
      </text>
    </comment>
    <comment authorId="0" ref="G358">
      <text>
        <t xml:space="preserve">Fill on your own. If unclear, attend class or watch the video</t>
      </text>
    </comment>
    <comment authorId="0" ref="J358">
      <text>
        <t xml:space="preserve">North and South Region -- Rs. 10,000
East and West Region -- Rs. 5,000
Fill on your own. If unclear, attend class or watch the video
</t>
      </text>
    </comment>
    <comment authorId="0" ref="D359">
      <text>
        <t xml:space="preserve">Mr. or Ms.
Depending on Male or Female
Fill on your own. If unclear, attend class or watch the video</t>
      </text>
    </comment>
    <comment authorId="0" ref="E359">
      <text>
        <t xml:space="preserve">Salutation + Name
Fill on your own. If unclear, attend class or watch the video</t>
      </text>
    </comment>
    <comment authorId="0" ref="G359">
      <text>
        <t xml:space="preserve">Fill on your own. If unclear, attend class or watch the video</t>
      </text>
    </comment>
    <comment authorId="0" ref="J359">
      <text>
        <t xml:space="preserve">North and South Region -- Rs. 10,000
East and West Region -- Rs. 5,000
Fill on your own. If unclear, attend class or watch the video
</t>
      </text>
    </comment>
    <comment authorId="0" ref="D360">
      <text>
        <t xml:space="preserve">Mr. or Ms.
Depending on Male or Female
Fill on your own. If unclear, attend class or watch the video</t>
      </text>
    </comment>
    <comment authorId="0" ref="E360">
      <text>
        <t xml:space="preserve">Salutation + Name
Fill on your own. If unclear, attend class or watch the video</t>
      </text>
    </comment>
    <comment authorId="0" ref="G360">
      <text>
        <t xml:space="preserve">Fill on your own. If unclear, attend class or watch the video</t>
      </text>
    </comment>
    <comment authorId="0" ref="J360">
      <text>
        <t xml:space="preserve">North and South Region -- Rs. 10,000
East and West Region -- Rs. 5,000
Fill on your own. If unclear, attend class or watch the video
</t>
      </text>
    </comment>
    <comment authorId="0" ref="D361">
      <text>
        <t xml:space="preserve">Mr. or Ms.
Depending on Male or Female
Fill on your own. If unclear, attend class or watch the video</t>
      </text>
    </comment>
    <comment authorId="0" ref="E361">
      <text>
        <t xml:space="preserve">Salutation + Name
Fill on your own. If unclear, attend class or watch the video</t>
      </text>
    </comment>
    <comment authorId="0" ref="G361">
      <text>
        <t xml:space="preserve">Fill on your own. If unclear, attend class or watch the video</t>
      </text>
    </comment>
    <comment authorId="0" ref="J361">
      <text>
        <t xml:space="preserve">North and South Region -- Rs. 10,000
East and West Region -- Rs. 5,000
Fill on your own. If unclear, attend class or watch the video
</t>
      </text>
    </comment>
    <comment authorId="0" ref="D362">
      <text>
        <t xml:space="preserve">Mr. or Ms.
Depending on Male or Female
Fill on your own. If unclear, attend class or watch the video</t>
      </text>
    </comment>
    <comment authorId="0" ref="E362">
      <text>
        <t xml:space="preserve">Salutation + Name
Fill on your own. If unclear, attend class or watch the video</t>
      </text>
    </comment>
    <comment authorId="0" ref="G362">
      <text>
        <t xml:space="preserve">Fill on your own. If unclear, attend class or watch the video</t>
      </text>
    </comment>
    <comment authorId="0" ref="J362">
      <text>
        <t xml:space="preserve">North and South Region -- Rs. 10,000
East and West Region -- Rs. 5,000
Fill on your own. If unclear, attend class or watch the video
</t>
      </text>
    </comment>
    <comment authorId="0" ref="D363">
      <text>
        <t xml:space="preserve">Mr. or Ms.
Depending on Male or Female
Fill on your own. If unclear, attend class or watch the video</t>
      </text>
    </comment>
    <comment authorId="0" ref="E363">
      <text>
        <t xml:space="preserve">Salutation + Name
Fill on your own. If unclear, attend class or watch the video</t>
      </text>
    </comment>
    <comment authorId="0" ref="G363">
      <text>
        <t xml:space="preserve">Fill on your own. If unclear, attend class or watch the video</t>
      </text>
    </comment>
    <comment authorId="0" ref="J363">
      <text>
        <t xml:space="preserve">North and South Region -- Rs. 10,000
East and West Region -- Rs. 5,000
Fill on your own. If unclear, attend class or watch the video
</t>
      </text>
    </comment>
    <comment authorId="0" ref="D364">
      <text>
        <t xml:space="preserve">Mr. or Ms.
Depending on Male or Female
Fill on your own. If unclear, attend class or watch the video</t>
      </text>
    </comment>
    <comment authorId="0" ref="E364">
      <text>
        <t xml:space="preserve">Salutation + Name
Fill on your own. If unclear, attend class or watch the video</t>
      </text>
    </comment>
    <comment authorId="0" ref="G364">
      <text>
        <t xml:space="preserve">Fill on your own. If unclear, attend class or watch the video</t>
      </text>
    </comment>
    <comment authorId="0" ref="J364">
      <text>
        <t xml:space="preserve">North and South Region -- Rs. 10,000
East and West Region -- Rs. 5,000
Fill on your own. If unclear, attend class or watch the video
</t>
      </text>
    </comment>
    <comment authorId="0" ref="D365">
      <text>
        <t xml:space="preserve">Mr. or Ms.
Depending on Male or Female
Fill on your own. If unclear, attend class or watch the video</t>
      </text>
    </comment>
    <comment authorId="0" ref="E365">
      <text>
        <t xml:space="preserve">Salutation + Name
Fill on your own. If unclear, attend class or watch the video</t>
      </text>
    </comment>
    <comment authorId="0" ref="G365">
      <text>
        <t xml:space="preserve">Fill on your own. If unclear, attend class or watch the video</t>
      </text>
    </comment>
    <comment authorId="0" ref="J365">
      <text>
        <t xml:space="preserve">North and South Region -- Rs. 10,000
East and West Region -- Rs. 5,000
Fill on your own. If unclear, attend class or watch the video
</t>
      </text>
    </comment>
    <comment authorId="0" ref="D366">
      <text>
        <t xml:space="preserve">Mr. or Ms.
Depending on Male or Female
Fill on your own. If unclear, attend class or watch the video</t>
      </text>
    </comment>
    <comment authorId="0" ref="E366">
      <text>
        <t xml:space="preserve">Salutation + Name
Fill on your own. If unclear, attend class or watch the video</t>
      </text>
    </comment>
    <comment authorId="0" ref="G366">
      <text>
        <t xml:space="preserve">Fill on your own. If unclear, attend class or watch the video</t>
      </text>
    </comment>
    <comment authorId="0" ref="J366">
      <text>
        <t xml:space="preserve">North and South Region -- Rs. 10,000
East and West Region -- Rs. 5,000
Fill on your own. If unclear, attend class or watch the video
</t>
      </text>
    </comment>
    <comment authorId="0" ref="D367">
      <text>
        <t xml:space="preserve">Mr. or Ms.
Depending on Male or Female
Fill on your own. If unclear, attend class or watch the video</t>
      </text>
    </comment>
    <comment authorId="0" ref="E367">
      <text>
        <t xml:space="preserve">Salutation + Name
Fill on your own. If unclear, attend class or watch the video</t>
      </text>
    </comment>
    <comment authorId="0" ref="G367">
      <text>
        <t xml:space="preserve">Fill on your own. If unclear, attend class or watch the video</t>
      </text>
    </comment>
    <comment authorId="0" ref="J367">
      <text>
        <t xml:space="preserve">North and South Region -- Rs. 10,000
East and West Region -- Rs. 5,000
Fill on your own. If unclear, attend class or watch the video
</t>
      </text>
    </comment>
    <comment authorId="0" ref="D368">
      <text>
        <t xml:space="preserve">Mr. or Ms.
Depending on Male or Female
Fill on your own. If unclear, attend class or watch the video</t>
      </text>
    </comment>
    <comment authorId="0" ref="E368">
      <text>
        <t xml:space="preserve">Salutation + Name
Fill on your own. If unclear, attend class or watch the video</t>
      </text>
    </comment>
    <comment authorId="0" ref="G368">
      <text>
        <t xml:space="preserve">Fill on your own. If unclear, attend class or watch the video</t>
      </text>
    </comment>
    <comment authorId="0" ref="J368">
      <text>
        <t xml:space="preserve">North and South Region -- Rs. 10,000
East and West Region -- Rs. 5,000
Fill on your own. If unclear, attend class or watch the video
</t>
      </text>
    </comment>
    <comment authorId="0" ref="D369">
      <text>
        <t xml:space="preserve">Mr. or Ms.
Depending on Male or Female
Fill on your own. If unclear, attend class or watch the video</t>
      </text>
    </comment>
    <comment authorId="0" ref="E369">
      <text>
        <t xml:space="preserve">Salutation + Name
Fill on your own. If unclear, attend class or watch the video</t>
      </text>
    </comment>
    <comment authorId="0" ref="G369">
      <text>
        <t xml:space="preserve">Fill on your own. If unclear, attend class or watch the video</t>
      </text>
    </comment>
    <comment authorId="0" ref="J369">
      <text>
        <t xml:space="preserve">North and South Region -- Rs. 10,000
East and West Region -- Rs. 5,000
Fill on your own. If unclear, attend class or watch the video
</t>
      </text>
    </comment>
    <comment authorId="0" ref="D370">
      <text>
        <t xml:space="preserve">Mr. or Ms.
Depending on Male or Female
Fill on your own. If unclear, attend class or watch the video</t>
      </text>
    </comment>
    <comment authorId="0" ref="E370">
      <text>
        <t xml:space="preserve">Salutation + Name
Fill on your own. If unclear, attend class or watch the video</t>
      </text>
    </comment>
    <comment authorId="0" ref="G370">
      <text>
        <t xml:space="preserve">Fill on your own. If unclear, attend class or watch the video</t>
      </text>
    </comment>
    <comment authorId="0" ref="J370">
      <text>
        <t xml:space="preserve">North and South Region -- Rs. 10,000
East and West Region -- Rs. 5,000
Fill on your own. If unclear, attend class or watch the video
</t>
      </text>
    </comment>
    <comment authorId="0" ref="D371">
      <text>
        <t xml:space="preserve">Mr. or Ms.
Depending on Male or Female
Fill on your own. If unclear, attend class or watch the video</t>
      </text>
    </comment>
    <comment authorId="0" ref="E371">
      <text>
        <t xml:space="preserve">Salutation + Name
Fill on your own. If unclear, attend class or watch the video</t>
      </text>
    </comment>
    <comment authorId="0" ref="G371">
      <text>
        <t xml:space="preserve">Fill on your own. If unclear, attend class or watch the video</t>
      </text>
    </comment>
    <comment authorId="0" ref="J371">
      <text>
        <t xml:space="preserve">North and South Region -- Rs. 10,000
East and West Region -- Rs. 5,000
Fill on your own. If unclear, attend class or watch the video
</t>
      </text>
    </comment>
    <comment authorId="0" ref="D372">
      <text>
        <t xml:space="preserve">Mr. or Ms.
Depending on Male or Female
Fill on your own. If unclear, attend class or watch the video</t>
      </text>
    </comment>
    <comment authorId="0" ref="E372">
      <text>
        <t xml:space="preserve">Salutation + Name
Fill on your own. If unclear, attend class or watch the video</t>
      </text>
    </comment>
    <comment authorId="0" ref="G372">
      <text>
        <t xml:space="preserve">Fill on your own. If unclear, attend class or watch the video</t>
      </text>
    </comment>
    <comment authorId="0" ref="J372">
      <text>
        <t xml:space="preserve">North and South Region -- Rs. 10,000
East and West Region -- Rs. 5,000
Fill on your own. If unclear, attend class or watch the video
</t>
      </text>
    </comment>
    <comment authorId="0" ref="D373">
      <text>
        <t xml:space="preserve">Mr. or Ms.
Depending on Male or Female
Fill on your own. If unclear, attend class or watch the video</t>
      </text>
    </comment>
    <comment authorId="0" ref="E373">
      <text>
        <t xml:space="preserve">Salutation + Name
Fill on your own. If unclear, attend class or watch the video</t>
      </text>
    </comment>
    <comment authorId="0" ref="G373">
      <text>
        <t xml:space="preserve">Fill on your own. If unclear, attend class or watch the video</t>
      </text>
    </comment>
    <comment authorId="0" ref="J373">
      <text>
        <t xml:space="preserve">North and South Region -- Rs. 10,000
East and West Region -- Rs. 5,000
Fill on your own. If unclear, attend class or watch the video
</t>
      </text>
    </comment>
    <comment authorId="0" ref="D374">
      <text>
        <t xml:space="preserve">Mr. or Ms.
Depending on Male or Female
Fill on your own. If unclear, attend class or watch the video</t>
      </text>
    </comment>
    <comment authorId="0" ref="E374">
      <text>
        <t xml:space="preserve">Salutation + Name
Fill on your own. If unclear, attend class or watch the video</t>
      </text>
    </comment>
    <comment authorId="0" ref="G374">
      <text>
        <t xml:space="preserve">Fill on your own. If unclear, attend class or watch the video</t>
      </text>
    </comment>
    <comment authorId="0" ref="J374">
      <text>
        <t xml:space="preserve">North and South Region -- Rs. 10,000
East and West Region -- Rs. 5,000
Fill on your own. If unclear, attend class or watch the video
</t>
      </text>
    </comment>
    <comment authorId="0" ref="D375">
      <text>
        <t xml:space="preserve">Mr. or Ms.
Depending on Male or Female
Fill on your own. If unclear, attend class or watch the video</t>
      </text>
    </comment>
    <comment authorId="0" ref="E375">
      <text>
        <t xml:space="preserve">Salutation + Name
Fill on your own. If unclear, attend class or watch the video</t>
      </text>
    </comment>
    <comment authorId="0" ref="G375">
      <text>
        <t xml:space="preserve">Fill on your own. If unclear, attend class or watch the video</t>
      </text>
    </comment>
    <comment authorId="0" ref="J375">
      <text>
        <t xml:space="preserve">North and South Region -- Rs. 10,000
East and West Region -- Rs. 5,000
Fill on your own. If unclear, attend class or watch the video
</t>
      </text>
    </comment>
    <comment authorId="0" ref="D376">
      <text>
        <t xml:space="preserve">Mr. or Ms.
Depending on Male or Female
Fill on your own. If unclear, attend class or watch the video</t>
      </text>
    </comment>
    <comment authorId="0" ref="E376">
      <text>
        <t xml:space="preserve">Salutation + Name
Fill on your own. If unclear, attend class or watch the video</t>
      </text>
    </comment>
    <comment authorId="0" ref="G376">
      <text>
        <t xml:space="preserve">Fill on your own. If unclear, attend class or watch the video</t>
      </text>
    </comment>
    <comment authorId="0" ref="J376">
      <text>
        <t xml:space="preserve">North and South Region -- Rs. 10,000
East and West Region -- Rs. 5,000
Fill on your own. If unclear, attend class or watch the video
</t>
      </text>
    </comment>
    <comment authorId="0" ref="D377">
      <text>
        <t xml:space="preserve">Mr. or Ms.
Depending on Male or Female
Fill on your own. If unclear, attend class or watch the video</t>
      </text>
    </comment>
    <comment authorId="0" ref="E377">
      <text>
        <t xml:space="preserve">Salutation + Name
Fill on your own. If unclear, attend class or watch the video</t>
      </text>
    </comment>
    <comment authorId="0" ref="G377">
      <text>
        <t xml:space="preserve">Fill on your own. If unclear, attend class or watch the video</t>
      </text>
    </comment>
    <comment authorId="0" ref="J377">
      <text>
        <t xml:space="preserve">North and South Region -- Rs. 10,000
East and West Region -- Rs. 5,000
Fill on your own. If unclear, attend class or watch the video
</t>
      </text>
    </comment>
    <comment authorId="0" ref="D378">
      <text>
        <t xml:space="preserve">Mr. or Ms.
Depending on Male or Female
Fill on your own. If unclear, attend class or watch the video</t>
      </text>
    </comment>
    <comment authorId="0" ref="E378">
      <text>
        <t xml:space="preserve">Salutation + Name
Fill on your own. If unclear, attend class or watch the video</t>
      </text>
    </comment>
    <comment authorId="0" ref="G378">
      <text>
        <t xml:space="preserve">Fill on your own. If unclear, attend class or watch the video</t>
      </text>
    </comment>
    <comment authorId="0" ref="J378">
      <text>
        <t xml:space="preserve">North and South Region -- Rs. 10,000
East and West Region -- Rs. 5,000
Fill on your own. If unclear, attend class or watch the video
</t>
      </text>
    </comment>
    <comment authorId="0" ref="D379">
      <text>
        <t xml:space="preserve">Mr. or Ms.
Depending on Male or Female
Fill on your own. If unclear, attend class or watch the video</t>
      </text>
    </comment>
    <comment authorId="0" ref="E379">
      <text>
        <t xml:space="preserve">Salutation + Name
Fill on your own. If unclear, attend class or watch the video</t>
      </text>
    </comment>
    <comment authorId="0" ref="G379">
      <text>
        <t xml:space="preserve">Fill on your own. If unclear, attend class or watch the video</t>
      </text>
    </comment>
    <comment authorId="0" ref="J379">
      <text>
        <t xml:space="preserve">North and South Region -- Rs. 10,000
East and West Region -- Rs. 5,000
Fill on your own. If unclear, attend class or watch the video
</t>
      </text>
    </comment>
    <comment authorId="0" ref="D380">
      <text>
        <t xml:space="preserve">Mr. or Ms.
Depending on Male or Female
Fill on your own. If unclear, attend class or watch the video</t>
      </text>
    </comment>
    <comment authorId="0" ref="E380">
      <text>
        <t xml:space="preserve">Salutation + Name
Fill on your own. If unclear, attend class or watch the video</t>
      </text>
    </comment>
    <comment authorId="0" ref="G380">
      <text>
        <t xml:space="preserve">Fill on your own. If unclear, attend class or watch the video</t>
      </text>
    </comment>
    <comment authorId="0" ref="J380">
      <text>
        <t xml:space="preserve">North and South Region -- Rs. 10,000
East and West Region -- Rs. 5,000
Fill on your own. If unclear, attend class or watch the video
</t>
      </text>
    </comment>
    <comment authorId="0" ref="D381">
      <text>
        <t xml:space="preserve">Mr. or Ms.
Depending on Male or Female
Fill on your own. If unclear, attend class or watch the video</t>
      </text>
    </comment>
    <comment authorId="0" ref="E381">
      <text>
        <t xml:space="preserve">Salutation + Name
Fill on your own. If unclear, attend class or watch the video</t>
      </text>
    </comment>
    <comment authorId="0" ref="G381">
      <text>
        <t xml:space="preserve">Fill on your own. If unclear, attend class or watch the video</t>
      </text>
    </comment>
    <comment authorId="0" ref="J381">
      <text>
        <t xml:space="preserve">North and South Region -- Rs. 10,000
East and West Region -- Rs. 5,000
Fill on your own. If unclear, attend class or watch the video
</t>
      </text>
    </comment>
    <comment authorId="0" ref="D382">
      <text>
        <t xml:space="preserve">Mr. or Ms.
Depending on Male or Female
Fill on your own. If unclear, attend class or watch the video</t>
      </text>
    </comment>
    <comment authorId="0" ref="E382">
      <text>
        <t xml:space="preserve">Salutation + Name
Fill on your own. If unclear, attend class or watch the video</t>
      </text>
    </comment>
    <comment authorId="0" ref="G382">
      <text>
        <t xml:space="preserve">Fill on your own. If unclear, attend class or watch the video</t>
      </text>
    </comment>
    <comment authorId="0" ref="J382">
      <text>
        <t xml:space="preserve">North and South Region -- Rs. 10,000
East and West Region -- Rs. 5,000
Fill on your own. If unclear, attend class or watch the video
</t>
      </text>
    </comment>
    <comment authorId="0" ref="D383">
      <text>
        <t xml:space="preserve">Mr. or Ms.
Depending on Male or Female
Fill on your own. If unclear, attend class or watch the video</t>
      </text>
    </comment>
    <comment authorId="0" ref="E383">
      <text>
        <t xml:space="preserve">Salutation + Name
Fill on your own. If unclear, attend class or watch the video</t>
      </text>
    </comment>
    <comment authorId="0" ref="G383">
      <text>
        <t xml:space="preserve">Fill on your own. If unclear, attend class or watch the video</t>
      </text>
    </comment>
    <comment authorId="0" ref="J383">
      <text>
        <t xml:space="preserve">North and South Region -- Rs. 10,000
East and West Region -- Rs. 5,000
Fill on your own. If unclear, attend class or watch the video
</t>
      </text>
    </comment>
    <comment authorId="0" ref="D384">
      <text>
        <t xml:space="preserve">Mr. or Ms.
Depending on Male or Female
Fill on your own. If unclear, attend class or watch the video</t>
      </text>
    </comment>
    <comment authorId="0" ref="E384">
      <text>
        <t xml:space="preserve">Salutation + Name
Fill on your own. If unclear, attend class or watch the video</t>
      </text>
    </comment>
    <comment authorId="0" ref="G384">
      <text>
        <t xml:space="preserve">Fill on your own. If unclear, attend class or watch the video</t>
      </text>
    </comment>
    <comment authorId="0" ref="J384">
      <text>
        <t xml:space="preserve">North and South Region -- Rs. 10,000
East and West Region -- Rs. 5,000
Fill on your own. If unclear, attend class or watch the video
</t>
      </text>
    </comment>
    <comment authorId="0" ref="D385">
      <text>
        <t xml:space="preserve">Mr. or Ms.
Depending on Male or Female
Fill on your own. If unclear, attend class or watch the video</t>
      </text>
    </comment>
    <comment authorId="0" ref="E385">
      <text>
        <t xml:space="preserve">Salutation + Name
Fill on your own. If unclear, attend class or watch the video</t>
      </text>
    </comment>
    <comment authorId="0" ref="G385">
      <text>
        <t xml:space="preserve">Fill on your own. If unclear, attend class or watch the video</t>
      </text>
    </comment>
    <comment authorId="0" ref="J385">
      <text>
        <t xml:space="preserve">North and South Region -- Rs. 10,000
East and West Region -- Rs. 5,000
Fill on your own. If unclear, attend class or watch the video
</t>
      </text>
    </comment>
    <comment authorId="0" ref="D386">
      <text>
        <t xml:space="preserve">Mr. or Ms.
Depending on Male or Female
Fill on your own. If unclear, attend class or watch the video</t>
      </text>
    </comment>
    <comment authorId="0" ref="E386">
      <text>
        <t xml:space="preserve">Salutation + Name
Fill on your own. If unclear, attend class or watch the video</t>
      </text>
    </comment>
    <comment authorId="0" ref="G386">
      <text>
        <t xml:space="preserve">Fill on your own. If unclear, attend class or watch the video</t>
      </text>
    </comment>
    <comment authorId="0" ref="J386">
      <text>
        <t xml:space="preserve">North and South Region -- Rs. 10,000
East and West Region -- Rs. 5,000
Fill on your own. If unclear, attend class or watch the video
</t>
      </text>
    </comment>
    <comment authorId="0" ref="D387">
      <text>
        <t xml:space="preserve">Mr. or Ms.
Depending on Male or Female
Fill on your own. If unclear, attend class or watch the video</t>
      </text>
    </comment>
    <comment authorId="0" ref="E387">
      <text>
        <t xml:space="preserve">Salutation + Name
Fill on your own. If unclear, attend class or watch the video</t>
      </text>
    </comment>
    <comment authorId="0" ref="G387">
      <text>
        <t xml:space="preserve">Fill on your own. If unclear, attend class or watch the video</t>
      </text>
    </comment>
    <comment authorId="0" ref="J387">
      <text>
        <t xml:space="preserve">North and South Region -- Rs. 10,000
East and West Region -- Rs. 5,000
Fill on your own. If unclear, attend class or watch the video
</t>
      </text>
    </comment>
    <comment authorId="0" ref="D388">
      <text>
        <t xml:space="preserve">Mr. or Ms.
Depending on Male or Female
Fill on your own. If unclear, attend class or watch the video</t>
      </text>
    </comment>
    <comment authorId="0" ref="E388">
      <text>
        <t xml:space="preserve">Salutation + Name
Fill on your own. If unclear, attend class or watch the video</t>
      </text>
    </comment>
    <comment authorId="0" ref="G388">
      <text>
        <t xml:space="preserve">Fill on your own. If unclear, attend class or watch the video</t>
      </text>
    </comment>
    <comment authorId="0" ref="J388">
      <text>
        <t xml:space="preserve">North and South Region -- Rs. 10,000
East and West Region -- Rs. 5,000
Fill on your own. If unclear, attend class or watch the video
</t>
      </text>
    </comment>
    <comment authorId="0" ref="D389">
      <text>
        <t xml:space="preserve">Mr. or Ms.
Depending on Male or Female
Fill on your own. If unclear, attend class or watch the video</t>
      </text>
    </comment>
    <comment authorId="0" ref="E389">
      <text>
        <t xml:space="preserve">Salutation + Name
Fill on your own. If unclear, attend class or watch the video</t>
      </text>
    </comment>
    <comment authorId="0" ref="G389">
      <text>
        <t xml:space="preserve">Fill on your own. If unclear, attend class or watch the video</t>
      </text>
    </comment>
    <comment authorId="0" ref="J389">
      <text>
        <t xml:space="preserve">North and South Region -- Rs. 10,000
East and West Region -- Rs. 5,000
Fill on your own. If unclear, attend class or watch the video
</t>
      </text>
    </comment>
    <comment authorId="0" ref="D390">
      <text>
        <t xml:space="preserve">Mr. or Ms.
Depending on Male or Female
Fill on your own. If unclear, attend class or watch the video</t>
      </text>
    </comment>
    <comment authorId="0" ref="E390">
      <text>
        <t xml:space="preserve">Salutation + Name
Fill on your own. If unclear, attend class or watch the video</t>
      </text>
    </comment>
    <comment authorId="0" ref="G390">
      <text>
        <t xml:space="preserve">Fill on your own. If unclear, attend class or watch the video</t>
      </text>
    </comment>
    <comment authorId="0" ref="J390">
      <text>
        <t xml:space="preserve">North and South Region -- Rs. 10,000
East and West Region -- Rs. 5,000
Fill on your own. If unclear, attend class or watch the video
</t>
      </text>
    </comment>
    <comment authorId="0" ref="D391">
      <text>
        <t xml:space="preserve">Mr. or Ms.
Depending on Male or Female
Fill on your own. If unclear, attend class or watch the video</t>
      </text>
    </comment>
    <comment authorId="0" ref="E391">
      <text>
        <t xml:space="preserve">Salutation + Name
Fill on your own. If unclear, attend class or watch the video</t>
      </text>
    </comment>
    <comment authorId="0" ref="G391">
      <text>
        <t xml:space="preserve">Fill on your own. If unclear, attend class or watch the video</t>
      </text>
    </comment>
    <comment authorId="0" ref="J391">
      <text>
        <t xml:space="preserve">North and South Region -- Rs. 10,000
East and West Region -- Rs. 5,000
Fill on your own. If unclear, attend class or watch the video
</t>
      </text>
    </comment>
    <comment authorId="0" ref="D392">
      <text>
        <t xml:space="preserve">Mr. or Ms.
Depending on Male or Female
Fill on your own. If unclear, attend class or watch the video</t>
      </text>
    </comment>
    <comment authorId="0" ref="E392">
      <text>
        <t xml:space="preserve">Salutation + Name
Fill on your own. If unclear, attend class or watch the video</t>
      </text>
    </comment>
    <comment authorId="0" ref="G392">
      <text>
        <t xml:space="preserve">Fill on your own. If unclear, attend class or watch the video</t>
      </text>
    </comment>
    <comment authorId="0" ref="J392">
      <text>
        <t xml:space="preserve">North and South Region -- Rs. 10,000
East and West Region -- Rs. 5,000
Fill on your own. If unclear, attend class or watch the video
</t>
      </text>
    </comment>
    <comment authorId="0" ref="D393">
      <text>
        <t xml:space="preserve">Mr. or Ms.
Depending on Male or Female
Fill on your own. If unclear, attend class or watch the video</t>
      </text>
    </comment>
    <comment authorId="0" ref="E393">
      <text>
        <t xml:space="preserve">Salutation + Name
Fill on your own. If unclear, attend class or watch the video</t>
      </text>
    </comment>
    <comment authorId="0" ref="G393">
      <text>
        <t xml:space="preserve">Fill on your own. If unclear, attend class or watch the video</t>
      </text>
    </comment>
    <comment authorId="0" ref="J393">
      <text>
        <t xml:space="preserve">North and South Region -- Rs. 10,000
East and West Region -- Rs. 5,000
Fill on your own. If unclear, attend class or watch the video
</t>
      </text>
    </comment>
    <comment authorId="0" ref="D394">
      <text>
        <t xml:space="preserve">Mr. or Ms.
Depending on Male or Female
Fill on your own. If unclear, attend class or watch the video</t>
      </text>
    </comment>
    <comment authorId="0" ref="E394">
      <text>
        <t xml:space="preserve">Salutation + Name
Fill on your own. If unclear, attend class or watch the video</t>
      </text>
    </comment>
    <comment authorId="0" ref="G394">
      <text>
        <t xml:space="preserve">Fill on your own. If unclear, attend class or watch the video</t>
      </text>
    </comment>
    <comment authorId="0" ref="J394">
      <text>
        <t xml:space="preserve">North and South Region -- Rs. 10,000
East and West Region -- Rs. 5,000
Fill on your own. If unclear, attend class or watch the video
</t>
      </text>
    </comment>
    <comment authorId="0" ref="D395">
      <text>
        <t xml:space="preserve">Mr. or Ms.
Depending on Male or Female
Fill on your own. If unclear, attend class or watch the video</t>
      </text>
    </comment>
    <comment authorId="0" ref="E395">
      <text>
        <t xml:space="preserve">Salutation + Name
Fill on your own. If unclear, attend class or watch the video</t>
      </text>
    </comment>
    <comment authorId="0" ref="G395">
      <text>
        <t xml:space="preserve">Fill on your own. If unclear, attend class or watch the video</t>
      </text>
    </comment>
    <comment authorId="0" ref="J395">
      <text>
        <t xml:space="preserve">North and South Region -- Rs. 10,000
East and West Region -- Rs. 5,000
Fill on your own. If unclear, attend class or watch the video
</t>
      </text>
    </comment>
    <comment authorId="0" ref="D396">
      <text>
        <t xml:space="preserve">Mr. or Ms.
Depending on Male or Female
Fill on your own. If unclear, attend class or watch the video</t>
      </text>
    </comment>
    <comment authorId="0" ref="E396">
      <text>
        <t xml:space="preserve">Salutation + Name
Fill on your own. If unclear, attend class or watch the video</t>
      </text>
    </comment>
    <comment authorId="0" ref="G396">
      <text>
        <t xml:space="preserve">Fill on your own. If unclear, attend class or watch the video</t>
      </text>
    </comment>
    <comment authorId="0" ref="J396">
      <text>
        <t xml:space="preserve">North and South Region -- Rs. 10,000
East and West Region -- Rs. 5,000
Fill on your own. If unclear, attend class or watch the video
</t>
      </text>
    </comment>
    <comment authorId="0" ref="D397">
      <text>
        <t xml:space="preserve">Mr. or Ms.
Depending on Male or Female
Fill on your own. If unclear, attend class or watch the video</t>
      </text>
    </comment>
    <comment authorId="0" ref="E397">
      <text>
        <t xml:space="preserve">Salutation + Name
Fill on your own. If unclear, attend class or watch the video</t>
      </text>
    </comment>
    <comment authorId="0" ref="G397">
      <text>
        <t xml:space="preserve">Fill on your own. If unclear, attend class or watch the video</t>
      </text>
    </comment>
    <comment authorId="0" ref="J397">
      <text>
        <t xml:space="preserve">North and South Region -- Rs. 10,000
East and West Region -- Rs. 5,000
Fill on your own. If unclear, attend class or watch the video
</t>
      </text>
    </comment>
    <comment authorId="0" ref="D398">
      <text>
        <t xml:space="preserve">Mr. or Ms.
Depending on Male or Female
Fill on your own. If unclear, attend class or watch the video</t>
      </text>
    </comment>
    <comment authorId="0" ref="E398">
      <text>
        <t xml:space="preserve">Salutation + Name
Fill on your own. If unclear, attend class or watch the video</t>
      </text>
    </comment>
    <comment authorId="0" ref="G398">
      <text>
        <t xml:space="preserve">Fill on your own. If unclear, attend class or watch the video</t>
      </text>
    </comment>
    <comment authorId="0" ref="J398">
      <text>
        <t xml:space="preserve">North and South Region -- Rs. 10,000
East and West Region -- Rs. 5,000
Fill on your own. If unclear, attend class or watch the video
</t>
      </text>
    </comment>
    <comment authorId="0" ref="D399">
      <text>
        <t xml:space="preserve">Mr. or Ms.
Depending on Male or Female
Fill on your own. If unclear, attend class or watch the video</t>
      </text>
    </comment>
    <comment authorId="0" ref="E399">
      <text>
        <t xml:space="preserve">Salutation + Name
Fill on your own. If unclear, attend class or watch the video</t>
      </text>
    </comment>
    <comment authorId="0" ref="G399">
      <text>
        <t xml:space="preserve">Fill on your own. If unclear, attend class or watch the video</t>
      </text>
    </comment>
    <comment authorId="0" ref="J399">
      <text>
        <t xml:space="preserve">North and South Region -- Rs. 10,000
East and West Region -- Rs. 5,000
Fill on your own. If unclear, attend class or watch the video
</t>
      </text>
    </comment>
    <comment authorId="0" ref="D400">
      <text>
        <t xml:space="preserve">Mr. or Ms.
Depending on Male or Female
Fill on your own. If unclear, attend class or watch the video</t>
      </text>
    </comment>
    <comment authorId="0" ref="E400">
      <text>
        <t xml:space="preserve">Salutation + Name
Fill on your own. If unclear, attend class or watch the video</t>
      </text>
    </comment>
    <comment authorId="0" ref="G400">
      <text>
        <t xml:space="preserve">Fill on your own. If unclear, attend class or watch the video</t>
      </text>
    </comment>
    <comment authorId="0" ref="J400">
      <text>
        <t xml:space="preserve">North and South Region -- Rs. 10,000
East and West Region -- Rs. 5,000
Fill on your own. If unclear, attend class or watch the video
</t>
      </text>
    </comment>
    <comment authorId="0" ref="D401">
      <text>
        <t xml:space="preserve">Mr. or Ms.
Depending on Male or Female
Fill on your own. If unclear, attend class or watch the video</t>
      </text>
    </comment>
    <comment authorId="0" ref="E401">
      <text>
        <t xml:space="preserve">Salutation + Name
Fill on your own. If unclear, attend class or watch the video</t>
      </text>
    </comment>
    <comment authorId="0" ref="G401">
      <text>
        <t xml:space="preserve">Fill on your own. If unclear, attend class or watch the video</t>
      </text>
    </comment>
    <comment authorId="0" ref="J401">
      <text>
        <t xml:space="preserve">North and South Region -- Rs. 10,000
East and West Region -- Rs. 5,000
Fill on your own. If unclear, attend class or watch the video
</t>
      </text>
    </comment>
    <comment authorId="0" ref="D402">
      <text>
        <t xml:space="preserve">Mr. or Ms.
Depending on Male or Female
Fill on your own. If unclear, attend class or watch the video</t>
      </text>
    </comment>
    <comment authorId="0" ref="E402">
      <text>
        <t xml:space="preserve">Salutation + Name
Fill on your own. If unclear, attend class or watch the video</t>
      </text>
    </comment>
    <comment authorId="0" ref="G402">
      <text>
        <t xml:space="preserve">Fill on your own. If unclear, attend class or watch the video</t>
      </text>
    </comment>
    <comment authorId="0" ref="J402">
      <text>
        <t xml:space="preserve">North and South Region -- Rs. 10,000
East and West Region -- Rs. 5,000
Fill on your own. If unclear, attend class or watch the video
</t>
      </text>
    </comment>
    <comment authorId="0" ref="D403">
      <text>
        <t xml:space="preserve">Mr. or Ms.
Depending on Male or Female
Fill on your own. If unclear, attend class or watch the video</t>
      </text>
    </comment>
    <comment authorId="0" ref="E403">
      <text>
        <t xml:space="preserve">Salutation + Name
Fill on your own. If unclear, attend class or watch the video</t>
      </text>
    </comment>
    <comment authorId="0" ref="G403">
      <text>
        <t xml:space="preserve">Fill on your own. If unclear, attend class or watch the video</t>
      </text>
    </comment>
    <comment authorId="0" ref="J403">
      <text>
        <t xml:space="preserve">North and South Region -- Rs. 10,000
East and West Region -- Rs. 5,000
Fill on your own. If unclear, attend class or watch the video
</t>
      </text>
    </comment>
    <comment authorId="0" ref="D404">
      <text>
        <t xml:space="preserve">Mr. or Ms.
Depending on Male or Female
Fill on your own. If unclear, attend class or watch the video</t>
      </text>
    </comment>
    <comment authorId="0" ref="E404">
      <text>
        <t xml:space="preserve">Salutation + Name
Fill on your own. If unclear, attend class or watch the video</t>
      </text>
    </comment>
    <comment authorId="0" ref="G404">
      <text>
        <t xml:space="preserve">Fill on your own. If unclear, attend class or watch the video</t>
      </text>
    </comment>
    <comment authorId="0" ref="J404">
      <text>
        <t xml:space="preserve">North and South Region -- Rs. 10,000
East and West Region -- Rs. 5,000
Fill on your own. If unclear, attend class or watch the video
</t>
      </text>
    </comment>
    <comment authorId="0" ref="D405">
      <text>
        <t xml:space="preserve">Mr. or Ms.
Depending on Male or Female
Fill on your own. If unclear, attend class or watch the video</t>
      </text>
    </comment>
    <comment authorId="0" ref="E405">
      <text>
        <t xml:space="preserve">Salutation + Name
Fill on your own. If unclear, attend class or watch the video</t>
      </text>
    </comment>
    <comment authorId="0" ref="G405">
      <text>
        <t xml:space="preserve">Fill on your own. If unclear, attend class or watch the video</t>
      </text>
    </comment>
    <comment authorId="0" ref="J405">
      <text>
        <t xml:space="preserve">North and South Region -- Rs. 10,000
East and West Region -- Rs. 5,000
Fill on your own. If unclear, attend class or watch the video
</t>
      </text>
    </comment>
    <comment authorId="0" ref="D406">
      <text>
        <t xml:space="preserve">Mr. or Ms.
Depending on Male or Female
Fill on your own. If unclear, attend class or watch the video</t>
      </text>
    </comment>
    <comment authorId="0" ref="E406">
      <text>
        <t xml:space="preserve">Salutation + Name
Fill on your own. If unclear, attend class or watch the video</t>
      </text>
    </comment>
    <comment authorId="0" ref="G406">
      <text>
        <t xml:space="preserve">Fill on your own. If unclear, attend class or watch the video</t>
      </text>
    </comment>
    <comment authorId="0" ref="J406">
      <text>
        <t xml:space="preserve">North and South Region -- Rs. 10,000
East and West Region -- Rs. 5,000
Fill on your own. If unclear, attend class or watch the video
</t>
      </text>
    </comment>
    <comment authorId="0" ref="D407">
      <text>
        <t xml:space="preserve">Mr. or Ms.
Depending on Male or Female
Fill on your own. If unclear, attend class or watch the video</t>
      </text>
    </comment>
    <comment authorId="0" ref="E407">
      <text>
        <t xml:space="preserve">Salutation + Name
Fill on your own. If unclear, attend class or watch the video</t>
      </text>
    </comment>
    <comment authorId="0" ref="G407">
      <text>
        <t xml:space="preserve">Fill on your own. If unclear, attend class or watch the video</t>
      </text>
    </comment>
    <comment authorId="0" ref="J407">
      <text>
        <t xml:space="preserve">North and South Region -- Rs. 10,000
East and West Region -- Rs. 5,000
Fill on your own. If unclear, attend class or watch the video
</t>
      </text>
    </comment>
    <comment authorId="0" ref="D408">
      <text>
        <t xml:space="preserve">Mr. or Ms.
Depending on Male or Female
Fill on your own. If unclear, attend class or watch the video</t>
      </text>
    </comment>
    <comment authorId="0" ref="E408">
      <text>
        <t xml:space="preserve">Salutation + Name
Fill on your own. If unclear, attend class or watch the video</t>
      </text>
    </comment>
    <comment authorId="0" ref="G408">
      <text>
        <t xml:space="preserve">Fill on your own. If unclear, attend class or watch the video</t>
      </text>
    </comment>
    <comment authorId="0" ref="J408">
      <text>
        <t xml:space="preserve">North and South Region -- Rs. 10,000
East and West Region -- Rs. 5,000
Fill on your own. If unclear, attend class or watch the video
</t>
      </text>
    </comment>
    <comment authorId="0" ref="D409">
      <text>
        <t xml:space="preserve">Mr. or Ms.
Depending on Male or Female
Fill on your own. If unclear, attend class or watch the video</t>
      </text>
    </comment>
    <comment authorId="0" ref="E409">
      <text>
        <t xml:space="preserve">Salutation + Name
Fill on your own. If unclear, attend class or watch the video</t>
      </text>
    </comment>
    <comment authorId="0" ref="G409">
      <text>
        <t xml:space="preserve">Fill on your own. If unclear, attend class or watch the video</t>
      </text>
    </comment>
    <comment authorId="0" ref="J409">
      <text>
        <t xml:space="preserve">North and South Region -- Rs. 10,000
East and West Region -- Rs. 5,000
Fill on your own. If unclear, attend class or watch the video
</t>
      </text>
    </comment>
    <comment authorId="0" ref="D410">
      <text>
        <t xml:space="preserve">Mr. or Ms.
Depending on Male or Female
Fill on your own. If unclear, attend class or watch the video</t>
      </text>
    </comment>
    <comment authorId="0" ref="E410">
      <text>
        <t xml:space="preserve">Salutation + Name
Fill on your own. If unclear, attend class or watch the video</t>
      </text>
    </comment>
    <comment authorId="0" ref="G410">
      <text>
        <t xml:space="preserve">Fill on your own. If unclear, attend class or watch the video</t>
      </text>
    </comment>
    <comment authorId="0" ref="J410">
      <text>
        <t xml:space="preserve">North and South Region -- Rs. 10,000
East and West Region -- Rs. 5,000
Fill on your own. If unclear, attend class or watch the video
</t>
      </text>
    </comment>
    <comment authorId="0" ref="D411">
      <text>
        <t xml:space="preserve">Mr. or Ms.
Depending on Male or Female
Fill on your own. If unclear, attend class or watch the video</t>
      </text>
    </comment>
    <comment authorId="0" ref="E411">
      <text>
        <t xml:space="preserve">Salutation + Name
Fill on your own. If unclear, attend class or watch the video</t>
      </text>
    </comment>
    <comment authorId="0" ref="G411">
      <text>
        <t xml:space="preserve">Fill on your own. If unclear, attend class or watch the video</t>
      </text>
    </comment>
    <comment authorId="0" ref="J411">
      <text>
        <t xml:space="preserve">North and South Region -- Rs. 10,000
East and West Region -- Rs. 5,000
Fill on your own. If unclear, attend class or watch the video
</t>
      </text>
    </comment>
    <comment authorId="0" ref="D412">
      <text>
        <t xml:space="preserve">Mr. or Ms.
Depending on Male or Female
Fill on your own. If unclear, attend class or watch the video</t>
      </text>
    </comment>
    <comment authorId="0" ref="E412">
      <text>
        <t xml:space="preserve">Salutation + Name
Fill on your own. If unclear, attend class or watch the video</t>
      </text>
    </comment>
    <comment authorId="0" ref="G412">
      <text>
        <t xml:space="preserve">Fill on your own. If unclear, attend class or watch the video</t>
      </text>
    </comment>
    <comment authorId="0" ref="J412">
      <text>
        <t xml:space="preserve">North and South Region -- Rs. 10,000
East and West Region -- Rs. 5,000
Fill on your own. If unclear, attend class or watch the video
</t>
      </text>
    </comment>
    <comment authorId="0" ref="D413">
      <text>
        <t xml:space="preserve">Mr. or Ms.
Depending on Male or Female
Fill on your own. If unclear, attend class or watch the video</t>
      </text>
    </comment>
    <comment authorId="0" ref="E413">
      <text>
        <t xml:space="preserve">Salutation + Name
Fill on your own. If unclear, attend class or watch the video</t>
      </text>
    </comment>
    <comment authorId="0" ref="G413">
      <text>
        <t xml:space="preserve">Fill on your own. If unclear, attend class or watch the video</t>
      </text>
    </comment>
    <comment authorId="0" ref="J413">
      <text>
        <t xml:space="preserve">North and South Region -- Rs. 10,000
East and West Region -- Rs. 5,000
Fill on your own. If unclear, attend class or watch the video
</t>
      </text>
    </comment>
    <comment authorId="0" ref="D414">
      <text>
        <t xml:space="preserve">Mr. or Ms.
Depending on Male or Female
Fill on your own. If unclear, attend class or watch the video</t>
      </text>
    </comment>
    <comment authorId="0" ref="E414">
      <text>
        <t xml:space="preserve">Salutation + Name
Fill on your own. If unclear, attend class or watch the video</t>
      </text>
    </comment>
    <comment authorId="0" ref="G414">
      <text>
        <t xml:space="preserve">Fill on your own. If unclear, attend class or watch the video</t>
      </text>
    </comment>
    <comment authorId="0" ref="J414">
      <text>
        <t xml:space="preserve">North and South Region -- Rs. 10,000
East and West Region -- Rs. 5,000
Fill on your own. If unclear, attend class or watch the video
</t>
      </text>
    </comment>
    <comment authorId="0" ref="D415">
      <text>
        <t xml:space="preserve">Mr. or Ms.
Depending on Male or Female
Fill on your own. If unclear, attend class or watch the video</t>
      </text>
    </comment>
    <comment authorId="0" ref="E415">
      <text>
        <t xml:space="preserve">Salutation + Name
Fill on your own. If unclear, attend class or watch the video</t>
      </text>
    </comment>
    <comment authorId="0" ref="G415">
      <text>
        <t xml:space="preserve">Fill on your own. If unclear, attend class or watch the video</t>
      </text>
    </comment>
    <comment authorId="0" ref="J415">
      <text>
        <t xml:space="preserve">North and South Region -- Rs. 10,000
East and West Region -- Rs. 5,000
Fill on your own. If unclear, attend class or watch the video
</t>
      </text>
    </comment>
    <comment authorId="0" ref="D416">
      <text>
        <t xml:space="preserve">Mr. or Ms.
Depending on Male or Female
Fill on your own. If unclear, attend class or watch the video</t>
      </text>
    </comment>
    <comment authorId="0" ref="E416">
      <text>
        <t xml:space="preserve">Salutation + Name
Fill on your own. If unclear, attend class or watch the video</t>
      </text>
    </comment>
    <comment authorId="0" ref="G416">
      <text>
        <t xml:space="preserve">Fill on your own. If unclear, attend class or watch the video</t>
      </text>
    </comment>
    <comment authorId="0" ref="J416">
      <text>
        <t xml:space="preserve">North and South Region -- Rs. 10,000
East and West Region -- Rs. 5,000
Fill on your own. If unclear, attend class or watch the video
</t>
      </text>
    </comment>
    <comment authorId="0" ref="D417">
      <text>
        <t xml:space="preserve">Mr. or Ms.
Depending on Male or Female
Fill on your own. If unclear, attend class or watch the video</t>
      </text>
    </comment>
    <comment authorId="0" ref="E417">
      <text>
        <t xml:space="preserve">Salutation + Name
Fill on your own. If unclear, attend class or watch the video</t>
      </text>
    </comment>
    <comment authorId="0" ref="G417">
      <text>
        <t xml:space="preserve">Fill on your own. If unclear, attend class or watch the video</t>
      </text>
    </comment>
    <comment authorId="0" ref="J417">
      <text>
        <t xml:space="preserve">North and South Region -- Rs. 10,000
East and West Region -- Rs. 5,000
Fill on your own. If unclear, attend class or watch the video
</t>
      </text>
    </comment>
    <comment authorId="0" ref="D418">
      <text>
        <t xml:space="preserve">Mr. or Ms.
Depending on Male or Female
Fill on your own. If unclear, attend class or watch the video</t>
      </text>
    </comment>
    <comment authorId="0" ref="E418">
      <text>
        <t xml:space="preserve">Salutation + Name
Fill on your own. If unclear, attend class or watch the video</t>
      </text>
    </comment>
    <comment authorId="0" ref="G418">
      <text>
        <t xml:space="preserve">Fill on your own. If unclear, attend class or watch the video</t>
      </text>
    </comment>
    <comment authorId="0" ref="J418">
      <text>
        <t xml:space="preserve">North and South Region -- Rs. 10,000
East and West Region -- Rs. 5,000
Fill on your own. If unclear, attend class or watch the video
</t>
      </text>
    </comment>
    <comment authorId="0" ref="D419">
      <text>
        <t xml:space="preserve">Mr. or Ms.
Depending on Male or Female
Fill on your own. If unclear, attend class or watch the video</t>
      </text>
    </comment>
    <comment authorId="0" ref="E419">
      <text>
        <t xml:space="preserve">Salutation + Name
Fill on your own. If unclear, attend class or watch the video</t>
      </text>
    </comment>
    <comment authorId="0" ref="G419">
      <text>
        <t xml:space="preserve">Fill on your own. If unclear, attend class or watch the video</t>
      </text>
    </comment>
    <comment authorId="0" ref="J419">
      <text>
        <t xml:space="preserve">North and South Region -- Rs. 10,000
East and West Region -- Rs. 5,000
Fill on your own. If unclear, attend class or watch the video
</t>
      </text>
    </comment>
    <comment authorId="0" ref="D420">
      <text>
        <t xml:space="preserve">Mr. or Ms.
Depending on Male or Female
Fill on your own. If unclear, attend class or watch the video</t>
      </text>
    </comment>
    <comment authorId="0" ref="E420">
      <text>
        <t xml:space="preserve">Salutation + Name
Fill on your own. If unclear, attend class or watch the video</t>
      </text>
    </comment>
    <comment authorId="0" ref="G420">
      <text>
        <t xml:space="preserve">Fill on your own. If unclear, attend class or watch the video</t>
      </text>
    </comment>
    <comment authorId="0" ref="J420">
      <text>
        <t xml:space="preserve">North and South Region -- Rs. 10,000
East and West Region -- Rs. 5,000
Fill on your own. If unclear, attend class or watch the video
</t>
      </text>
    </comment>
    <comment authorId="0" ref="D421">
      <text>
        <t xml:space="preserve">Mr. or Ms.
Depending on Male or Female
Fill on your own. If unclear, attend class or watch the video</t>
      </text>
    </comment>
    <comment authorId="0" ref="E421">
      <text>
        <t xml:space="preserve">Salutation + Name
Fill on your own. If unclear, attend class or watch the video</t>
      </text>
    </comment>
    <comment authorId="0" ref="G421">
      <text>
        <t xml:space="preserve">Fill on your own. If unclear, attend class or watch the video</t>
      </text>
    </comment>
    <comment authorId="0" ref="J421">
      <text>
        <t xml:space="preserve">North and South Region -- Rs. 10,000
East and West Region -- Rs. 5,000
Fill on your own. If unclear, attend class or watch the video
</t>
      </text>
    </comment>
    <comment authorId="0" ref="D422">
      <text>
        <t xml:space="preserve">Mr. or Ms.
Depending on Male or Female
Fill on your own. If unclear, attend class or watch the video</t>
      </text>
    </comment>
    <comment authorId="0" ref="E422">
      <text>
        <t xml:space="preserve">Salutation + Name
Fill on your own. If unclear, attend class or watch the video</t>
      </text>
    </comment>
    <comment authorId="0" ref="G422">
      <text>
        <t xml:space="preserve">Fill on your own. If unclear, attend class or watch the video</t>
      </text>
    </comment>
    <comment authorId="0" ref="J422">
      <text>
        <t xml:space="preserve">North and South Region -- Rs. 10,000
East and West Region -- Rs. 5,000
Fill on your own. If unclear, attend class or watch the video
</t>
      </text>
    </comment>
    <comment authorId="0" ref="D423">
      <text>
        <t xml:space="preserve">Mr. or Ms.
Depending on Male or Female
Fill on your own. If unclear, attend class or watch the video</t>
      </text>
    </comment>
    <comment authorId="0" ref="E423">
      <text>
        <t xml:space="preserve">Salutation + Name
Fill on your own. If unclear, attend class or watch the video</t>
      </text>
    </comment>
    <comment authorId="0" ref="G423">
      <text>
        <t xml:space="preserve">Fill on your own. If unclear, attend class or watch the video</t>
      </text>
    </comment>
    <comment authorId="0" ref="J423">
      <text>
        <t xml:space="preserve">North and South Region -- Rs. 10,000
East and West Region -- Rs. 5,000
Fill on your own. If unclear, attend class or watch the video
</t>
      </text>
    </comment>
    <comment authorId="0" ref="D424">
      <text>
        <t xml:space="preserve">Mr. or Ms.
Depending on Male or Female
Fill on your own. If unclear, attend class or watch the video</t>
      </text>
    </comment>
    <comment authorId="0" ref="E424">
      <text>
        <t xml:space="preserve">Salutation + Name
Fill on your own. If unclear, attend class or watch the video</t>
      </text>
    </comment>
    <comment authorId="0" ref="G424">
      <text>
        <t xml:space="preserve">Fill on your own. If unclear, attend class or watch the video</t>
      </text>
    </comment>
    <comment authorId="0" ref="J424">
      <text>
        <t xml:space="preserve">North and South Region -- Rs. 10,000
East and West Region -- Rs. 5,000
Fill on your own. If unclear, attend class or watch the video
</t>
      </text>
    </comment>
    <comment authorId="0" ref="D425">
      <text>
        <t xml:space="preserve">Mr. or Ms.
Depending on Male or Female
Fill on your own. If unclear, attend class or watch the video</t>
      </text>
    </comment>
    <comment authorId="0" ref="E425">
      <text>
        <t xml:space="preserve">Salutation + Name
Fill on your own. If unclear, attend class or watch the video</t>
      </text>
    </comment>
    <comment authorId="0" ref="G425">
      <text>
        <t xml:space="preserve">Fill on your own. If unclear, attend class or watch the video</t>
      </text>
    </comment>
    <comment authorId="0" ref="J425">
      <text>
        <t xml:space="preserve">North and South Region -- Rs. 10,000
East and West Region -- Rs. 5,000
Fill on your own. If unclear, attend class or watch the video
</t>
      </text>
    </comment>
    <comment authorId="0" ref="D426">
      <text>
        <t xml:space="preserve">Mr. or Ms.
Depending on Male or Female
Fill on your own. If unclear, attend class or watch the video</t>
      </text>
    </comment>
    <comment authorId="0" ref="E426">
      <text>
        <t xml:space="preserve">Salutation + Name
Fill on your own. If unclear, attend class or watch the video</t>
      </text>
    </comment>
    <comment authorId="0" ref="G426">
      <text>
        <t xml:space="preserve">Fill on your own. If unclear, attend class or watch the video</t>
      </text>
    </comment>
    <comment authorId="0" ref="J426">
      <text>
        <t xml:space="preserve">North and South Region -- Rs. 10,000
East and West Region -- Rs. 5,000
Fill on your own. If unclear, attend class or watch the video
</t>
      </text>
    </comment>
    <comment authorId="0" ref="D427">
      <text>
        <t xml:space="preserve">Mr. or Ms.
Depending on Male or Female
Fill on your own. If unclear, attend class or watch the video</t>
      </text>
    </comment>
    <comment authorId="0" ref="E427">
      <text>
        <t xml:space="preserve">Salutation + Name
Fill on your own. If unclear, attend class or watch the video</t>
      </text>
    </comment>
    <comment authorId="0" ref="G427">
      <text>
        <t xml:space="preserve">Fill on your own. If unclear, attend class or watch the video</t>
      </text>
    </comment>
    <comment authorId="0" ref="J427">
      <text>
        <t xml:space="preserve">North and South Region -- Rs. 10,000
East and West Region -- Rs. 5,000
Fill on your own. If unclear, attend class or watch the video
</t>
      </text>
    </comment>
    <comment authorId="0" ref="D428">
      <text>
        <t xml:space="preserve">Mr. or Ms.
Depending on Male or Female
Fill on your own. If unclear, attend class or watch the video</t>
      </text>
    </comment>
    <comment authorId="0" ref="E428">
      <text>
        <t xml:space="preserve">Salutation + Name
Fill on your own. If unclear, attend class or watch the video</t>
      </text>
    </comment>
    <comment authorId="0" ref="G428">
      <text>
        <t xml:space="preserve">Fill on your own. If unclear, attend class or watch the video</t>
      </text>
    </comment>
    <comment authorId="0" ref="J428">
      <text>
        <t xml:space="preserve">North and South Region -- Rs. 10,000
East and West Region -- Rs. 5,000
Fill on your own. If unclear, attend class or watch the video
</t>
      </text>
    </comment>
    <comment authorId="0" ref="D429">
      <text>
        <t xml:space="preserve">Mr. or Ms.
Depending on Male or Female
Fill on your own. If unclear, attend class or watch the video</t>
      </text>
    </comment>
    <comment authorId="0" ref="E429">
      <text>
        <t xml:space="preserve">Salutation + Name
Fill on your own. If unclear, attend class or watch the video</t>
      </text>
    </comment>
    <comment authorId="0" ref="G429">
      <text>
        <t xml:space="preserve">Fill on your own. If unclear, attend class or watch the video</t>
      </text>
    </comment>
    <comment authorId="0" ref="J429">
      <text>
        <t xml:space="preserve">North and South Region -- Rs. 10,000
East and West Region -- Rs. 5,000
Fill on your own. If unclear, attend class or watch the video
</t>
      </text>
    </comment>
    <comment authorId="0" ref="D430">
      <text>
        <t xml:space="preserve">Mr. or Ms.
Depending on Male or Female
Fill on your own. If unclear, attend class or watch the video</t>
      </text>
    </comment>
    <comment authorId="0" ref="E430">
      <text>
        <t xml:space="preserve">Salutation + Name
Fill on your own. If unclear, attend class or watch the video</t>
      </text>
    </comment>
    <comment authorId="0" ref="G430">
      <text>
        <t xml:space="preserve">Fill on your own. If unclear, attend class or watch the video</t>
      </text>
    </comment>
    <comment authorId="0" ref="J430">
      <text>
        <t xml:space="preserve">North and South Region -- Rs. 10,000
East and West Region -- Rs. 5,000
Fill on your own. If unclear, attend class or watch the video
</t>
      </text>
    </comment>
    <comment authorId="0" ref="D431">
      <text>
        <t xml:space="preserve">Mr. or Ms.
Depending on Male or Female
Fill on your own. If unclear, attend class or watch the video</t>
      </text>
    </comment>
    <comment authorId="0" ref="E431">
      <text>
        <t xml:space="preserve">Salutation + Name
Fill on your own. If unclear, attend class or watch the video</t>
      </text>
    </comment>
    <comment authorId="0" ref="G431">
      <text>
        <t xml:space="preserve">Fill on your own. If unclear, attend class or watch the video</t>
      </text>
    </comment>
    <comment authorId="0" ref="J431">
      <text>
        <t xml:space="preserve">North and South Region -- Rs. 10,000
East and West Region -- Rs. 5,000
Fill on your own. If unclear, attend class or watch the video
</t>
      </text>
    </comment>
    <comment authorId="0" ref="D432">
      <text>
        <t xml:space="preserve">Mr. or Ms.
Depending on Male or Female
Fill on your own. If unclear, attend class or watch the video</t>
      </text>
    </comment>
    <comment authorId="0" ref="E432">
      <text>
        <t xml:space="preserve">Salutation + Name
Fill on your own. If unclear, attend class or watch the video</t>
      </text>
    </comment>
    <comment authorId="0" ref="G432">
      <text>
        <t xml:space="preserve">Fill on your own. If unclear, attend class or watch the video</t>
      </text>
    </comment>
    <comment authorId="0" ref="J432">
      <text>
        <t xml:space="preserve">North and South Region -- Rs. 10,000
East and West Region -- Rs. 5,000
Fill on your own. If unclear, attend class or watch the video
</t>
      </text>
    </comment>
    <comment authorId="0" ref="D433">
      <text>
        <t xml:space="preserve">Mr. or Ms.
Depending on Male or Female
Fill on your own. If unclear, attend class or watch the video</t>
      </text>
    </comment>
    <comment authorId="0" ref="E433">
      <text>
        <t xml:space="preserve">Salutation + Name
Fill on your own. If unclear, attend class or watch the video</t>
      </text>
    </comment>
    <comment authorId="0" ref="G433">
      <text>
        <t xml:space="preserve">Fill on your own. If unclear, attend class or watch the video</t>
      </text>
    </comment>
    <comment authorId="0" ref="J433">
      <text>
        <t xml:space="preserve">North and South Region -- Rs. 10,000
East and West Region -- Rs. 5,000
Fill on your own. If unclear, attend class or watch the video
</t>
      </text>
    </comment>
    <comment authorId="0" ref="D434">
      <text>
        <t xml:space="preserve">Mr. or Ms.
Depending on Male or Female
Fill on your own. If unclear, attend class or watch the video</t>
      </text>
    </comment>
    <comment authorId="0" ref="E434">
      <text>
        <t xml:space="preserve">Salutation + Name
Fill on your own. If unclear, attend class or watch the video</t>
      </text>
    </comment>
    <comment authorId="0" ref="G434">
      <text>
        <t xml:space="preserve">Fill on your own. If unclear, attend class or watch the video</t>
      </text>
    </comment>
    <comment authorId="0" ref="J434">
      <text>
        <t xml:space="preserve">North and South Region -- Rs. 10,000
East and West Region -- Rs. 5,000
Fill on your own. If unclear, attend class or watch the video
</t>
      </text>
    </comment>
    <comment authorId="0" ref="D435">
      <text>
        <t xml:space="preserve">Mr. or Ms.
Depending on Male or Female
Fill on your own. If unclear, attend class or watch the video</t>
      </text>
    </comment>
    <comment authorId="0" ref="E435">
      <text>
        <t xml:space="preserve">Salutation + Name
Fill on your own. If unclear, attend class or watch the video</t>
      </text>
    </comment>
    <comment authorId="0" ref="G435">
      <text>
        <t xml:space="preserve">Fill on your own. If unclear, attend class or watch the video</t>
      </text>
    </comment>
    <comment authorId="0" ref="J435">
      <text>
        <t xml:space="preserve">North and South Region -- Rs. 10,000
East and West Region -- Rs. 5,000
Fill on your own. If unclear, attend class or watch the video
</t>
      </text>
    </comment>
    <comment authorId="0" ref="D436">
      <text>
        <t xml:space="preserve">Mr. or Ms.
Depending on Male or Female
Fill on your own. If unclear, attend class or watch the video</t>
      </text>
    </comment>
    <comment authorId="0" ref="E436">
      <text>
        <t xml:space="preserve">Salutation + Name
Fill on your own. If unclear, attend class or watch the video</t>
      </text>
    </comment>
    <comment authorId="0" ref="G436">
      <text>
        <t xml:space="preserve">Fill on your own. If unclear, attend class or watch the video</t>
      </text>
    </comment>
    <comment authorId="0" ref="J436">
      <text>
        <t xml:space="preserve">North and South Region -- Rs. 10,000
East and West Region -- Rs. 5,000
Fill on your own. If unclear, attend class or watch the video
</t>
      </text>
    </comment>
    <comment authorId="0" ref="D437">
      <text>
        <t xml:space="preserve">Mr. or Ms.
Depending on Male or Female
Fill on your own. If unclear, attend class or watch the video</t>
      </text>
    </comment>
    <comment authorId="0" ref="E437">
      <text>
        <t xml:space="preserve">Salutation + Name
Fill on your own. If unclear, attend class or watch the video</t>
      </text>
    </comment>
    <comment authorId="0" ref="G437">
      <text>
        <t xml:space="preserve">Fill on your own. If unclear, attend class or watch the video</t>
      </text>
    </comment>
    <comment authorId="0" ref="J437">
      <text>
        <t xml:space="preserve">North and South Region -- Rs. 10,000
East and West Region -- Rs. 5,000
Fill on your own. If unclear, attend class or watch the video
</t>
      </text>
    </comment>
    <comment authorId="0" ref="D438">
      <text>
        <t xml:space="preserve">Mr. or Ms.
Depending on Male or Female
Fill on your own. If unclear, attend class or watch the video</t>
      </text>
    </comment>
    <comment authorId="0" ref="E438">
      <text>
        <t xml:space="preserve">Salutation + Name
Fill on your own. If unclear, attend class or watch the video</t>
      </text>
    </comment>
    <comment authorId="0" ref="G438">
      <text>
        <t xml:space="preserve">Fill on your own. If unclear, attend class or watch the video</t>
      </text>
    </comment>
    <comment authorId="0" ref="J438">
      <text>
        <t xml:space="preserve">North and South Region -- Rs. 10,000
East and West Region -- Rs. 5,000
Fill on your own. If unclear, attend class or watch the video
</t>
      </text>
    </comment>
    <comment authorId="0" ref="D439">
      <text>
        <t xml:space="preserve">Mr. or Ms.
Depending on Male or Female
Fill on your own. If unclear, attend class or watch the video</t>
      </text>
    </comment>
    <comment authorId="0" ref="E439">
      <text>
        <t xml:space="preserve">Salutation + Name
Fill on your own. If unclear, attend class or watch the video</t>
      </text>
    </comment>
    <comment authorId="0" ref="G439">
      <text>
        <t xml:space="preserve">Fill on your own. If unclear, attend class or watch the video</t>
      </text>
    </comment>
    <comment authorId="0" ref="J439">
      <text>
        <t xml:space="preserve">North and South Region -- Rs. 10,000
East and West Region -- Rs. 5,000
Fill on your own. If unclear, attend class or watch the video
</t>
      </text>
    </comment>
    <comment authorId="0" ref="D440">
      <text>
        <t xml:space="preserve">Mr. or Ms.
Depending on Male or Female
Fill on your own. If unclear, attend class or watch the video</t>
      </text>
    </comment>
    <comment authorId="0" ref="E440">
      <text>
        <t xml:space="preserve">Salutation + Name
Fill on your own. If unclear, attend class or watch the video</t>
      </text>
    </comment>
    <comment authorId="0" ref="G440">
      <text>
        <t xml:space="preserve">Fill on your own. If unclear, attend class or watch the video</t>
      </text>
    </comment>
    <comment authorId="0" ref="J440">
      <text>
        <t xml:space="preserve">North and South Region -- Rs. 10,000
East and West Region -- Rs. 5,000
Fill on your own. If unclear, attend class or watch the video
</t>
      </text>
    </comment>
    <comment authorId="0" ref="D441">
      <text>
        <t xml:space="preserve">Mr. or Ms.
Depending on Male or Female
Fill on your own. If unclear, attend class or watch the video</t>
      </text>
    </comment>
    <comment authorId="0" ref="E441">
      <text>
        <t xml:space="preserve">Salutation + Name
Fill on your own. If unclear, attend class or watch the video</t>
      </text>
    </comment>
    <comment authorId="0" ref="G441">
      <text>
        <t xml:space="preserve">Fill on your own. If unclear, attend class or watch the video</t>
      </text>
    </comment>
    <comment authorId="0" ref="J441">
      <text>
        <t xml:space="preserve">North and South Region -- Rs. 10,000
East and West Region -- Rs. 5,000
Fill on your own. If unclear, attend class or watch the video
</t>
      </text>
    </comment>
    <comment authorId="0" ref="D442">
      <text>
        <t xml:space="preserve">Mr. or Ms.
Depending on Male or Female
Fill on your own. If unclear, attend class or watch the video</t>
      </text>
    </comment>
    <comment authorId="0" ref="E442">
      <text>
        <t xml:space="preserve">Salutation + Name
Fill on your own. If unclear, attend class or watch the video</t>
      </text>
    </comment>
    <comment authorId="0" ref="G442">
      <text>
        <t xml:space="preserve">Fill on your own. If unclear, attend class or watch the video</t>
      </text>
    </comment>
    <comment authorId="0" ref="J442">
      <text>
        <t xml:space="preserve">North and South Region -- Rs. 10,000
East and West Region -- Rs. 5,000
Fill on your own. If unclear, attend class or watch the video
</t>
      </text>
    </comment>
    <comment authorId="0" ref="D443">
      <text>
        <t xml:space="preserve">Mr. or Ms.
Depending on Male or Female
Fill on your own. If unclear, attend class or watch the video</t>
      </text>
    </comment>
    <comment authorId="0" ref="E443">
      <text>
        <t xml:space="preserve">Salutation + Name
Fill on your own. If unclear, attend class or watch the video</t>
      </text>
    </comment>
    <comment authorId="0" ref="G443">
      <text>
        <t xml:space="preserve">Fill on your own. If unclear, attend class or watch the video</t>
      </text>
    </comment>
    <comment authorId="0" ref="J443">
      <text>
        <t xml:space="preserve">North and South Region -- Rs. 10,000
East and West Region -- Rs. 5,000
Fill on your own. If unclear, attend class or watch the video
</t>
      </text>
    </comment>
    <comment authorId="0" ref="D444">
      <text>
        <t xml:space="preserve">Mr. or Ms.
Depending on Male or Female
Fill on your own. If unclear, attend class or watch the video</t>
      </text>
    </comment>
    <comment authorId="0" ref="E444">
      <text>
        <t xml:space="preserve">Salutation + Name
Fill on your own. If unclear, attend class or watch the video</t>
      </text>
    </comment>
    <comment authorId="0" ref="G444">
      <text>
        <t xml:space="preserve">Fill on your own. If unclear, attend class or watch the video</t>
      </text>
    </comment>
    <comment authorId="0" ref="J444">
      <text>
        <t xml:space="preserve">North and South Region -- Rs. 10,000
East and West Region -- Rs. 5,000
Fill on your own. If unclear, attend class or watch the video
</t>
      </text>
    </comment>
    <comment authorId="0" ref="D445">
      <text>
        <t xml:space="preserve">Mr. or Ms.
Depending on Male or Female
Fill on your own. If unclear, attend class or watch the video</t>
      </text>
    </comment>
    <comment authorId="0" ref="E445">
      <text>
        <t xml:space="preserve">Salutation + Name
Fill on your own. If unclear, attend class or watch the video</t>
      </text>
    </comment>
    <comment authorId="0" ref="G445">
      <text>
        <t xml:space="preserve">Fill on your own. If unclear, attend class or watch the video</t>
      </text>
    </comment>
    <comment authorId="0" ref="J445">
      <text>
        <t xml:space="preserve">North and South Region -- Rs. 10,000
East and West Region -- Rs. 5,000
Fill on your own. If unclear, attend class or watch the video
</t>
      </text>
    </comment>
    <comment authorId="0" ref="D446">
      <text>
        <t xml:space="preserve">Mr. or Ms.
Depending on Male or Female
Fill on your own. If unclear, attend class or watch the video</t>
      </text>
    </comment>
    <comment authorId="0" ref="E446">
      <text>
        <t xml:space="preserve">Salutation + Name
Fill on your own. If unclear, attend class or watch the video</t>
      </text>
    </comment>
    <comment authorId="0" ref="G446">
      <text>
        <t xml:space="preserve">Fill on your own. If unclear, attend class or watch the video</t>
      </text>
    </comment>
    <comment authorId="0" ref="J446">
      <text>
        <t xml:space="preserve">North and South Region -- Rs. 10,000
East and West Region -- Rs. 5,000
Fill on your own. If unclear, attend class or watch the video
</t>
      </text>
    </comment>
    <comment authorId="0" ref="D447">
      <text>
        <t xml:space="preserve">Mr. or Ms.
Depending on Male or Female
Fill on your own. If unclear, attend class or watch the video</t>
      </text>
    </comment>
    <comment authorId="0" ref="E447">
      <text>
        <t xml:space="preserve">Salutation + Name
Fill on your own. If unclear, attend class or watch the video</t>
      </text>
    </comment>
    <comment authorId="0" ref="G447">
      <text>
        <t xml:space="preserve">Fill on your own. If unclear, attend class or watch the video</t>
      </text>
    </comment>
    <comment authorId="0" ref="J447">
      <text>
        <t xml:space="preserve">North and South Region -- Rs. 10,000
East and West Region -- Rs. 5,000
Fill on your own. If unclear, attend class or watch the video
</t>
      </text>
    </comment>
    <comment authorId="0" ref="D448">
      <text>
        <t xml:space="preserve">Mr. or Ms.
Depending on Male or Female
Fill on your own. If unclear, attend class or watch the video</t>
      </text>
    </comment>
    <comment authorId="0" ref="E448">
      <text>
        <t xml:space="preserve">Salutation + Name
Fill on your own. If unclear, attend class or watch the video</t>
      </text>
    </comment>
    <comment authorId="0" ref="G448">
      <text>
        <t xml:space="preserve">Fill on your own. If unclear, attend class or watch the video</t>
      </text>
    </comment>
    <comment authorId="0" ref="J448">
      <text>
        <t xml:space="preserve">North and South Region -- Rs. 10,000
East and West Region -- Rs. 5,000
Fill on your own. If unclear, attend class or watch the video
</t>
      </text>
    </comment>
    <comment authorId="0" ref="D449">
      <text>
        <t xml:space="preserve">Mr. or Ms.
Depending on Male or Female
Fill on your own. If unclear, attend class or watch the video</t>
      </text>
    </comment>
    <comment authorId="0" ref="E449">
      <text>
        <t xml:space="preserve">Salutation + Name
Fill on your own. If unclear, attend class or watch the video</t>
      </text>
    </comment>
    <comment authorId="0" ref="G449">
      <text>
        <t xml:space="preserve">Fill on your own. If unclear, attend class or watch the video</t>
      </text>
    </comment>
    <comment authorId="0" ref="J449">
      <text>
        <t xml:space="preserve">North and South Region -- Rs. 10,000
East and West Region -- Rs. 5,000
Fill on your own. If unclear, attend class or watch the video
</t>
      </text>
    </comment>
    <comment authorId="0" ref="D450">
      <text>
        <t xml:space="preserve">Mr. or Ms.
Depending on Male or Female
Fill on your own. If unclear, attend class or watch the video</t>
      </text>
    </comment>
    <comment authorId="0" ref="E450">
      <text>
        <t xml:space="preserve">Salutation + Name
Fill on your own. If unclear, attend class or watch the video</t>
      </text>
    </comment>
    <comment authorId="0" ref="G450">
      <text>
        <t xml:space="preserve">Fill on your own. If unclear, attend class or watch the video</t>
      </text>
    </comment>
    <comment authorId="0" ref="J450">
      <text>
        <t xml:space="preserve">North and South Region -- Rs. 10,000
East and West Region -- Rs. 5,000
Fill on your own. If unclear, attend class or watch the video
</t>
      </text>
    </comment>
    <comment authorId="0" ref="D451">
      <text>
        <t xml:space="preserve">Mr. or Ms.
Depending on Male or Female
Fill on your own. If unclear, attend class or watch the video</t>
      </text>
    </comment>
    <comment authorId="0" ref="E451">
      <text>
        <t xml:space="preserve">Salutation + Name
Fill on your own. If unclear, attend class or watch the video</t>
      </text>
    </comment>
    <comment authorId="0" ref="G451">
      <text>
        <t xml:space="preserve">Fill on your own. If unclear, attend class or watch the video</t>
      </text>
    </comment>
    <comment authorId="0" ref="J451">
      <text>
        <t xml:space="preserve">North and South Region -- Rs. 10,000
East and West Region -- Rs. 5,000
Fill on your own. If unclear, attend class or watch the video
</t>
      </text>
    </comment>
    <comment authorId="0" ref="D452">
      <text>
        <t xml:space="preserve">Mr. or Ms.
Depending on Male or Female
Fill on your own. If unclear, attend class or watch the video</t>
      </text>
    </comment>
    <comment authorId="0" ref="E452">
      <text>
        <t xml:space="preserve">Salutation + Name
Fill on your own. If unclear, attend class or watch the video</t>
      </text>
    </comment>
    <comment authorId="0" ref="G452">
      <text>
        <t xml:space="preserve">Fill on your own. If unclear, attend class or watch the video</t>
      </text>
    </comment>
    <comment authorId="0" ref="J452">
      <text>
        <t xml:space="preserve">North and South Region -- Rs. 10,000
East and West Region -- Rs. 5,000
Fill on your own. If unclear, attend class or watch the video
</t>
      </text>
    </comment>
    <comment authorId="0" ref="D453">
      <text>
        <t xml:space="preserve">Mr. or Ms.
Depending on Male or Female
Fill on your own. If unclear, attend class or watch the video</t>
      </text>
    </comment>
    <comment authorId="0" ref="E453">
      <text>
        <t xml:space="preserve">Salutation + Name
Fill on your own. If unclear, attend class or watch the video</t>
      </text>
    </comment>
    <comment authorId="0" ref="G453">
      <text>
        <t xml:space="preserve">Fill on your own. If unclear, attend class or watch the video</t>
      </text>
    </comment>
    <comment authorId="0" ref="J453">
      <text>
        <t xml:space="preserve">North and South Region -- Rs. 10,000
East and West Region -- Rs. 5,000
Fill on your own. If unclear, attend class or watch the video
</t>
      </text>
    </comment>
    <comment authorId="0" ref="D454">
      <text>
        <t xml:space="preserve">Mr. or Ms.
Depending on Male or Female
Fill on your own. If unclear, attend class or watch the video</t>
      </text>
    </comment>
    <comment authorId="0" ref="E454">
      <text>
        <t xml:space="preserve">Salutation + Name
Fill on your own. If unclear, attend class or watch the video</t>
      </text>
    </comment>
    <comment authorId="0" ref="G454">
      <text>
        <t xml:space="preserve">Fill on your own. If unclear, attend class or watch the video</t>
      </text>
    </comment>
    <comment authorId="0" ref="J454">
      <text>
        <t xml:space="preserve">North and South Region -- Rs. 10,000
East and West Region -- Rs. 5,000
Fill on your own. If unclear, attend class or watch the video
</t>
      </text>
    </comment>
    <comment authorId="0" ref="D455">
      <text>
        <t xml:space="preserve">Mr. or Ms.
Depending on Male or Female
Fill on your own. If unclear, attend class or watch the video</t>
      </text>
    </comment>
    <comment authorId="0" ref="E455">
      <text>
        <t xml:space="preserve">Salutation + Name
Fill on your own. If unclear, attend class or watch the video</t>
      </text>
    </comment>
    <comment authorId="0" ref="G455">
      <text>
        <t xml:space="preserve">Fill on your own. If unclear, attend class or watch the video</t>
      </text>
    </comment>
    <comment authorId="0" ref="J455">
      <text>
        <t xml:space="preserve">North and South Region -- Rs. 10,000
East and West Region -- Rs. 5,000
Fill on your own. If unclear, attend class or watch the video
</t>
      </text>
    </comment>
    <comment authorId="0" ref="D456">
      <text>
        <t xml:space="preserve">Mr. or Ms.
Depending on Male or Female
Fill on your own. If unclear, attend class or watch the video</t>
      </text>
    </comment>
    <comment authorId="0" ref="E456">
      <text>
        <t xml:space="preserve">Salutation + Name
Fill on your own. If unclear, attend class or watch the video</t>
      </text>
    </comment>
    <comment authorId="0" ref="G456">
      <text>
        <t xml:space="preserve">Fill on your own. If unclear, attend class or watch the video</t>
      </text>
    </comment>
    <comment authorId="0" ref="J456">
      <text>
        <t xml:space="preserve">North and South Region -- Rs. 10,000
East and West Region -- Rs. 5,000
Fill on your own. If unclear, attend class or watch the video
</t>
      </text>
    </comment>
    <comment authorId="0" ref="D457">
      <text>
        <t xml:space="preserve">Mr. or Ms.
Depending on Male or Female
Fill on your own. If unclear, attend class or watch the video</t>
      </text>
    </comment>
    <comment authorId="0" ref="E457">
      <text>
        <t xml:space="preserve">Salutation + Name
Fill on your own. If unclear, attend class or watch the video</t>
      </text>
    </comment>
    <comment authorId="0" ref="G457">
      <text>
        <t xml:space="preserve">Fill on your own. If unclear, attend class or watch the video</t>
      </text>
    </comment>
    <comment authorId="0" ref="J457">
      <text>
        <t xml:space="preserve">North and South Region -- Rs. 10,000
East and West Region -- Rs. 5,000
Fill on your own. If unclear, attend class or watch the video
</t>
      </text>
    </comment>
    <comment authorId="0" ref="D458">
      <text>
        <t xml:space="preserve">Mr. or Ms.
Depending on Male or Female
Fill on your own. If unclear, attend class or watch the video</t>
      </text>
    </comment>
    <comment authorId="0" ref="E458">
      <text>
        <t xml:space="preserve">Salutation + Name
Fill on your own. If unclear, attend class or watch the video</t>
      </text>
    </comment>
    <comment authorId="0" ref="G458">
      <text>
        <t xml:space="preserve">Fill on your own. If unclear, attend class or watch the video</t>
      </text>
    </comment>
    <comment authorId="0" ref="J458">
      <text>
        <t xml:space="preserve">North and South Region -- Rs. 10,000
East and West Region -- Rs. 5,000
Fill on your own. If unclear, attend class or watch the video
</t>
      </text>
    </comment>
    <comment authorId="0" ref="D459">
      <text>
        <t xml:space="preserve">Mr. or Ms.
Depending on Male or Female
Fill on your own. If unclear, attend class or watch the video</t>
      </text>
    </comment>
    <comment authorId="0" ref="E459">
      <text>
        <t xml:space="preserve">Salutation + Name
Fill on your own. If unclear, attend class or watch the video</t>
      </text>
    </comment>
    <comment authorId="0" ref="G459">
      <text>
        <t xml:space="preserve">Fill on your own. If unclear, attend class or watch the video</t>
      </text>
    </comment>
    <comment authorId="0" ref="J459">
      <text>
        <t xml:space="preserve">North and South Region -- Rs. 10,000
East and West Region -- Rs. 5,000
Fill on your own. If unclear, attend class or watch the video
</t>
      </text>
    </comment>
    <comment authorId="0" ref="D460">
      <text>
        <t xml:space="preserve">Mr. or Ms.
Depending on Male or Female
Fill on your own. If unclear, attend class or watch the video</t>
      </text>
    </comment>
    <comment authorId="0" ref="E460">
      <text>
        <t xml:space="preserve">Salutation + Name
Fill on your own. If unclear, attend class or watch the video</t>
      </text>
    </comment>
    <comment authorId="0" ref="G460">
      <text>
        <t xml:space="preserve">Fill on your own. If unclear, attend class or watch the video</t>
      </text>
    </comment>
    <comment authorId="0" ref="J460">
      <text>
        <t xml:space="preserve">North and South Region -- Rs. 10,000
East and West Region -- Rs. 5,000
Fill on your own. If unclear, attend class or watch the video
</t>
      </text>
    </comment>
    <comment authorId="0" ref="D461">
      <text>
        <t xml:space="preserve">Mr. or Ms.
Depending on Male or Female
Fill on your own. If unclear, attend class or watch the video</t>
      </text>
    </comment>
    <comment authorId="0" ref="E461">
      <text>
        <t xml:space="preserve">Salutation + Name
Fill on your own. If unclear, attend class or watch the video</t>
      </text>
    </comment>
    <comment authorId="0" ref="G461">
      <text>
        <t xml:space="preserve">Fill on your own. If unclear, attend class or watch the video</t>
      </text>
    </comment>
    <comment authorId="0" ref="J461">
      <text>
        <t xml:space="preserve">North and South Region -- Rs. 10,000
East and West Region -- Rs. 5,000
Fill on your own. If unclear, attend class or watch the video
</t>
      </text>
    </comment>
    <comment authorId="0" ref="D462">
      <text>
        <t xml:space="preserve">Mr. or Ms.
Depending on Male or Female
Fill on your own. If unclear, attend class or watch the video</t>
      </text>
    </comment>
    <comment authorId="0" ref="E462">
      <text>
        <t xml:space="preserve">Salutation + Name
Fill on your own. If unclear, attend class or watch the video</t>
      </text>
    </comment>
    <comment authorId="0" ref="G462">
      <text>
        <t xml:space="preserve">Fill on your own. If unclear, attend class or watch the video</t>
      </text>
    </comment>
    <comment authorId="0" ref="J462">
      <text>
        <t xml:space="preserve">North and South Region -- Rs. 10,000
East and West Region -- Rs. 5,000
Fill on your own. If unclear, attend class or watch the video
</t>
      </text>
    </comment>
    <comment authorId="0" ref="D463">
      <text>
        <t xml:space="preserve">Mr. or Ms.
Depending on Male or Female
Fill on your own. If unclear, attend class or watch the video</t>
      </text>
    </comment>
    <comment authorId="0" ref="E463">
      <text>
        <t xml:space="preserve">Salutation + Name
Fill on your own. If unclear, attend class or watch the video</t>
      </text>
    </comment>
    <comment authorId="0" ref="G463">
      <text>
        <t xml:space="preserve">Fill on your own. If unclear, attend class or watch the video</t>
      </text>
    </comment>
    <comment authorId="0" ref="J463">
      <text>
        <t xml:space="preserve">North and South Region -- Rs. 10,000
East and West Region -- Rs. 5,000
Fill on your own. If unclear, attend class or watch the video
</t>
      </text>
    </comment>
    <comment authorId="0" ref="D464">
      <text>
        <t xml:space="preserve">Mr. or Ms.
Depending on Male or Female
Fill on your own. If unclear, attend class or watch the video</t>
      </text>
    </comment>
    <comment authorId="0" ref="E464">
      <text>
        <t xml:space="preserve">Salutation + Name
Fill on your own. If unclear, attend class or watch the video</t>
      </text>
    </comment>
    <comment authorId="0" ref="G464">
      <text>
        <t xml:space="preserve">Fill on your own. If unclear, attend class or watch the video</t>
      </text>
    </comment>
    <comment authorId="0" ref="J464">
      <text>
        <t xml:space="preserve">North and South Region -- Rs. 10,000
East and West Region -- Rs. 5,000
Fill on your own. If unclear, attend class or watch the video
</t>
      </text>
    </comment>
    <comment authorId="0" ref="D465">
      <text>
        <t xml:space="preserve">Mr. or Ms.
Depending on Male or Female
Fill on your own. If unclear, attend class or watch the video</t>
      </text>
    </comment>
    <comment authorId="0" ref="E465">
      <text>
        <t xml:space="preserve">Salutation + Name
Fill on your own. If unclear, attend class or watch the video</t>
      </text>
    </comment>
    <comment authorId="0" ref="G465">
      <text>
        <t xml:space="preserve">Fill on your own. If unclear, attend class or watch the video</t>
      </text>
    </comment>
    <comment authorId="0" ref="J465">
      <text>
        <t xml:space="preserve">North and South Region -- Rs. 10,000
East and West Region -- Rs. 5,000
Fill on your own. If unclear, attend class or watch the video
</t>
      </text>
    </comment>
    <comment authorId="0" ref="D466">
      <text>
        <t xml:space="preserve">Mr. or Ms.
Depending on Male or Female
Fill on your own. If unclear, attend class or watch the video</t>
      </text>
    </comment>
    <comment authorId="0" ref="E466">
      <text>
        <t xml:space="preserve">Salutation + Name
Fill on your own. If unclear, attend class or watch the video</t>
      </text>
    </comment>
    <comment authorId="0" ref="G466">
      <text>
        <t xml:space="preserve">Fill on your own. If unclear, attend class or watch the video</t>
      </text>
    </comment>
    <comment authorId="0" ref="J466">
      <text>
        <t xml:space="preserve">North and South Region -- Rs. 10,000
East and West Region -- Rs. 5,000
Fill on your own. If unclear, attend class or watch the video
</t>
      </text>
    </comment>
    <comment authorId="0" ref="D467">
      <text>
        <t xml:space="preserve">Mr. or Ms.
Depending on Male or Female
Fill on your own. If unclear, attend class or watch the video</t>
      </text>
    </comment>
    <comment authorId="0" ref="E467">
      <text>
        <t xml:space="preserve">Salutation + Name
Fill on your own. If unclear, attend class or watch the video</t>
      </text>
    </comment>
    <comment authorId="0" ref="G467">
      <text>
        <t xml:space="preserve">Fill on your own. If unclear, attend class or watch the video</t>
      </text>
    </comment>
    <comment authorId="0" ref="J467">
      <text>
        <t xml:space="preserve">North and South Region -- Rs. 10,000
East and West Region -- Rs. 5,000
Fill on your own. If unclear, attend class or watch the video
</t>
      </text>
    </comment>
    <comment authorId="0" ref="D468">
      <text>
        <t xml:space="preserve">Mr. or Ms.
Depending on Male or Female
Fill on your own. If unclear, attend class or watch the video</t>
      </text>
    </comment>
    <comment authorId="0" ref="E468">
      <text>
        <t xml:space="preserve">Salutation + Name
Fill on your own. If unclear, attend class or watch the video</t>
      </text>
    </comment>
    <comment authorId="0" ref="G468">
      <text>
        <t xml:space="preserve">Fill on your own. If unclear, attend class or watch the video</t>
      </text>
    </comment>
    <comment authorId="0" ref="J468">
      <text>
        <t xml:space="preserve">North and South Region -- Rs. 10,000
East and West Region -- Rs. 5,000
Fill on your own. If unclear, attend class or watch the video
</t>
      </text>
    </comment>
    <comment authorId="0" ref="D469">
      <text>
        <t xml:space="preserve">Mr. or Ms.
Depending on Male or Female
Fill on your own. If unclear, attend class or watch the video</t>
      </text>
    </comment>
    <comment authorId="0" ref="E469">
      <text>
        <t xml:space="preserve">Salutation + Name
Fill on your own. If unclear, attend class or watch the video</t>
      </text>
    </comment>
    <comment authorId="0" ref="G469">
      <text>
        <t xml:space="preserve">Fill on your own. If unclear, attend class or watch the video</t>
      </text>
    </comment>
    <comment authorId="0" ref="J469">
      <text>
        <t xml:space="preserve">North and South Region -- Rs. 10,000
East and West Region -- Rs. 5,000
Fill on your own. If unclear, attend class or watch the video
</t>
      </text>
    </comment>
    <comment authorId="0" ref="D470">
      <text>
        <t xml:space="preserve">Mr. or Ms.
Depending on Male or Female
Fill on your own. If unclear, attend class or watch the video</t>
      </text>
    </comment>
    <comment authorId="0" ref="E470">
      <text>
        <t xml:space="preserve">Salutation + Name
Fill on your own. If unclear, attend class or watch the video</t>
      </text>
    </comment>
    <comment authorId="0" ref="G470">
      <text>
        <t xml:space="preserve">Fill on your own. If unclear, attend class or watch the video</t>
      </text>
    </comment>
    <comment authorId="0" ref="J470">
      <text>
        <t xml:space="preserve">North and South Region -- Rs. 10,000
East and West Region -- Rs. 5,000
Fill on your own. If unclear, attend class or watch the video
</t>
      </text>
    </comment>
    <comment authorId="0" ref="D471">
      <text>
        <t xml:space="preserve">Mr. or Ms.
Depending on Male or Female
Fill on your own. If unclear, attend class or watch the video</t>
      </text>
    </comment>
    <comment authorId="0" ref="E471">
      <text>
        <t xml:space="preserve">Salutation + Name
Fill on your own. If unclear, attend class or watch the video</t>
      </text>
    </comment>
    <comment authorId="0" ref="G471">
      <text>
        <t xml:space="preserve">Fill on your own. If unclear, attend class or watch the video</t>
      </text>
    </comment>
    <comment authorId="0" ref="J471">
      <text>
        <t xml:space="preserve">North and South Region -- Rs. 10,000
East and West Region -- Rs. 5,000
Fill on your own. If unclear, attend class or watch the video
</t>
      </text>
    </comment>
    <comment authorId="0" ref="D472">
      <text>
        <t xml:space="preserve">Mr. or Ms.
Depending on Male or Female
Fill on your own. If unclear, attend class or watch the video</t>
      </text>
    </comment>
    <comment authorId="0" ref="E472">
      <text>
        <t xml:space="preserve">Salutation + Name
Fill on your own. If unclear, attend class or watch the video</t>
      </text>
    </comment>
    <comment authorId="0" ref="G472">
      <text>
        <t xml:space="preserve">Fill on your own. If unclear, attend class or watch the video</t>
      </text>
    </comment>
    <comment authorId="0" ref="J472">
      <text>
        <t xml:space="preserve">North and South Region -- Rs. 10,000
East and West Region -- Rs. 5,000
Fill on your own. If unclear, attend class or watch the video
</t>
      </text>
    </comment>
    <comment authorId="0" ref="D473">
      <text>
        <t xml:space="preserve">Mr. or Ms.
Depending on Male or Female
Fill on your own. If unclear, attend class or watch the video</t>
      </text>
    </comment>
    <comment authorId="0" ref="E473">
      <text>
        <t xml:space="preserve">Salutation + Name
Fill on your own. If unclear, attend class or watch the video</t>
      </text>
    </comment>
    <comment authorId="0" ref="G473">
      <text>
        <t xml:space="preserve">Fill on your own. If unclear, attend class or watch the video</t>
      </text>
    </comment>
    <comment authorId="0" ref="J473">
      <text>
        <t xml:space="preserve">North and South Region -- Rs. 10,000
East and West Region -- Rs. 5,000
Fill on your own. If unclear, attend class or watch the video
</t>
      </text>
    </comment>
    <comment authorId="0" ref="D474">
      <text>
        <t xml:space="preserve">Mr. or Ms.
Depending on Male or Female
Fill on your own. If unclear, attend class or watch the video</t>
      </text>
    </comment>
    <comment authorId="0" ref="E474">
      <text>
        <t xml:space="preserve">Salutation + Name
Fill on your own. If unclear, attend class or watch the video</t>
      </text>
    </comment>
    <comment authorId="0" ref="G474">
      <text>
        <t xml:space="preserve">Fill on your own. If unclear, attend class or watch the video</t>
      </text>
    </comment>
    <comment authorId="0" ref="J474">
      <text>
        <t xml:space="preserve">North and South Region -- Rs. 10,000
East and West Region -- Rs. 5,000
Fill on your own. If unclear, attend class or watch the video
</t>
      </text>
    </comment>
    <comment authorId="0" ref="D475">
      <text>
        <t xml:space="preserve">Mr. or Ms.
Depending on Male or Female
Fill on your own. If unclear, attend class or watch the video</t>
      </text>
    </comment>
    <comment authorId="0" ref="E475">
      <text>
        <t xml:space="preserve">Salutation + Name
Fill on your own. If unclear, attend class or watch the video</t>
      </text>
    </comment>
    <comment authorId="0" ref="G475">
      <text>
        <t xml:space="preserve">Fill on your own. If unclear, attend class or watch the video</t>
      </text>
    </comment>
    <comment authorId="0" ref="J475">
      <text>
        <t xml:space="preserve">North and South Region -- Rs. 10,000
East and West Region -- Rs. 5,000
Fill on your own. If unclear, attend class or watch the video
</t>
      </text>
    </comment>
    <comment authorId="0" ref="D476">
      <text>
        <t xml:space="preserve">Mr. or Ms.
Depending on Male or Female
Fill on your own. If unclear, attend class or watch the video</t>
      </text>
    </comment>
    <comment authorId="0" ref="E476">
      <text>
        <t xml:space="preserve">Salutation + Name
Fill on your own. If unclear, attend class or watch the video</t>
      </text>
    </comment>
    <comment authorId="0" ref="G476">
      <text>
        <t xml:space="preserve">Fill on your own. If unclear, attend class or watch the video</t>
      </text>
    </comment>
    <comment authorId="0" ref="J476">
      <text>
        <t xml:space="preserve">North and South Region -- Rs. 10,000
East and West Region -- Rs. 5,000
Fill on your own. If unclear, attend class or watch the video
</t>
      </text>
    </comment>
    <comment authorId="0" ref="D477">
      <text>
        <t xml:space="preserve">Mr. or Ms.
Depending on Male or Female
Fill on your own. If unclear, attend class or watch the video</t>
      </text>
    </comment>
    <comment authorId="0" ref="E477">
      <text>
        <t xml:space="preserve">Salutation + Name
Fill on your own. If unclear, attend class or watch the video</t>
      </text>
    </comment>
    <comment authorId="0" ref="G477">
      <text>
        <t xml:space="preserve">Fill on your own. If unclear, attend class or watch the video</t>
      </text>
    </comment>
    <comment authorId="0" ref="J477">
      <text>
        <t xml:space="preserve">North and South Region -- Rs. 10,000
East and West Region -- Rs. 5,000
Fill on your own. If unclear, attend class or watch the video
</t>
      </text>
    </comment>
    <comment authorId="0" ref="D478">
      <text>
        <t xml:space="preserve">Mr. or Ms.
Depending on Male or Female
Fill on your own. If unclear, attend class or watch the video</t>
      </text>
    </comment>
    <comment authorId="0" ref="E478">
      <text>
        <t xml:space="preserve">Salutation + Name
Fill on your own. If unclear, attend class or watch the video</t>
      </text>
    </comment>
    <comment authorId="0" ref="G478">
      <text>
        <t xml:space="preserve">Fill on your own. If unclear, attend class or watch the video</t>
      </text>
    </comment>
    <comment authorId="0" ref="J478">
      <text>
        <t xml:space="preserve">North and South Region -- Rs. 10,000
East and West Region -- Rs. 5,000
Fill on your own. If unclear, attend class or watch the video
</t>
      </text>
    </comment>
    <comment authorId="0" ref="D479">
      <text>
        <t xml:space="preserve">Mr. or Ms.
Depending on Male or Female
Fill on your own. If unclear, attend class or watch the video</t>
      </text>
    </comment>
    <comment authorId="0" ref="E479">
      <text>
        <t xml:space="preserve">Salutation + Name
Fill on your own. If unclear, attend class or watch the video</t>
      </text>
    </comment>
    <comment authorId="0" ref="G479">
      <text>
        <t xml:space="preserve">Fill on your own. If unclear, attend class or watch the video</t>
      </text>
    </comment>
    <comment authorId="0" ref="J479">
      <text>
        <t xml:space="preserve">North and South Region -- Rs. 10,000
East and West Region -- Rs. 5,000
Fill on your own. If unclear, attend class or watch the video
</t>
      </text>
    </comment>
    <comment authorId="0" ref="D480">
      <text>
        <t xml:space="preserve">Mr. or Ms.
Depending on Male or Female
Fill on your own. If unclear, attend class or watch the video</t>
      </text>
    </comment>
    <comment authorId="0" ref="E480">
      <text>
        <t xml:space="preserve">Salutation + Name
Fill on your own. If unclear, attend class or watch the video</t>
      </text>
    </comment>
    <comment authorId="0" ref="G480">
      <text>
        <t xml:space="preserve">Fill on your own. If unclear, attend class or watch the video</t>
      </text>
    </comment>
    <comment authorId="0" ref="J480">
      <text>
        <t xml:space="preserve">North and South Region -- Rs. 10,000
East and West Region -- Rs. 5,000
Fill on your own. If unclear, attend class or watch the video
</t>
      </text>
    </comment>
    <comment authorId="0" ref="D481">
      <text>
        <t xml:space="preserve">Mr. or Ms.
Depending on Male or Female
Fill on your own. If unclear, attend class or watch the video</t>
      </text>
    </comment>
    <comment authorId="0" ref="E481">
      <text>
        <t xml:space="preserve">Salutation + Name
Fill on your own. If unclear, attend class or watch the video</t>
      </text>
    </comment>
    <comment authorId="0" ref="G481">
      <text>
        <t xml:space="preserve">Fill on your own. If unclear, attend class or watch the video</t>
      </text>
    </comment>
    <comment authorId="0" ref="J481">
      <text>
        <t xml:space="preserve">North and South Region -- Rs. 10,000
East and West Region -- Rs. 5,000
Fill on your own. If unclear, attend class or watch the video
</t>
      </text>
    </comment>
    <comment authorId="0" ref="D482">
      <text>
        <t xml:space="preserve">Mr. or Ms.
Depending on Male or Female
Fill on your own. If unclear, attend class or watch the video</t>
      </text>
    </comment>
    <comment authorId="0" ref="E482">
      <text>
        <t xml:space="preserve">Salutation + Name
Fill on your own. If unclear, attend class or watch the video</t>
      </text>
    </comment>
    <comment authorId="0" ref="G482">
      <text>
        <t xml:space="preserve">Fill on your own. If unclear, attend class or watch the video</t>
      </text>
    </comment>
    <comment authorId="0" ref="J482">
      <text>
        <t xml:space="preserve">North and South Region -- Rs. 10,000
East and West Region -- Rs. 5,000
Fill on your own. If unclear, attend class or watch the video
</t>
      </text>
    </comment>
    <comment authorId="0" ref="D483">
      <text>
        <t xml:space="preserve">Mr. or Ms.
Depending on Male or Female
Fill on your own. If unclear, attend class or watch the video</t>
      </text>
    </comment>
    <comment authorId="0" ref="E483">
      <text>
        <t xml:space="preserve">Salutation + Name
Fill on your own. If unclear, attend class or watch the video</t>
      </text>
    </comment>
    <comment authorId="0" ref="G483">
      <text>
        <t xml:space="preserve">Fill on your own. If unclear, attend class or watch the video</t>
      </text>
    </comment>
    <comment authorId="0" ref="J483">
      <text>
        <t xml:space="preserve">North and South Region -- Rs. 10,000
East and West Region -- Rs. 5,000
Fill on your own. If unclear, attend class or watch the video
</t>
      </text>
    </comment>
    <comment authorId="0" ref="D484">
      <text>
        <t xml:space="preserve">Mr. or Ms.
Depending on Male or Female
Fill on your own. If unclear, attend class or watch the video</t>
      </text>
    </comment>
    <comment authorId="0" ref="E484">
      <text>
        <t xml:space="preserve">Salutation + Name
Fill on your own. If unclear, attend class or watch the video</t>
      </text>
    </comment>
    <comment authorId="0" ref="G484">
      <text>
        <t xml:space="preserve">Fill on your own. If unclear, attend class or watch the video</t>
      </text>
    </comment>
    <comment authorId="0" ref="J484">
      <text>
        <t xml:space="preserve">North and South Region -- Rs. 10,000
East and West Region -- Rs. 5,000
Fill on your own. If unclear, attend class or watch the video
</t>
      </text>
    </comment>
    <comment authorId="0" ref="D485">
      <text>
        <t xml:space="preserve">Mr. or Ms.
Depending on Male or Female
Fill on your own. If unclear, attend class or watch the video</t>
      </text>
    </comment>
    <comment authorId="0" ref="E485">
      <text>
        <t xml:space="preserve">Salutation + Name
Fill on your own. If unclear, attend class or watch the video</t>
      </text>
    </comment>
    <comment authorId="0" ref="G485">
      <text>
        <t xml:space="preserve">Fill on your own. If unclear, attend class or watch the video</t>
      </text>
    </comment>
    <comment authorId="0" ref="J485">
      <text>
        <t xml:space="preserve">North and South Region -- Rs. 10,000
East and West Region -- Rs. 5,000
Fill on your own. If unclear, attend class or watch the video
</t>
      </text>
    </comment>
    <comment authorId="0" ref="D486">
      <text>
        <t xml:space="preserve">Mr. or Ms.
Depending on Male or Female
Fill on your own. If unclear, attend class or watch the video</t>
      </text>
    </comment>
    <comment authorId="0" ref="E486">
      <text>
        <t xml:space="preserve">Salutation + Name
Fill on your own. If unclear, attend class or watch the video</t>
      </text>
    </comment>
    <comment authorId="0" ref="G486">
      <text>
        <t xml:space="preserve">Fill on your own. If unclear, attend class or watch the video</t>
      </text>
    </comment>
    <comment authorId="0" ref="J486">
      <text>
        <t xml:space="preserve">North and South Region -- Rs. 10,000
East and West Region -- Rs. 5,000
Fill on your own. If unclear, attend class or watch the video
</t>
      </text>
    </comment>
    <comment authorId="0" ref="D487">
      <text>
        <t xml:space="preserve">Mr. or Ms.
Depending on Male or Female
Fill on your own. If unclear, attend class or watch the video</t>
      </text>
    </comment>
    <comment authorId="0" ref="E487">
      <text>
        <t xml:space="preserve">Salutation + Name
Fill on your own. If unclear, attend class or watch the video</t>
      </text>
    </comment>
    <comment authorId="0" ref="G487">
      <text>
        <t xml:space="preserve">Fill on your own. If unclear, attend class or watch the video</t>
      </text>
    </comment>
    <comment authorId="0" ref="J487">
      <text>
        <t xml:space="preserve">North and South Region -- Rs. 10,000
East and West Region -- Rs. 5,000
Fill on your own. If unclear, attend class or watch the video
</t>
      </text>
    </comment>
    <comment authorId="0" ref="D488">
      <text>
        <t xml:space="preserve">Mr. or Ms.
Depending on Male or Female
Fill on your own. If unclear, attend class or watch the video</t>
      </text>
    </comment>
    <comment authorId="0" ref="E488">
      <text>
        <t xml:space="preserve">Salutation + Name
Fill on your own. If unclear, attend class or watch the video</t>
      </text>
    </comment>
    <comment authorId="0" ref="G488">
      <text>
        <t xml:space="preserve">Fill on your own. If unclear, attend class or watch the video</t>
      </text>
    </comment>
    <comment authorId="0" ref="J488">
      <text>
        <t xml:space="preserve">North and South Region -- Rs. 10,000
East and West Region -- Rs. 5,000
Fill on your own. If unclear, attend class or watch the video
</t>
      </text>
    </comment>
    <comment authorId="0" ref="D489">
      <text>
        <t xml:space="preserve">Mr. or Ms.
Depending on Male or Female
Fill on your own. If unclear, attend class or watch the video</t>
      </text>
    </comment>
    <comment authorId="0" ref="E489">
      <text>
        <t xml:space="preserve">Salutation + Name
Fill on your own. If unclear, attend class or watch the video</t>
      </text>
    </comment>
    <comment authorId="0" ref="G489">
      <text>
        <t xml:space="preserve">Fill on your own. If unclear, attend class or watch the video</t>
      </text>
    </comment>
    <comment authorId="0" ref="J489">
      <text>
        <t xml:space="preserve">North and South Region -- Rs. 10,000
East and West Region -- Rs. 5,000
Fill on your own. If unclear, attend class or watch the video
</t>
      </text>
    </comment>
    <comment authorId="0" ref="D490">
      <text>
        <t xml:space="preserve">Mr. or Ms.
Depending on Male or Female
Fill on your own. If unclear, attend class or watch the video</t>
      </text>
    </comment>
    <comment authorId="0" ref="E490">
      <text>
        <t xml:space="preserve">Salutation + Name
Fill on your own. If unclear, attend class or watch the video</t>
      </text>
    </comment>
    <comment authorId="0" ref="G490">
      <text>
        <t xml:space="preserve">Fill on your own. If unclear, attend class or watch the video</t>
      </text>
    </comment>
    <comment authorId="0" ref="J490">
      <text>
        <t xml:space="preserve">North and South Region -- Rs. 10,000
East and West Region -- Rs. 5,000
Fill on your own. If unclear, attend class or watch the video
</t>
      </text>
    </comment>
    <comment authorId="0" ref="D491">
      <text>
        <t xml:space="preserve">Mr. or Ms.
Depending on Male or Female
Fill on your own. If unclear, attend class or watch the video</t>
      </text>
    </comment>
    <comment authorId="0" ref="E491">
      <text>
        <t xml:space="preserve">Salutation + Name
Fill on your own. If unclear, attend class or watch the video</t>
      </text>
    </comment>
    <comment authorId="0" ref="G491">
      <text>
        <t xml:space="preserve">Fill on your own. If unclear, attend class or watch the video</t>
      </text>
    </comment>
    <comment authorId="0" ref="J491">
      <text>
        <t xml:space="preserve">North and South Region -- Rs. 10,000
East and West Region -- Rs. 5,000
Fill on your own. If unclear, attend class or watch the video
</t>
      </text>
    </comment>
    <comment authorId="0" ref="D492">
      <text>
        <t xml:space="preserve">Mr. or Ms.
Depending on Male or Female
Fill on your own. If unclear, attend class or watch the video</t>
      </text>
    </comment>
    <comment authorId="0" ref="E492">
      <text>
        <t xml:space="preserve">Salutation + Name
Fill on your own. If unclear, attend class or watch the video</t>
      </text>
    </comment>
    <comment authorId="0" ref="G492">
      <text>
        <t xml:space="preserve">Fill on your own. If unclear, attend class or watch the video</t>
      </text>
    </comment>
    <comment authorId="0" ref="J492">
      <text>
        <t xml:space="preserve">North and South Region -- Rs. 10,000
East and West Region -- Rs. 5,000
Fill on your own. If unclear, attend class or watch the video
</t>
      </text>
    </comment>
    <comment authorId="0" ref="D493">
      <text>
        <t xml:space="preserve">Mr. or Ms.
Depending on Male or Female
Fill on your own. If unclear, attend class or watch the video</t>
      </text>
    </comment>
    <comment authorId="0" ref="E493">
      <text>
        <t xml:space="preserve">Salutation + Name
Fill on your own. If unclear, attend class or watch the video</t>
      </text>
    </comment>
    <comment authorId="0" ref="G493">
      <text>
        <t xml:space="preserve">Fill on your own. If unclear, attend class or watch the video</t>
      </text>
    </comment>
    <comment authorId="0" ref="J493">
      <text>
        <t xml:space="preserve">North and South Region -- Rs. 10,000
East and West Region -- Rs. 5,000
Fill on your own. If unclear, attend class or watch the video
</t>
      </text>
    </comment>
    <comment authorId="0" ref="D494">
      <text>
        <t xml:space="preserve">Mr. or Ms.
Depending on Male or Female
Fill on your own. If unclear, attend class or watch the video</t>
      </text>
    </comment>
    <comment authorId="0" ref="E494">
      <text>
        <t xml:space="preserve">Salutation + Name
Fill on your own. If unclear, attend class or watch the video</t>
      </text>
    </comment>
    <comment authorId="0" ref="G494">
      <text>
        <t xml:space="preserve">Fill on your own. If unclear, attend class or watch the video</t>
      </text>
    </comment>
    <comment authorId="0" ref="J494">
      <text>
        <t xml:space="preserve">North and South Region -- Rs. 10,000
East and West Region -- Rs. 5,000
Fill on your own. If unclear, attend class or watch the video
</t>
      </text>
    </comment>
    <comment authorId="0" ref="D495">
      <text>
        <t xml:space="preserve">Mr. or Ms.
Depending on Male or Female
Fill on your own. If unclear, attend class or watch the video</t>
      </text>
    </comment>
    <comment authorId="0" ref="E495">
      <text>
        <t xml:space="preserve">Salutation + Name
Fill on your own. If unclear, attend class or watch the video</t>
      </text>
    </comment>
    <comment authorId="0" ref="G495">
      <text>
        <t xml:space="preserve">Fill on your own. If unclear, attend class or watch the video</t>
      </text>
    </comment>
    <comment authorId="0" ref="J495">
      <text>
        <t xml:space="preserve">North and South Region -- Rs. 10,000
East and West Region -- Rs. 5,000
Fill on your own. If unclear, attend class or watch the video
</t>
      </text>
    </comment>
    <comment authorId="0" ref="D496">
      <text>
        <t xml:space="preserve">Mr. or Ms.
Depending on Male or Female
Fill on your own. If unclear, attend class or watch the video</t>
      </text>
    </comment>
    <comment authorId="0" ref="E496">
      <text>
        <t xml:space="preserve">Salutation + Name
Fill on your own. If unclear, attend class or watch the video</t>
      </text>
    </comment>
    <comment authorId="0" ref="G496">
      <text>
        <t xml:space="preserve">Fill on your own. If unclear, attend class or watch the video</t>
      </text>
    </comment>
    <comment authorId="0" ref="J496">
      <text>
        <t xml:space="preserve">North and South Region -- Rs. 10,000
East and West Region -- Rs. 5,000
Fill on your own. If unclear, attend class or watch the video
</t>
      </text>
    </comment>
    <comment authorId="0" ref="D497">
      <text>
        <t xml:space="preserve">Mr. or Ms.
Depending on Male or Female
Fill on your own. If unclear, attend class or watch the video</t>
      </text>
    </comment>
    <comment authorId="0" ref="E497">
      <text>
        <t xml:space="preserve">Salutation + Name
Fill on your own. If unclear, attend class or watch the video</t>
      </text>
    </comment>
    <comment authorId="0" ref="G497">
      <text>
        <t xml:space="preserve">Fill on your own. If unclear, attend class or watch the video</t>
      </text>
    </comment>
    <comment authorId="0" ref="J497">
      <text>
        <t xml:space="preserve">North and South Region -- Rs. 10,000
East and West Region -- Rs. 5,000
Fill on your own. If unclear, attend class or watch the video
</t>
      </text>
    </comment>
    <comment authorId="0" ref="D498">
      <text>
        <t xml:space="preserve">Mr. or Ms.
Depending on Male or Female
Fill on your own. If unclear, attend class or watch the video</t>
      </text>
    </comment>
    <comment authorId="0" ref="E498">
      <text>
        <t xml:space="preserve">Salutation + Name
Fill on your own. If unclear, attend class or watch the video</t>
      </text>
    </comment>
    <comment authorId="0" ref="G498">
      <text>
        <t xml:space="preserve">Fill on your own. If unclear, attend class or watch the video</t>
      </text>
    </comment>
    <comment authorId="0" ref="J498">
      <text>
        <t xml:space="preserve">North and South Region -- Rs. 10,000
East and West Region -- Rs. 5,000
Fill on your own. If unclear, attend class or watch the video
</t>
      </text>
    </comment>
    <comment authorId="0" ref="D499">
      <text>
        <t xml:space="preserve">Mr. or Ms.
Depending on Male or Female
Fill on your own. If unclear, attend class or watch the video</t>
      </text>
    </comment>
    <comment authorId="0" ref="E499">
      <text>
        <t xml:space="preserve">Salutation + Name
Fill on your own. If unclear, attend class or watch the video</t>
      </text>
    </comment>
    <comment authorId="0" ref="G499">
      <text>
        <t xml:space="preserve">Fill on your own. If unclear, attend class or watch the video</t>
      </text>
    </comment>
    <comment authorId="0" ref="J499">
      <text>
        <t xml:space="preserve">North and South Region -- Rs. 10,000
East and West Region -- Rs. 5,000
Fill on your own. If unclear, attend class or watch the video
</t>
      </text>
    </comment>
    <comment authorId="0" ref="D500">
      <text>
        <t xml:space="preserve">Mr. or Ms.
Depending on Male or Female
Fill on your own. If unclear, attend class or watch the video</t>
      </text>
    </comment>
    <comment authorId="0" ref="E500">
      <text>
        <t xml:space="preserve">Salutation + Name
Fill on your own. If unclear, attend class or watch the video</t>
      </text>
    </comment>
    <comment authorId="0" ref="G500">
      <text>
        <t xml:space="preserve">Fill on your own. If unclear, attend class or watch the video</t>
      </text>
    </comment>
    <comment authorId="0" ref="J500">
      <text>
        <t xml:space="preserve">North and South Region -- Rs. 10,000
East and West Region -- Rs. 5,000
Fill on your own. If unclear, attend class or watch the video
</t>
      </text>
    </comment>
    <comment authorId="0" ref="D501">
      <text>
        <t xml:space="preserve">Mr. or Ms.
Depending on Male or Female
Fill on your own. If unclear, attend class or watch the video</t>
      </text>
    </comment>
    <comment authorId="0" ref="E501">
      <text>
        <t xml:space="preserve">Salutation + Name
Fill on your own. If unclear, attend class or watch the video</t>
      </text>
    </comment>
    <comment authorId="0" ref="G501">
      <text>
        <t xml:space="preserve">Fill on your own. If unclear, attend class or watch the video</t>
      </text>
    </comment>
    <comment authorId="0" ref="J501">
      <text>
        <t xml:space="preserve">North and South Region -- Rs. 10,000
East and West Region -- Rs. 5,000
Fill on your own. If unclear, attend class or watch the video
</t>
      </text>
    </comment>
    <comment authorId="0" ref="D502">
      <text>
        <t xml:space="preserve">Mr. or Ms.
Depending on Male or Female
Fill on your own. If unclear, attend class or watch the video</t>
      </text>
    </comment>
    <comment authorId="0" ref="E502">
      <text>
        <t xml:space="preserve">Salutation + Name
Fill on your own. If unclear, attend class or watch the video</t>
      </text>
    </comment>
    <comment authorId="0" ref="G502">
      <text>
        <t xml:space="preserve">Fill on your own. If unclear, attend class or watch the video</t>
      </text>
    </comment>
    <comment authorId="0" ref="J502">
      <text>
        <t xml:space="preserve">North and South Region -- Rs. 10,000
East and West Region -- Rs. 5,000
Fill on your own. If unclear, attend class or watch the video
</t>
      </text>
    </comment>
    <comment authorId="0" ref="D503">
      <text>
        <t xml:space="preserve">Mr. or Ms.
Depending on Male or Female
Fill on your own. If unclear, attend class or watch the video</t>
      </text>
    </comment>
    <comment authorId="0" ref="E503">
      <text>
        <t xml:space="preserve">Salutation + Name
Fill on your own. If unclear, attend class or watch the video</t>
      </text>
    </comment>
    <comment authorId="0" ref="G503">
      <text>
        <t xml:space="preserve">Fill on your own. If unclear, attend class or watch the video</t>
      </text>
    </comment>
    <comment authorId="0" ref="J503">
      <text>
        <t xml:space="preserve">North and South Region -- Rs. 10,000
East and West Region -- Rs. 5,000
Fill on your own. If unclear, attend class or watch the video
</t>
      </text>
    </comment>
    <comment authorId="0" ref="D504">
      <text>
        <t xml:space="preserve">Mr. or Ms.
Depending on Male or Female
Fill on your own. If unclear, attend class or watch the video</t>
      </text>
    </comment>
    <comment authorId="0" ref="E504">
      <text>
        <t xml:space="preserve">Salutation + Name
Fill on your own. If unclear, attend class or watch the video</t>
      </text>
    </comment>
    <comment authorId="0" ref="G504">
      <text>
        <t xml:space="preserve">Fill on your own. If unclear, attend class or watch the video</t>
      </text>
    </comment>
    <comment authorId="0" ref="J504">
      <text>
        <t xml:space="preserve">North and South Region -- Rs. 10,000
East and West Region -- Rs. 5,000
Fill on your own. If unclear, attend class or watch the video
</t>
      </text>
    </comment>
    <comment authorId="0" ref="D505">
      <text>
        <t xml:space="preserve">Mr. or Ms.
Depending on Male or Female
Fill on your own. If unclear, attend class or watch the video</t>
      </text>
    </comment>
    <comment authorId="0" ref="E505">
      <text>
        <t xml:space="preserve">Salutation + Name
Fill on your own. If unclear, attend class or watch the video</t>
      </text>
    </comment>
    <comment authorId="0" ref="G505">
      <text>
        <t xml:space="preserve">Fill on your own. If unclear, attend class or watch the video</t>
      </text>
    </comment>
    <comment authorId="0" ref="J505">
      <text>
        <t xml:space="preserve">North and South Region -- Rs. 10,000
East and West Region -- Rs. 5,000
Fill on your own. If unclear, attend class or watch the video
</t>
      </text>
    </comment>
    <comment authorId="0" ref="D506">
      <text>
        <t xml:space="preserve">Mr. or Ms.
Depending on Male or Female
Fill on your own. If unclear, attend class or watch the video</t>
      </text>
    </comment>
    <comment authorId="0" ref="E506">
      <text>
        <t xml:space="preserve">Salutation + Name
Fill on your own. If unclear, attend class or watch the video</t>
      </text>
    </comment>
    <comment authorId="0" ref="G506">
      <text>
        <t xml:space="preserve">Fill on your own. If unclear, attend class or watch the video</t>
      </text>
    </comment>
    <comment authorId="0" ref="J506">
      <text>
        <t xml:space="preserve">North and South Region -- Rs. 10,000
East and West Region -- Rs. 5,000
Fill on your own. If unclear, attend class or watch the video
</t>
      </text>
    </comment>
    <comment authorId="0" ref="D507">
      <text>
        <t xml:space="preserve">Mr. or Ms.
Depending on Male or Female
Fill on your own. If unclear, attend class or watch the video</t>
      </text>
    </comment>
    <comment authorId="0" ref="E507">
      <text>
        <t xml:space="preserve">Salutation + Name
Fill on your own. If unclear, attend class or watch the video</t>
      </text>
    </comment>
    <comment authorId="0" ref="G507">
      <text>
        <t xml:space="preserve">Fill on your own. If unclear, attend class or watch the video</t>
      </text>
    </comment>
    <comment authorId="0" ref="J507">
      <text>
        <t xml:space="preserve">North and South Region -- Rs. 10,000
East and West Region -- Rs. 5,000
Fill on your own. If unclear, attend class or watch the video
</t>
      </text>
    </comment>
    <comment authorId="0" ref="D508">
      <text>
        <t xml:space="preserve">Mr. or Ms.
Depending on Male or Female
Fill on your own. If unclear, attend class or watch the video</t>
      </text>
    </comment>
    <comment authorId="0" ref="E508">
      <text>
        <t xml:space="preserve">Salutation + Name
Fill on your own. If unclear, attend class or watch the video</t>
      </text>
    </comment>
    <comment authorId="0" ref="G508">
      <text>
        <t xml:space="preserve">Fill on your own. If unclear, attend class or watch the video</t>
      </text>
    </comment>
    <comment authorId="0" ref="J508">
      <text>
        <t xml:space="preserve">North and South Region -- Rs. 10,000
East and West Region -- Rs. 5,000
Fill on your own. If unclear, attend class or watch the video
</t>
      </text>
    </comment>
    <comment authorId="0" ref="D509">
      <text>
        <t xml:space="preserve">Mr. or Ms.
Depending on Male or Female
Fill on your own. If unclear, attend class or watch the video</t>
      </text>
    </comment>
    <comment authorId="0" ref="E509">
      <text>
        <t xml:space="preserve">Salutation + Name
Fill on your own. If unclear, attend class or watch the video</t>
      </text>
    </comment>
    <comment authorId="0" ref="G509">
      <text>
        <t xml:space="preserve">Fill on your own. If unclear, attend class or watch the video</t>
      </text>
    </comment>
    <comment authorId="0" ref="J509">
      <text>
        <t xml:space="preserve">North and South Region -- Rs. 10,000
East and West Region -- Rs. 5,000
Fill on your own. If unclear, attend class or watch the video
</t>
      </text>
    </comment>
    <comment authorId="0" ref="D510">
      <text>
        <t xml:space="preserve">Mr. or Ms.
Depending on Male or Female
Fill on your own. If unclear, attend class or watch the video</t>
      </text>
    </comment>
    <comment authorId="0" ref="E510">
      <text>
        <t xml:space="preserve">Salutation + Name
Fill on your own. If unclear, attend class or watch the video</t>
      </text>
    </comment>
    <comment authorId="0" ref="G510">
      <text>
        <t xml:space="preserve">Fill on your own. If unclear, attend class or watch the video</t>
      </text>
    </comment>
    <comment authorId="0" ref="J510">
      <text>
        <t xml:space="preserve">North and South Region -- Rs. 10,000
East and West Region -- Rs. 5,000
Fill on your own. If unclear, attend class or watch the video
</t>
      </text>
    </comment>
    <comment authorId="0" ref="D511">
      <text>
        <t xml:space="preserve">Mr. or Ms.
Depending on Male or Female
Fill on your own. If unclear, attend class or watch the video</t>
      </text>
    </comment>
    <comment authorId="0" ref="E511">
      <text>
        <t xml:space="preserve">Salutation + Name
Fill on your own. If unclear, attend class or watch the video</t>
      </text>
    </comment>
    <comment authorId="0" ref="G511">
      <text>
        <t xml:space="preserve">Fill on your own. If unclear, attend class or watch the video</t>
      </text>
    </comment>
    <comment authorId="0" ref="J511">
      <text>
        <t xml:space="preserve">North and South Region -- Rs. 10,000
East and West Region -- Rs. 5,000
Fill on your own. If unclear, attend class or watch the video
</t>
      </text>
    </comment>
    <comment authorId="0" ref="D512">
      <text>
        <t xml:space="preserve">Mr. or Ms.
Depending on Male or Female
Fill on your own. If unclear, attend class or watch the video</t>
      </text>
    </comment>
    <comment authorId="0" ref="E512">
      <text>
        <t xml:space="preserve">Salutation + Name
Fill on your own. If unclear, attend class or watch the video</t>
      </text>
    </comment>
    <comment authorId="0" ref="G512">
      <text>
        <t xml:space="preserve">Fill on your own. If unclear, attend class or watch the video</t>
      </text>
    </comment>
    <comment authorId="0" ref="J512">
      <text>
        <t xml:space="preserve">North and South Region -- Rs. 10,000
East and West Region -- Rs. 5,000
Fill on your own. If unclear, attend class or watch the video
</t>
      </text>
    </comment>
    <comment authorId="0" ref="D513">
      <text>
        <t xml:space="preserve">Mr. or Ms.
Depending on Male or Female
Fill on your own. If unclear, attend class or watch the video</t>
      </text>
    </comment>
    <comment authorId="0" ref="E513">
      <text>
        <t xml:space="preserve">Salutation + Name
Fill on your own. If unclear, attend class or watch the video</t>
      </text>
    </comment>
    <comment authorId="0" ref="G513">
      <text>
        <t xml:space="preserve">Fill on your own. If unclear, attend class or watch the video</t>
      </text>
    </comment>
    <comment authorId="0" ref="J513">
      <text>
        <t xml:space="preserve">North and South Region -- Rs. 10,000
East and West Region -- Rs. 5,000
Fill on your own. If unclear, attend class or watch the video
</t>
      </text>
    </comment>
    <comment authorId="0" ref="D514">
      <text>
        <t xml:space="preserve">Mr. or Ms.
Depending on Male or Female
Fill on your own. If unclear, attend class or watch the video</t>
      </text>
    </comment>
    <comment authorId="0" ref="E514">
      <text>
        <t xml:space="preserve">Salutation + Name
Fill on your own. If unclear, attend class or watch the video</t>
      </text>
    </comment>
    <comment authorId="0" ref="G514">
      <text>
        <t xml:space="preserve">Fill on your own. If unclear, attend class or watch the video</t>
      </text>
    </comment>
    <comment authorId="0" ref="J514">
      <text>
        <t xml:space="preserve">North and South Region -- Rs. 10,000
East and West Region -- Rs. 5,000
Fill on your own. If unclear, attend class or watch the video
</t>
      </text>
    </comment>
    <comment authorId="0" ref="D515">
      <text>
        <t xml:space="preserve">Mr. or Ms.
Depending on Male or Female
Fill on your own. If unclear, attend class or watch the video</t>
      </text>
    </comment>
    <comment authorId="0" ref="E515">
      <text>
        <t xml:space="preserve">Salutation + Name
Fill on your own. If unclear, attend class or watch the video</t>
      </text>
    </comment>
    <comment authorId="0" ref="G515">
      <text>
        <t xml:space="preserve">Fill on your own. If unclear, attend class or watch the video</t>
      </text>
    </comment>
    <comment authorId="0" ref="J515">
      <text>
        <t xml:space="preserve">North and South Region -- Rs. 10,000
East and West Region -- Rs. 5,000
Fill on your own. If unclear, attend class or watch the video
</t>
      </text>
    </comment>
    <comment authorId="0" ref="D516">
      <text>
        <t xml:space="preserve">Mr. or Ms.
Depending on Male or Female
Fill on your own. If unclear, attend class or watch the video</t>
      </text>
    </comment>
    <comment authorId="0" ref="E516">
      <text>
        <t xml:space="preserve">Salutation + Name
Fill on your own. If unclear, attend class or watch the video</t>
      </text>
    </comment>
    <comment authorId="0" ref="G516">
      <text>
        <t xml:space="preserve">Fill on your own. If unclear, attend class or watch the video</t>
      </text>
    </comment>
    <comment authorId="0" ref="J516">
      <text>
        <t xml:space="preserve">North and South Region -- Rs. 10,000
East and West Region -- Rs. 5,000
Fill on your own. If unclear, attend class or watch the video
</t>
      </text>
    </comment>
    <comment authorId="0" ref="D517">
      <text>
        <t xml:space="preserve">Mr. or Ms.
Depending on Male or Female
Fill on your own. If unclear, attend class or watch the video</t>
      </text>
    </comment>
    <comment authorId="0" ref="E517">
      <text>
        <t xml:space="preserve">Salutation + Name
Fill on your own. If unclear, attend class or watch the video</t>
      </text>
    </comment>
    <comment authorId="0" ref="G517">
      <text>
        <t xml:space="preserve">Fill on your own. If unclear, attend class or watch the video</t>
      </text>
    </comment>
    <comment authorId="0" ref="J517">
      <text>
        <t xml:space="preserve">North and South Region -- Rs. 10,000
East and West Region -- Rs. 5,000
Fill on your own. If unclear, attend class or watch the video
</t>
      </text>
    </comment>
    <comment authorId="0" ref="D518">
      <text>
        <t xml:space="preserve">Mr. or Ms.
Depending on Male or Female
Fill on your own. If unclear, attend class or watch the video</t>
      </text>
    </comment>
    <comment authorId="0" ref="E518">
      <text>
        <t xml:space="preserve">Salutation + Name
Fill on your own. If unclear, attend class or watch the video</t>
      </text>
    </comment>
    <comment authorId="0" ref="G518">
      <text>
        <t xml:space="preserve">Fill on your own. If unclear, attend class or watch the video</t>
      </text>
    </comment>
    <comment authorId="0" ref="J518">
      <text>
        <t xml:space="preserve">North and South Region -- Rs. 10,000
East and West Region -- Rs. 5,000
Fill on your own. If unclear, attend class or watch the video
</t>
      </text>
    </comment>
    <comment authorId="0" ref="D519">
      <text>
        <t xml:space="preserve">Mr. or Ms.
Depending on Male or Female
Fill on your own. If unclear, attend class or watch the video</t>
      </text>
    </comment>
    <comment authorId="0" ref="E519">
      <text>
        <t xml:space="preserve">Salutation + Name
Fill on your own. If unclear, attend class or watch the video</t>
      </text>
    </comment>
    <comment authorId="0" ref="G519">
      <text>
        <t xml:space="preserve">Fill on your own. If unclear, attend class or watch the video</t>
      </text>
    </comment>
    <comment authorId="0" ref="J519">
      <text>
        <t xml:space="preserve">North and South Region -- Rs. 10,000
East and West Region -- Rs. 5,000
Fill on your own. If unclear, attend class or watch the video
</t>
      </text>
    </comment>
    <comment authorId="0" ref="D520">
      <text>
        <t xml:space="preserve">Mr. or Ms.
Depending on Male or Female
Fill on your own. If unclear, attend class or watch the video</t>
      </text>
    </comment>
    <comment authorId="0" ref="E520">
      <text>
        <t xml:space="preserve">Salutation + Name
Fill on your own. If unclear, attend class or watch the video</t>
      </text>
    </comment>
    <comment authorId="0" ref="G520">
      <text>
        <t xml:space="preserve">Fill on your own. If unclear, attend class or watch the video</t>
      </text>
    </comment>
    <comment authorId="0" ref="J520">
      <text>
        <t xml:space="preserve">North and South Region -- Rs. 10,000
East and West Region -- Rs. 5,000
Fill on your own. If unclear, attend class or watch the video
</t>
      </text>
    </comment>
    <comment authorId="0" ref="D521">
      <text>
        <t xml:space="preserve">Mr. or Ms.
Depending on Male or Female
Fill on your own. If unclear, attend class or watch the video</t>
      </text>
    </comment>
    <comment authorId="0" ref="E521">
      <text>
        <t xml:space="preserve">Salutation + Name
Fill on your own. If unclear, attend class or watch the video</t>
      </text>
    </comment>
    <comment authorId="0" ref="G521">
      <text>
        <t xml:space="preserve">Fill on your own. If unclear, attend class or watch the video</t>
      </text>
    </comment>
    <comment authorId="0" ref="J521">
      <text>
        <t xml:space="preserve">North and South Region -- Rs. 10,000
East and West Region -- Rs. 5,000
Fill on your own. If unclear, attend class or watch the video
</t>
      </text>
    </comment>
    <comment authorId="0" ref="D522">
      <text>
        <t xml:space="preserve">Mr. or Ms.
Depending on Male or Female
Fill on your own. If unclear, attend class or watch the video</t>
      </text>
    </comment>
    <comment authorId="0" ref="E522">
      <text>
        <t xml:space="preserve">Salutation + Name
Fill on your own. If unclear, attend class or watch the video</t>
      </text>
    </comment>
    <comment authorId="0" ref="G522">
      <text>
        <t xml:space="preserve">Fill on your own. If unclear, attend class or watch the video</t>
      </text>
    </comment>
    <comment authorId="0" ref="J522">
      <text>
        <t xml:space="preserve">North and South Region -- Rs. 10,000
East and West Region -- Rs. 5,000
Fill on your own. If unclear, attend class or watch the video
</t>
      </text>
    </comment>
    <comment authorId="0" ref="D523">
      <text>
        <t xml:space="preserve">Mr. or Ms.
Depending on Male or Female
Fill on your own. If unclear, attend class or watch the video</t>
      </text>
    </comment>
    <comment authorId="0" ref="E523">
      <text>
        <t xml:space="preserve">Salutation + Name
Fill on your own. If unclear, attend class or watch the video</t>
      </text>
    </comment>
    <comment authorId="0" ref="G523">
      <text>
        <t xml:space="preserve">Fill on your own. If unclear, attend class or watch the video</t>
      </text>
    </comment>
    <comment authorId="0" ref="J523">
      <text>
        <t xml:space="preserve">North and South Region -- Rs. 10,000
East and West Region -- Rs. 5,000
Fill on your own. If unclear, attend class or watch the video
</t>
      </text>
    </comment>
    <comment authorId="0" ref="D524">
      <text>
        <t xml:space="preserve">Mr. or Ms.
Depending on Male or Female
Fill on your own. If unclear, attend class or watch the video</t>
      </text>
    </comment>
    <comment authorId="0" ref="E524">
      <text>
        <t xml:space="preserve">Salutation + Name
Fill on your own. If unclear, attend class or watch the video</t>
      </text>
    </comment>
    <comment authorId="0" ref="G524">
      <text>
        <t xml:space="preserve">Fill on your own. If unclear, attend class or watch the video</t>
      </text>
    </comment>
    <comment authorId="0" ref="J524">
      <text>
        <t xml:space="preserve">North and South Region -- Rs. 10,000
East and West Region -- Rs. 5,000
Fill on your own. If unclear, attend class or watch the video
</t>
      </text>
    </comment>
    <comment authorId="0" ref="D525">
      <text>
        <t xml:space="preserve">Mr. or Ms.
Depending on Male or Female
Fill on your own. If unclear, attend class or watch the video</t>
      </text>
    </comment>
    <comment authorId="0" ref="E525">
      <text>
        <t xml:space="preserve">Salutation + Name
Fill on your own. If unclear, attend class or watch the video</t>
      </text>
    </comment>
    <comment authorId="0" ref="G525">
      <text>
        <t xml:space="preserve">Fill on your own. If unclear, attend class or watch the video</t>
      </text>
    </comment>
    <comment authorId="0" ref="J525">
      <text>
        <t xml:space="preserve">North and South Region -- Rs. 10,000
East and West Region -- Rs. 5,000
Fill on your own. If unclear, attend class or watch the video
</t>
      </text>
    </comment>
    <comment authorId="0" ref="D526">
      <text>
        <t xml:space="preserve">Mr. or Ms.
Depending on Male or Female
Fill on your own. If unclear, attend class or watch the video</t>
      </text>
    </comment>
    <comment authorId="0" ref="E526">
      <text>
        <t xml:space="preserve">Salutation + Name
Fill on your own. If unclear, attend class or watch the video</t>
      </text>
    </comment>
    <comment authorId="0" ref="G526">
      <text>
        <t xml:space="preserve">Fill on your own. If unclear, attend class or watch the video</t>
      </text>
    </comment>
    <comment authorId="0" ref="J526">
      <text>
        <t xml:space="preserve">North and South Region -- Rs. 10,000
East and West Region -- Rs. 5,000
Fill on your own. If unclear, attend class or watch the video
</t>
      </text>
    </comment>
    <comment authorId="0" ref="D527">
      <text>
        <t xml:space="preserve">Mr. or Ms.
Depending on Male or Female
Fill on your own. If unclear, attend class or watch the video</t>
      </text>
    </comment>
    <comment authorId="0" ref="E527">
      <text>
        <t xml:space="preserve">Salutation + Name
Fill on your own. If unclear, attend class or watch the video</t>
      </text>
    </comment>
    <comment authorId="0" ref="G527">
      <text>
        <t xml:space="preserve">Fill on your own. If unclear, attend class or watch the video</t>
      </text>
    </comment>
    <comment authorId="0" ref="J527">
      <text>
        <t xml:space="preserve">North and South Region -- Rs. 10,000
East and West Region -- Rs. 5,000
Fill on your own. If unclear, attend class or watch the video
</t>
      </text>
    </comment>
    <comment authorId="0" ref="D528">
      <text>
        <t xml:space="preserve">Mr. or Ms.
Depending on Male or Female
Fill on your own. If unclear, attend class or watch the video</t>
      </text>
    </comment>
    <comment authorId="0" ref="E528">
      <text>
        <t xml:space="preserve">Salutation + Name
Fill on your own. If unclear, attend class or watch the video</t>
      </text>
    </comment>
    <comment authorId="0" ref="G528">
      <text>
        <t xml:space="preserve">Fill on your own. If unclear, attend class or watch the video</t>
      </text>
    </comment>
    <comment authorId="0" ref="J528">
      <text>
        <t xml:space="preserve">North and South Region -- Rs. 10,000
East and West Region -- Rs. 5,000
Fill on your own. If unclear, attend class or watch the video
</t>
      </text>
    </comment>
    <comment authorId="0" ref="D529">
      <text>
        <t xml:space="preserve">Mr. or Ms.
Depending on Male or Female
Fill on your own. If unclear, attend class or watch the video</t>
      </text>
    </comment>
    <comment authorId="0" ref="E529">
      <text>
        <t xml:space="preserve">Salutation + Name
Fill on your own. If unclear, attend class or watch the video</t>
      </text>
    </comment>
    <comment authorId="0" ref="G529">
      <text>
        <t xml:space="preserve">Fill on your own. If unclear, attend class or watch the video</t>
      </text>
    </comment>
    <comment authorId="0" ref="J529">
      <text>
        <t xml:space="preserve">North and South Region -- Rs. 10,000
East and West Region -- Rs. 5,000
Fill on your own. If unclear, attend class or watch the video
</t>
      </text>
    </comment>
    <comment authorId="0" ref="D530">
      <text>
        <t xml:space="preserve">Mr. or Ms.
Depending on Male or Female
Fill on your own. If unclear, attend class or watch the video</t>
      </text>
    </comment>
    <comment authorId="0" ref="E530">
      <text>
        <t xml:space="preserve">Salutation + Name
Fill on your own. If unclear, attend class or watch the video</t>
      </text>
    </comment>
    <comment authorId="0" ref="G530">
      <text>
        <t xml:space="preserve">Fill on your own. If unclear, attend class or watch the video</t>
      </text>
    </comment>
    <comment authorId="0" ref="J530">
      <text>
        <t xml:space="preserve">North and South Region -- Rs. 10,000
East and West Region -- Rs. 5,000
Fill on your own. If unclear, attend class or watch the video
</t>
      </text>
    </comment>
    <comment authorId="0" ref="D531">
      <text>
        <t xml:space="preserve">Mr. or Ms.
Depending on Male or Female
Fill on your own. If unclear, attend class or watch the video</t>
      </text>
    </comment>
    <comment authorId="0" ref="E531">
      <text>
        <t xml:space="preserve">Salutation + Name
Fill on your own. If unclear, attend class or watch the video</t>
      </text>
    </comment>
    <comment authorId="0" ref="G531">
      <text>
        <t xml:space="preserve">Fill on your own. If unclear, attend class or watch the video</t>
      </text>
    </comment>
    <comment authorId="0" ref="J531">
      <text>
        <t xml:space="preserve">North and South Region -- Rs. 10,000
East and West Region -- Rs. 5,000
Fill on your own. If unclear, attend class or watch the video
</t>
      </text>
    </comment>
    <comment authorId="0" ref="D532">
      <text>
        <t xml:space="preserve">Mr. or Ms.
Depending on Male or Female
Fill on your own. If unclear, attend class or watch the video</t>
      </text>
    </comment>
    <comment authorId="0" ref="E532">
      <text>
        <t xml:space="preserve">Salutation + Name
Fill on your own. If unclear, attend class or watch the video</t>
      </text>
    </comment>
    <comment authorId="0" ref="G532">
      <text>
        <t xml:space="preserve">Fill on your own. If unclear, attend class or watch the video</t>
      </text>
    </comment>
    <comment authorId="0" ref="J532">
      <text>
        <t xml:space="preserve">North and South Region -- Rs. 10,000
East and West Region -- Rs. 5,000
Fill on your own. If unclear, attend class or watch the video
</t>
      </text>
    </comment>
    <comment authorId="0" ref="D533">
      <text>
        <t xml:space="preserve">Mr. or Ms.
Depending on Male or Female
Fill on your own. If unclear, attend class or watch the video</t>
      </text>
    </comment>
    <comment authorId="0" ref="E533">
      <text>
        <t xml:space="preserve">Salutation + Name
Fill on your own. If unclear, attend class or watch the video</t>
      </text>
    </comment>
    <comment authorId="0" ref="G533">
      <text>
        <t xml:space="preserve">Fill on your own. If unclear, attend class or watch the video</t>
      </text>
    </comment>
    <comment authorId="0" ref="J533">
      <text>
        <t xml:space="preserve">North and South Region -- Rs. 10,000
East and West Region -- Rs. 5,000
Fill on your own. If unclear, attend class or watch the video
</t>
      </text>
    </comment>
    <comment authorId="0" ref="D534">
      <text>
        <t xml:space="preserve">Mr. or Ms.
Depending on Male or Female
Fill on your own. If unclear, attend class or watch the video</t>
      </text>
    </comment>
    <comment authorId="0" ref="E534">
      <text>
        <t xml:space="preserve">Salutation + Name
Fill on your own. If unclear, attend class or watch the video</t>
      </text>
    </comment>
    <comment authorId="0" ref="G534">
      <text>
        <t xml:space="preserve">Fill on your own. If unclear, attend class or watch the video</t>
      </text>
    </comment>
    <comment authorId="0" ref="J534">
      <text>
        <t xml:space="preserve">North and South Region -- Rs. 10,000
East and West Region -- Rs. 5,000
Fill on your own. If unclear, attend class or watch the video
</t>
      </text>
    </comment>
    <comment authorId="0" ref="D535">
      <text>
        <t xml:space="preserve">Mr. or Ms.
Depending on Male or Female
Fill on your own. If unclear, attend class or watch the video</t>
      </text>
    </comment>
    <comment authorId="0" ref="E535">
      <text>
        <t xml:space="preserve">Salutation + Name
Fill on your own. If unclear, attend class or watch the video</t>
      </text>
    </comment>
    <comment authorId="0" ref="G535">
      <text>
        <t xml:space="preserve">Fill on your own. If unclear, attend class or watch the video</t>
      </text>
    </comment>
    <comment authorId="0" ref="J535">
      <text>
        <t xml:space="preserve">North and South Region -- Rs. 10,000
East and West Region -- Rs. 5,000
Fill on your own. If unclear, attend class or watch the video
</t>
      </text>
    </comment>
    <comment authorId="0" ref="D536">
      <text>
        <t xml:space="preserve">Mr. or Ms.
Depending on Male or Female
Fill on your own. If unclear, attend class or watch the video</t>
      </text>
    </comment>
    <comment authorId="0" ref="E536">
      <text>
        <t xml:space="preserve">Salutation + Name
Fill on your own. If unclear, attend class or watch the video</t>
      </text>
    </comment>
    <comment authorId="0" ref="G536">
      <text>
        <t xml:space="preserve">Fill on your own. If unclear, attend class or watch the video</t>
      </text>
    </comment>
    <comment authorId="0" ref="J536">
      <text>
        <t xml:space="preserve">North and South Region -- Rs. 10,000
East and West Region -- Rs. 5,000
Fill on your own. If unclear, attend class or watch the video
</t>
      </text>
    </comment>
    <comment authorId="0" ref="D537">
      <text>
        <t xml:space="preserve">Mr. or Ms.
Depending on Male or Female
Fill on your own. If unclear, attend class or watch the video</t>
      </text>
    </comment>
    <comment authorId="0" ref="E537">
      <text>
        <t xml:space="preserve">Salutation + Name
Fill on your own. If unclear, attend class or watch the video</t>
      </text>
    </comment>
    <comment authorId="0" ref="G537">
      <text>
        <t xml:space="preserve">Fill on your own. If unclear, attend class or watch the video</t>
      </text>
    </comment>
    <comment authorId="0" ref="J537">
      <text>
        <t xml:space="preserve">North and South Region -- Rs. 10,000
East and West Region -- Rs. 5,000
Fill on your own. If unclear, attend class or watch the video
</t>
      </text>
    </comment>
    <comment authorId="0" ref="D538">
      <text>
        <t xml:space="preserve">Mr. or Ms.
Depending on Male or Female
Fill on your own. If unclear, attend class or watch the video</t>
      </text>
    </comment>
    <comment authorId="0" ref="E538">
      <text>
        <t xml:space="preserve">Salutation + Name
Fill on your own. If unclear, attend class or watch the video</t>
      </text>
    </comment>
    <comment authorId="0" ref="G538">
      <text>
        <t xml:space="preserve">Fill on your own. If unclear, attend class or watch the video</t>
      </text>
    </comment>
    <comment authorId="0" ref="J538">
      <text>
        <t xml:space="preserve">North and South Region -- Rs. 10,000
East and West Region -- Rs. 5,000
Fill on your own. If unclear, attend class or watch the video
</t>
      </text>
    </comment>
    <comment authorId="0" ref="D539">
      <text>
        <t xml:space="preserve">Mr. or Ms.
Depending on Male or Female
Fill on your own. If unclear, attend class or watch the video</t>
      </text>
    </comment>
    <comment authorId="0" ref="E539">
      <text>
        <t xml:space="preserve">Salutation + Name
Fill on your own. If unclear, attend class or watch the video</t>
      </text>
    </comment>
    <comment authorId="0" ref="G539">
      <text>
        <t xml:space="preserve">Fill on your own. If unclear, attend class or watch the video</t>
      </text>
    </comment>
    <comment authorId="0" ref="J539">
      <text>
        <t xml:space="preserve">North and South Region -- Rs. 10,000
East and West Region -- Rs. 5,000
Fill on your own. If unclear, attend class or watch the video
</t>
      </text>
    </comment>
    <comment authorId="0" ref="D540">
      <text>
        <t xml:space="preserve">Mr. or Ms.
Depending on Male or Female
Fill on your own. If unclear, attend class or watch the video</t>
      </text>
    </comment>
    <comment authorId="0" ref="E540">
      <text>
        <t xml:space="preserve">Salutation + Name
Fill on your own. If unclear, attend class or watch the video</t>
      </text>
    </comment>
    <comment authorId="0" ref="G540">
      <text>
        <t xml:space="preserve">Fill on your own. If unclear, attend class or watch the video</t>
      </text>
    </comment>
    <comment authorId="0" ref="J540">
      <text>
        <t xml:space="preserve">North and South Region -- Rs. 10,000
East and West Region -- Rs. 5,000
Fill on your own. If unclear, attend class or watch the video
</t>
      </text>
    </comment>
    <comment authorId="0" ref="D541">
      <text>
        <t xml:space="preserve">Mr. or Ms.
Depending on Male or Female
Fill on your own. If unclear, attend class or watch the video</t>
      </text>
    </comment>
    <comment authorId="0" ref="E541">
      <text>
        <t xml:space="preserve">Salutation + Name
Fill on your own. If unclear, attend class or watch the video</t>
      </text>
    </comment>
    <comment authorId="0" ref="G541">
      <text>
        <t xml:space="preserve">Fill on your own. If unclear, attend class or watch the video</t>
      </text>
    </comment>
    <comment authorId="0" ref="J541">
      <text>
        <t xml:space="preserve">North and South Region -- Rs. 10,000
East and West Region -- Rs. 5,000
Fill on your own. If unclear, attend class or watch the video
</t>
      </text>
    </comment>
    <comment authorId="0" ref="D542">
      <text>
        <t xml:space="preserve">Mr. or Ms.
Depending on Male or Female
Fill on your own. If unclear, attend class or watch the video</t>
      </text>
    </comment>
    <comment authorId="0" ref="E542">
      <text>
        <t xml:space="preserve">Salutation + Name
Fill on your own. If unclear, attend class or watch the video</t>
      </text>
    </comment>
    <comment authorId="0" ref="G542">
      <text>
        <t xml:space="preserve">Fill on your own. If unclear, attend class or watch the video</t>
      </text>
    </comment>
    <comment authorId="0" ref="J542">
      <text>
        <t xml:space="preserve">North and South Region -- Rs. 10,000
East and West Region -- Rs. 5,000
Fill on your own. If unclear, attend class or watch the video
</t>
      </text>
    </comment>
    <comment authorId="0" ref="D543">
      <text>
        <t xml:space="preserve">Mr. or Ms.
Depending on Male or Female
Fill on your own. If unclear, attend class or watch the video</t>
      </text>
    </comment>
    <comment authorId="0" ref="E543">
      <text>
        <t xml:space="preserve">Salutation + Name
Fill on your own. If unclear, attend class or watch the video</t>
      </text>
    </comment>
    <comment authorId="0" ref="G543">
      <text>
        <t xml:space="preserve">Fill on your own. If unclear, attend class or watch the video</t>
      </text>
    </comment>
    <comment authorId="0" ref="J543">
      <text>
        <t xml:space="preserve">North and South Region -- Rs. 10,000
East and West Region -- Rs. 5,000
Fill on your own. If unclear, attend class or watch the video
</t>
      </text>
    </comment>
    <comment authorId="0" ref="D544">
      <text>
        <t xml:space="preserve">Mr. or Ms.
Depending on Male or Female
Fill on your own. If unclear, attend class or watch the video</t>
      </text>
    </comment>
    <comment authorId="0" ref="E544">
      <text>
        <t xml:space="preserve">Salutation + Name
Fill on your own. If unclear, attend class or watch the video</t>
      </text>
    </comment>
    <comment authorId="0" ref="G544">
      <text>
        <t xml:space="preserve">Fill on your own. If unclear, attend class or watch the video</t>
      </text>
    </comment>
    <comment authorId="0" ref="J544">
      <text>
        <t xml:space="preserve">North and South Region -- Rs. 10,000
East and West Region -- Rs. 5,000
Fill on your own. If unclear, attend class or watch the video
</t>
      </text>
    </comment>
    <comment authorId="0" ref="D545">
      <text>
        <t xml:space="preserve">Mr. or Ms.
Depending on Male or Female
Fill on your own. If unclear, attend class or watch the video</t>
      </text>
    </comment>
    <comment authorId="0" ref="E545">
      <text>
        <t xml:space="preserve">Salutation + Name
Fill on your own. If unclear, attend class or watch the video</t>
      </text>
    </comment>
    <comment authorId="0" ref="G545">
      <text>
        <t xml:space="preserve">Fill on your own. If unclear, attend class or watch the video</t>
      </text>
    </comment>
    <comment authorId="0" ref="J545">
      <text>
        <t xml:space="preserve">North and South Region -- Rs. 10,000
East and West Region -- Rs. 5,000
Fill on your own. If unclear, attend class or watch the video
</t>
      </text>
    </comment>
    <comment authorId="0" ref="D546">
      <text>
        <t xml:space="preserve">Mr. or Ms.
Depending on Male or Female
Fill on your own. If unclear, attend class or watch the video</t>
      </text>
    </comment>
    <comment authorId="0" ref="E546">
      <text>
        <t xml:space="preserve">Salutation + Name
Fill on your own. If unclear, attend class or watch the video</t>
      </text>
    </comment>
    <comment authorId="0" ref="G546">
      <text>
        <t xml:space="preserve">Fill on your own. If unclear, attend class or watch the video</t>
      </text>
    </comment>
    <comment authorId="0" ref="J546">
      <text>
        <t xml:space="preserve">North and South Region -- Rs. 10,000
East and West Region -- Rs. 5,000
Fill on your own. If unclear, attend class or watch the video
</t>
      </text>
    </comment>
    <comment authorId="0" ref="D547">
      <text>
        <t xml:space="preserve">Mr. or Ms.
Depending on Male or Female
Fill on your own. If unclear, attend class or watch the video</t>
      </text>
    </comment>
    <comment authorId="0" ref="E547">
      <text>
        <t xml:space="preserve">Salutation + Name
Fill on your own. If unclear, attend class or watch the video</t>
      </text>
    </comment>
    <comment authorId="0" ref="G547">
      <text>
        <t xml:space="preserve">Fill on your own. If unclear, attend class or watch the video</t>
      </text>
    </comment>
    <comment authorId="0" ref="J547">
      <text>
        <t xml:space="preserve">North and South Region -- Rs. 10,000
East and West Region -- Rs. 5,000
Fill on your own. If unclear, attend class or watch the video
</t>
      </text>
    </comment>
    <comment authorId="0" ref="D548">
      <text>
        <t xml:space="preserve">Mr. or Ms.
Depending on Male or Female
Fill on your own. If unclear, attend class or watch the video</t>
      </text>
    </comment>
    <comment authorId="0" ref="E548">
      <text>
        <t xml:space="preserve">Salutation + Name
Fill on your own. If unclear, attend class or watch the video</t>
      </text>
    </comment>
    <comment authorId="0" ref="G548">
      <text>
        <t xml:space="preserve">Fill on your own. If unclear, attend class or watch the video</t>
      </text>
    </comment>
    <comment authorId="0" ref="J548">
      <text>
        <t xml:space="preserve">North and South Region -- Rs. 10,000
East and West Region -- Rs. 5,000
Fill on your own. If unclear, attend class or watch the video
</t>
      </text>
    </comment>
    <comment authorId="0" ref="D549">
      <text>
        <t xml:space="preserve">Mr. or Ms.
Depending on Male or Female
Fill on your own. If unclear, attend class or watch the video</t>
      </text>
    </comment>
    <comment authorId="0" ref="E549">
      <text>
        <t xml:space="preserve">Salutation + Name
Fill on your own. If unclear, attend class or watch the video</t>
      </text>
    </comment>
    <comment authorId="0" ref="G549">
      <text>
        <t xml:space="preserve">Fill on your own. If unclear, attend class or watch the video</t>
      </text>
    </comment>
    <comment authorId="0" ref="J549">
      <text>
        <t xml:space="preserve">North and South Region -- Rs. 10,000
East and West Region -- Rs. 5,000
Fill on your own. If unclear, attend class or watch the video
</t>
      </text>
    </comment>
    <comment authorId="0" ref="D550">
      <text>
        <t xml:space="preserve">Mr. or Ms.
Depending on Male or Female
Fill on your own. If unclear, attend class or watch the video</t>
      </text>
    </comment>
    <comment authorId="0" ref="E550">
      <text>
        <t xml:space="preserve">Salutation + Name
Fill on your own. If unclear, attend class or watch the video</t>
      </text>
    </comment>
    <comment authorId="0" ref="G550">
      <text>
        <t xml:space="preserve">Fill on your own. If unclear, attend class or watch the video</t>
      </text>
    </comment>
    <comment authorId="0" ref="J550">
      <text>
        <t xml:space="preserve">North and South Region -- Rs. 10,000
East and West Region -- Rs. 5,000
Fill on your own. If unclear, attend class or watch the video
</t>
      </text>
    </comment>
    <comment authorId="0" ref="D551">
      <text>
        <t xml:space="preserve">Mr. or Ms.
Depending on Male or Female
Fill on your own. If unclear, attend class or watch the video</t>
      </text>
    </comment>
    <comment authorId="0" ref="E551">
      <text>
        <t xml:space="preserve">Salutation + Name
Fill on your own. If unclear, attend class or watch the video</t>
      </text>
    </comment>
    <comment authorId="0" ref="G551">
      <text>
        <t xml:space="preserve">Fill on your own. If unclear, attend class or watch the video</t>
      </text>
    </comment>
    <comment authorId="0" ref="J551">
      <text>
        <t xml:space="preserve">North and South Region -- Rs. 10,000
East and West Region -- Rs. 5,000
Fill on your own. If unclear, attend class or watch the video
</t>
      </text>
    </comment>
    <comment authorId="0" ref="D552">
      <text>
        <t xml:space="preserve">Mr. or Ms.
Depending on Male or Female
Fill on your own. If unclear, attend class or watch the video</t>
      </text>
    </comment>
    <comment authorId="0" ref="E552">
      <text>
        <t xml:space="preserve">Salutation + Name
Fill on your own. If unclear, attend class or watch the video</t>
      </text>
    </comment>
    <comment authorId="0" ref="G552">
      <text>
        <t xml:space="preserve">Fill on your own. If unclear, attend class or watch the video</t>
      </text>
    </comment>
    <comment authorId="0" ref="J552">
      <text>
        <t xml:space="preserve">North and South Region -- Rs. 10,000
East and West Region -- Rs. 5,000
Fill on your own. If unclear, attend class or watch the video
</t>
      </text>
    </comment>
    <comment authorId="0" ref="D553">
      <text>
        <t xml:space="preserve">Mr. or Ms.
Depending on Male or Female
Fill on your own. If unclear, attend class or watch the video</t>
      </text>
    </comment>
    <comment authorId="0" ref="E553">
      <text>
        <t xml:space="preserve">Salutation + Name
Fill on your own. If unclear, attend class or watch the video</t>
      </text>
    </comment>
    <comment authorId="0" ref="G553">
      <text>
        <t xml:space="preserve">Fill on your own. If unclear, attend class or watch the video</t>
      </text>
    </comment>
    <comment authorId="0" ref="J553">
      <text>
        <t xml:space="preserve">North and South Region -- Rs. 10,000
East and West Region -- Rs. 5,000
Fill on your own. If unclear, attend class or watch the video
</t>
      </text>
    </comment>
    <comment authorId="0" ref="D554">
      <text>
        <t xml:space="preserve">Mr. or Ms.
Depending on Male or Female
Fill on your own. If unclear, attend class or watch the video</t>
      </text>
    </comment>
    <comment authorId="0" ref="E554">
      <text>
        <t xml:space="preserve">Salutation + Name
Fill on your own. If unclear, attend class or watch the video</t>
      </text>
    </comment>
    <comment authorId="0" ref="G554">
      <text>
        <t xml:space="preserve">Fill on your own. If unclear, attend class or watch the video</t>
      </text>
    </comment>
    <comment authorId="0" ref="J554">
      <text>
        <t xml:space="preserve">North and South Region -- Rs. 10,000
East and West Region -- Rs. 5,000
Fill on your own. If unclear, attend class or watch the video
</t>
      </text>
    </comment>
    <comment authorId="0" ref="D555">
      <text>
        <t xml:space="preserve">Mr. or Ms.
Depending on Male or Female
Fill on your own. If unclear, attend class or watch the video</t>
      </text>
    </comment>
    <comment authorId="0" ref="E555">
      <text>
        <t xml:space="preserve">Salutation + Name
Fill on your own. If unclear, attend class or watch the video</t>
      </text>
    </comment>
    <comment authorId="0" ref="G555">
      <text>
        <t xml:space="preserve">Fill on your own. If unclear, attend class or watch the video</t>
      </text>
    </comment>
    <comment authorId="0" ref="J555">
      <text>
        <t xml:space="preserve">North and South Region -- Rs. 10,000
East and West Region -- Rs. 5,000
Fill on your own. If unclear, attend class or watch the video
</t>
      </text>
    </comment>
    <comment authorId="0" ref="D556">
      <text>
        <t xml:space="preserve">Mr. or Ms.
Depending on Male or Female
Fill on your own. If unclear, attend class or watch the video</t>
      </text>
    </comment>
    <comment authorId="0" ref="E556">
      <text>
        <t xml:space="preserve">Salutation + Name
Fill on your own. If unclear, attend class or watch the video</t>
      </text>
    </comment>
    <comment authorId="0" ref="G556">
      <text>
        <t xml:space="preserve">Fill on your own. If unclear, attend class or watch the video</t>
      </text>
    </comment>
    <comment authorId="0" ref="J556">
      <text>
        <t xml:space="preserve">North and South Region -- Rs. 10,000
East and West Region -- Rs. 5,000
Fill on your own. If unclear, attend class or watch the video
</t>
      </text>
    </comment>
    <comment authorId="0" ref="D557">
      <text>
        <t xml:space="preserve">Mr. or Ms.
Depending on Male or Female
Fill on your own. If unclear, attend class or watch the video</t>
      </text>
    </comment>
    <comment authorId="0" ref="E557">
      <text>
        <t xml:space="preserve">Salutation + Name
Fill on your own. If unclear, attend class or watch the video</t>
      </text>
    </comment>
    <comment authorId="0" ref="G557">
      <text>
        <t xml:space="preserve">Fill on your own. If unclear, attend class or watch the video</t>
      </text>
    </comment>
    <comment authorId="0" ref="J557">
      <text>
        <t xml:space="preserve">North and South Region -- Rs. 10,000
East and West Region -- Rs. 5,000
Fill on your own. If unclear, attend class or watch the video
</t>
      </text>
    </comment>
    <comment authorId="0" ref="D558">
      <text>
        <t xml:space="preserve">Mr. or Ms.
Depending on Male or Female
Fill on your own. If unclear, attend class or watch the video</t>
      </text>
    </comment>
    <comment authorId="0" ref="E558">
      <text>
        <t xml:space="preserve">Salutation + Name
Fill on your own. If unclear, attend class or watch the video</t>
      </text>
    </comment>
    <comment authorId="0" ref="G558">
      <text>
        <t xml:space="preserve">Fill on your own. If unclear, attend class or watch the video</t>
      </text>
    </comment>
    <comment authorId="0" ref="J558">
      <text>
        <t xml:space="preserve">North and South Region -- Rs. 10,000
East and West Region -- Rs. 5,000
Fill on your own. If unclear, attend class or watch the video
</t>
      </text>
    </comment>
    <comment authorId="0" ref="D559">
      <text>
        <t xml:space="preserve">Mr. or Ms.
Depending on Male or Female
Fill on your own. If unclear, attend class or watch the video</t>
      </text>
    </comment>
    <comment authorId="0" ref="E559">
      <text>
        <t xml:space="preserve">Salutation + Name
Fill on your own. If unclear, attend class or watch the video</t>
      </text>
    </comment>
    <comment authorId="0" ref="G559">
      <text>
        <t xml:space="preserve">Fill on your own. If unclear, attend class or watch the video</t>
      </text>
    </comment>
    <comment authorId="0" ref="J559">
      <text>
        <t xml:space="preserve">North and South Region -- Rs. 10,000
East and West Region -- Rs. 5,000
Fill on your own. If unclear, attend class or watch the video
</t>
      </text>
    </comment>
    <comment authorId="0" ref="D560">
      <text>
        <t xml:space="preserve">Mr. or Ms.
Depending on Male or Female
Fill on your own. If unclear, attend class or watch the video</t>
      </text>
    </comment>
    <comment authorId="0" ref="E560">
      <text>
        <t xml:space="preserve">Salutation + Name
Fill on your own. If unclear, attend class or watch the video</t>
      </text>
    </comment>
    <comment authorId="0" ref="G560">
      <text>
        <t xml:space="preserve">Fill on your own. If unclear, attend class or watch the video</t>
      </text>
    </comment>
    <comment authorId="0" ref="J560">
      <text>
        <t xml:space="preserve">North and South Region -- Rs. 10,000
East and West Region -- Rs. 5,000
Fill on your own. If unclear, attend class or watch the video
</t>
      </text>
    </comment>
    <comment authorId="0" ref="D561">
      <text>
        <t xml:space="preserve">Mr. or Ms.
Depending on Male or Female
Fill on your own. If unclear, attend class or watch the video</t>
      </text>
    </comment>
    <comment authorId="0" ref="E561">
      <text>
        <t xml:space="preserve">Salutation + Name
Fill on your own. If unclear, attend class or watch the video</t>
      </text>
    </comment>
    <comment authorId="0" ref="G561">
      <text>
        <t xml:space="preserve">Fill on your own. If unclear, attend class or watch the video</t>
      </text>
    </comment>
    <comment authorId="0" ref="J561">
      <text>
        <t xml:space="preserve">North and South Region -- Rs. 10,000
East and West Region -- Rs. 5,000
Fill on your own. If unclear, attend class or watch the video
</t>
      </text>
    </comment>
    <comment authorId="0" ref="D562">
      <text>
        <t xml:space="preserve">Mr. or Ms.
Depending on Male or Female
Fill on your own. If unclear, attend class or watch the video</t>
      </text>
    </comment>
    <comment authorId="0" ref="E562">
      <text>
        <t xml:space="preserve">Salutation + Name
Fill on your own. If unclear, attend class or watch the video</t>
      </text>
    </comment>
    <comment authorId="0" ref="G562">
      <text>
        <t xml:space="preserve">Fill on your own. If unclear, attend class or watch the video</t>
      </text>
    </comment>
    <comment authorId="0" ref="J562">
      <text>
        <t xml:space="preserve">North and South Region -- Rs. 10,000
East and West Region -- Rs. 5,000
Fill on your own. If unclear, attend class or watch the video
</t>
      </text>
    </comment>
    <comment authorId="0" ref="D563">
      <text>
        <t xml:space="preserve">Mr. or Ms.
Depending on Male or Female
Fill on your own. If unclear, attend class or watch the video</t>
      </text>
    </comment>
    <comment authorId="0" ref="E563">
      <text>
        <t xml:space="preserve">Salutation + Name
Fill on your own. If unclear, attend class or watch the video</t>
      </text>
    </comment>
    <comment authorId="0" ref="G563">
      <text>
        <t xml:space="preserve">Fill on your own. If unclear, attend class or watch the video</t>
      </text>
    </comment>
    <comment authorId="0" ref="J563">
      <text>
        <t xml:space="preserve">North and South Region -- Rs. 10,000
East and West Region -- Rs. 5,000
Fill on your own. If unclear, attend class or watch the video
</t>
      </text>
    </comment>
    <comment authorId="0" ref="D564">
      <text>
        <t xml:space="preserve">Mr. or Ms.
Depending on Male or Female
Fill on your own. If unclear, attend class or watch the video</t>
      </text>
    </comment>
    <comment authorId="0" ref="E564">
      <text>
        <t xml:space="preserve">Salutation + Name
Fill on your own. If unclear, attend class or watch the video</t>
      </text>
    </comment>
    <comment authorId="0" ref="G564">
      <text>
        <t xml:space="preserve">Fill on your own. If unclear, attend class or watch the video</t>
      </text>
    </comment>
    <comment authorId="0" ref="J564">
      <text>
        <t xml:space="preserve">North and South Region -- Rs. 10,000
East and West Region -- Rs. 5,000
Fill on your own. If unclear, attend class or watch the video
</t>
      </text>
    </comment>
    <comment authorId="0" ref="D565">
      <text>
        <t xml:space="preserve">Mr. or Ms.
Depending on Male or Female
Fill on your own. If unclear, attend class or watch the video</t>
      </text>
    </comment>
    <comment authorId="0" ref="E565">
      <text>
        <t xml:space="preserve">Salutation + Name
Fill on your own. If unclear, attend class or watch the video</t>
      </text>
    </comment>
    <comment authorId="0" ref="G565">
      <text>
        <t xml:space="preserve">Fill on your own. If unclear, attend class or watch the video</t>
      </text>
    </comment>
    <comment authorId="0" ref="J565">
      <text>
        <t xml:space="preserve">North and South Region -- Rs. 10,000
East and West Region -- Rs. 5,000
Fill on your own. If unclear, attend class or watch the video
</t>
      </text>
    </comment>
    <comment authorId="0" ref="D566">
      <text>
        <t xml:space="preserve">Mr. or Ms.
Depending on Male or Female
Fill on your own. If unclear, attend class or watch the video</t>
      </text>
    </comment>
    <comment authorId="0" ref="E566">
      <text>
        <t xml:space="preserve">Salutation + Name
Fill on your own. If unclear, attend class or watch the video</t>
      </text>
    </comment>
    <comment authorId="0" ref="G566">
      <text>
        <t xml:space="preserve">Fill on your own. If unclear, attend class or watch the video</t>
      </text>
    </comment>
    <comment authorId="0" ref="J566">
      <text>
        <t xml:space="preserve">North and South Region -- Rs. 10,000
East and West Region -- Rs. 5,000
Fill on your own. If unclear, attend class or watch the video
</t>
      </text>
    </comment>
    <comment authorId="0" ref="D567">
      <text>
        <t xml:space="preserve">Mr. or Ms.
Depending on Male or Female
Fill on your own. If unclear, attend class or watch the video</t>
      </text>
    </comment>
    <comment authorId="0" ref="E567">
      <text>
        <t xml:space="preserve">Salutation + Name
Fill on your own. If unclear, attend class or watch the video</t>
      </text>
    </comment>
    <comment authorId="0" ref="G567">
      <text>
        <t xml:space="preserve">Fill on your own. If unclear, attend class or watch the video</t>
      </text>
    </comment>
    <comment authorId="0" ref="J567">
      <text>
        <t xml:space="preserve">North and South Region -- Rs. 10,000
East and West Region -- Rs. 5,000
Fill on your own. If unclear, attend class or watch the video
</t>
      </text>
    </comment>
    <comment authorId="0" ref="D568">
      <text>
        <t xml:space="preserve">Mr. or Ms.
Depending on Male or Female
Fill on your own. If unclear, attend class or watch the video</t>
      </text>
    </comment>
    <comment authorId="0" ref="E568">
      <text>
        <t xml:space="preserve">Salutation + Name
Fill on your own. If unclear, attend class or watch the video</t>
      </text>
    </comment>
    <comment authorId="0" ref="G568">
      <text>
        <t xml:space="preserve">Fill on your own. If unclear, attend class or watch the video</t>
      </text>
    </comment>
    <comment authorId="0" ref="J568">
      <text>
        <t xml:space="preserve">North and South Region -- Rs. 10,000
East and West Region -- Rs. 5,000
Fill on your own. If unclear, attend class or watch the video
</t>
      </text>
    </comment>
    <comment authorId="0" ref="D569">
      <text>
        <t xml:space="preserve">Mr. or Ms.
Depending on Male or Female
Fill on your own. If unclear, attend class or watch the video</t>
      </text>
    </comment>
    <comment authorId="0" ref="E569">
      <text>
        <t xml:space="preserve">Salutation + Name
Fill on your own. If unclear, attend class or watch the video</t>
      </text>
    </comment>
    <comment authorId="0" ref="G569">
      <text>
        <t xml:space="preserve">Fill on your own. If unclear, attend class or watch the video</t>
      </text>
    </comment>
    <comment authorId="0" ref="J569">
      <text>
        <t xml:space="preserve">North and South Region -- Rs. 10,000
East and West Region -- Rs. 5,000
Fill on your own. If unclear, attend class or watch the video
</t>
      </text>
    </comment>
    <comment authorId="0" ref="D570">
      <text>
        <t xml:space="preserve">Mr. or Ms.
Depending on Male or Female
Fill on your own. If unclear, attend class or watch the video</t>
      </text>
    </comment>
    <comment authorId="0" ref="E570">
      <text>
        <t xml:space="preserve">Salutation + Name
Fill on your own. If unclear, attend class or watch the video</t>
      </text>
    </comment>
    <comment authorId="0" ref="G570">
      <text>
        <t xml:space="preserve">Fill on your own. If unclear, attend class or watch the video</t>
      </text>
    </comment>
    <comment authorId="0" ref="J570">
      <text>
        <t xml:space="preserve">North and South Region -- Rs. 10,000
East and West Region -- Rs. 5,000
Fill on your own. If unclear, attend class or watch the video
</t>
      </text>
    </comment>
    <comment authorId="0" ref="D571">
      <text>
        <t xml:space="preserve">Mr. or Ms.
Depending on Male or Female
Fill on your own. If unclear, attend class or watch the video</t>
      </text>
    </comment>
    <comment authorId="0" ref="E571">
      <text>
        <t xml:space="preserve">Salutation + Name
Fill on your own. If unclear, attend class or watch the video</t>
      </text>
    </comment>
    <comment authorId="0" ref="G571">
      <text>
        <t xml:space="preserve">Fill on your own. If unclear, attend class or watch the video</t>
      </text>
    </comment>
    <comment authorId="0" ref="J571">
      <text>
        <t xml:space="preserve">North and South Region -- Rs. 10,000
East and West Region -- Rs. 5,000
Fill on your own. If unclear, attend class or watch the video
</t>
      </text>
    </comment>
    <comment authorId="0" ref="D572">
      <text>
        <t xml:space="preserve">Mr. or Ms.
Depending on Male or Female
Fill on your own. If unclear, attend class or watch the video</t>
      </text>
    </comment>
    <comment authorId="0" ref="E572">
      <text>
        <t xml:space="preserve">Salutation + Name
Fill on your own. If unclear, attend class or watch the video</t>
      </text>
    </comment>
    <comment authorId="0" ref="G572">
      <text>
        <t xml:space="preserve">Fill on your own. If unclear, attend class or watch the video</t>
      </text>
    </comment>
    <comment authorId="0" ref="J572">
      <text>
        <t xml:space="preserve">North and South Region -- Rs. 10,000
East and West Region -- Rs. 5,000
Fill on your own. If unclear, attend class or watch the video
</t>
      </text>
    </comment>
    <comment authorId="0" ref="D573">
      <text>
        <t xml:space="preserve">Mr. or Ms.
Depending on Male or Female
Fill on your own. If unclear, attend class or watch the video</t>
      </text>
    </comment>
    <comment authorId="0" ref="E573">
      <text>
        <t xml:space="preserve">Salutation + Name
Fill on your own. If unclear, attend class or watch the video</t>
      </text>
    </comment>
    <comment authorId="0" ref="G573">
      <text>
        <t xml:space="preserve">Fill on your own. If unclear, attend class or watch the video</t>
      </text>
    </comment>
    <comment authorId="0" ref="J573">
      <text>
        <t xml:space="preserve">North and South Region -- Rs. 10,000
East and West Region -- Rs. 5,000
Fill on your own. If unclear, attend class or watch the video
</t>
      </text>
    </comment>
    <comment authorId="0" ref="D574">
      <text>
        <t xml:space="preserve">Mr. or Ms.
Depending on Male or Female
Fill on your own. If unclear, attend class or watch the video</t>
      </text>
    </comment>
    <comment authorId="0" ref="E574">
      <text>
        <t xml:space="preserve">Salutation + Name
Fill on your own. If unclear, attend class or watch the video</t>
      </text>
    </comment>
    <comment authorId="0" ref="G574">
      <text>
        <t xml:space="preserve">Fill on your own. If unclear, attend class or watch the video</t>
      </text>
    </comment>
    <comment authorId="0" ref="J574">
      <text>
        <t xml:space="preserve">North and South Region -- Rs. 10,000
East and West Region -- Rs. 5,000
Fill on your own. If unclear, attend class or watch the video
</t>
      </text>
    </comment>
    <comment authorId="0" ref="D575">
      <text>
        <t xml:space="preserve">Mr. or Ms.
Depending on Male or Female
Fill on your own. If unclear, attend class or watch the video</t>
      </text>
    </comment>
    <comment authorId="0" ref="E575">
      <text>
        <t xml:space="preserve">Salutation + Name
Fill on your own. If unclear, attend class or watch the video</t>
      </text>
    </comment>
    <comment authorId="0" ref="G575">
      <text>
        <t xml:space="preserve">Fill on your own. If unclear, attend class or watch the video</t>
      </text>
    </comment>
    <comment authorId="0" ref="J575">
      <text>
        <t xml:space="preserve">North and South Region -- Rs. 10,000
East and West Region -- Rs. 5,000
Fill on your own. If unclear, attend class or watch the video
</t>
      </text>
    </comment>
    <comment authorId="0" ref="D576">
      <text>
        <t xml:space="preserve">Mr. or Ms.
Depending on Male or Female
Fill on your own. If unclear, attend class or watch the video</t>
      </text>
    </comment>
    <comment authorId="0" ref="E576">
      <text>
        <t xml:space="preserve">Salutation + Name
Fill on your own. If unclear, attend class or watch the video</t>
      </text>
    </comment>
    <comment authorId="0" ref="G576">
      <text>
        <t xml:space="preserve">Fill on your own. If unclear, attend class or watch the video</t>
      </text>
    </comment>
    <comment authorId="0" ref="J576">
      <text>
        <t xml:space="preserve">North and South Region -- Rs. 10,000
East and West Region -- Rs. 5,000
Fill on your own. If unclear, attend class or watch the video
</t>
      </text>
    </comment>
    <comment authorId="0" ref="D577">
      <text>
        <t xml:space="preserve">Mr. or Ms.
Depending on Male or Female
Fill on your own. If unclear, attend class or watch the video</t>
      </text>
    </comment>
    <comment authorId="0" ref="E577">
      <text>
        <t xml:space="preserve">Salutation + Name
Fill on your own. If unclear, attend class or watch the video</t>
      </text>
    </comment>
    <comment authorId="0" ref="G577">
      <text>
        <t xml:space="preserve">Fill on your own. If unclear, attend class or watch the video</t>
      </text>
    </comment>
    <comment authorId="0" ref="J577">
      <text>
        <t xml:space="preserve">North and South Region -- Rs. 10,000
East and West Region -- Rs. 5,000
Fill on your own. If unclear, attend class or watch the video
</t>
      </text>
    </comment>
    <comment authorId="0" ref="D578">
      <text>
        <t xml:space="preserve">Mr. or Ms.
Depending on Male or Female
Fill on your own. If unclear, attend class or watch the video</t>
      </text>
    </comment>
    <comment authorId="0" ref="E578">
      <text>
        <t xml:space="preserve">Salutation + Name
Fill on your own. If unclear, attend class or watch the video</t>
      </text>
    </comment>
    <comment authorId="0" ref="G578">
      <text>
        <t xml:space="preserve">Fill on your own. If unclear, attend class or watch the video</t>
      </text>
    </comment>
    <comment authorId="0" ref="J578">
      <text>
        <t xml:space="preserve">North and South Region -- Rs. 10,000
East and West Region -- Rs. 5,000
Fill on your own. If unclear, attend class or watch the video
</t>
      </text>
    </comment>
    <comment authorId="0" ref="D579">
      <text>
        <t xml:space="preserve">Mr. or Ms.
Depending on Male or Female
Fill on your own. If unclear, attend class or watch the video</t>
      </text>
    </comment>
    <comment authorId="0" ref="E579">
      <text>
        <t xml:space="preserve">Salutation + Name
Fill on your own. If unclear, attend class or watch the video</t>
      </text>
    </comment>
    <comment authorId="0" ref="G579">
      <text>
        <t xml:space="preserve">Fill on your own. If unclear, attend class or watch the video</t>
      </text>
    </comment>
    <comment authorId="0" ref="J579">
      <text>
        <t xml:space="preserve">North and South Region -- Rs. 10,000
East and West Region -- Rs. 5,000
Fill on your own. If unclear, attend class or watch the video
</t>
      </text>
    </comment>
    <comment authorId="0" ref="D580">
      <text>
        <t xml:space="preserve">Mr. or Ms.
Depending on Male or Female
Fill on your own. If unclear, attend class or watch the video</t>
      </text>
    </comment>
    <comment authorId="0" ref="E580">
      <text>
        <t xml:space="preserve">Salutation + Name
Fill on your own. If unclear, attend class or watch the video</t>
      </text>
    </comment>
    <comment authorId="0" ref="G580">
      <text>
        <t xml:space="preserve">Fill on your own. If unclear, attend class or watch the video</t>
      </text>
    </comment>
    <comment authorId="0" ref="J580">
      <text>
        <t xml:space="preserve">North and South Region -- Rs. 10,000
East and West Region -- Rs. 5,000
Fill on your own. If unclear, attend class or watch the video
</t>
      </text>
    </comment>
    <comment authorId="0" ref="D581">
      <text>
        <t xml:space="preserve">Mr. or Ms.
Depending on Male or Female
Fill on your own. If unclear, attend class or watch the video</t>
      </text>
    </comment>
    <comment authorId="0" ref="E581">
      <text>
        <t xml:space="preserve">Salutation + Name
Fill on your own. If unclear, attend class or watch the video</t>
      </text>
    </comment>
    <comment authorId="0" ref="G581">
      <text>
        <t xml:space="preserve">Fill on your own. If unclear, attend class or watch the video</t>
      </text>
    </comment>
    <comment authorId="0" ref="J581">
      <text>
        <t xml:space="preserve">North and South Region -- Rs. 10,000
East and West Region -- Rs. 5,000
Fill on your own. If unclear, attend class or watch the video
</t>
      </text>
    </comment>
    <comment authorId="0" ref="D582">
      <text>
        <t xml:space="preserve">Mr. or Ms.
Depending on Male or Female
Fill on your own. If unclear, attend class or watch the video</t>
      </text>
    </comment>
    <comment authorId="0" ref="E582">
      <text>
        <t xml:space="preserve">Salutation + Name
Fill on your own. If unclear, attend class or watch the video</t>
      </text>
    </comment>
    <comment authorId="0" ref="G582">
      <text>
        <t xml:space="preserve">Fill on your own. If unclear, attend class or watch the video</t>
      </text>
    </comment>
    <comment authorId="0" ref="J582">
      <text>
        <t xml:space="preserve">North and South Region -- Rs. 10,000
East and West Region -- Rs. 5,000
Fill on your own. If unclear, attend class or watch the video
</t>
      </text>
    </comment>
    <comment authorId="0" ref="D583">
      <text>
        <t xml:space="preserve">Mr. or Ms.
Depending on Male or Female
Fill on your own. If unclear, attend class or watch the video</t>
      </text>
    </comment>
    <comment authorId="0" ref="E583">
      <text>
        <t xml:space="preserve">Salutation + Name
Fill on your own. If unclear, attend class or watch the video</t>
      </text>
    </comment>
    <comment authorId="0" ref="G583">
      <text>
        <t xml:space="preserve">Fill on your own. If unclear, attend class or watch the video</t>
      </text>
    </comment>
    <comment authorId="0" ref="J583">
      <text>
        <t xml:space="preserve">North and South Region -- Rs. 10,000
East and West Region -- Rs. 5,000
Fill on your own. If unclear, attend class or watch the video
</t>
      </text>
    </comment>
    <comment authorId="0" ref="D584">
      <text>
        <t xml:space="preserve">Mr. or Ms.
Depending on Male or Female
Fill on your own. If unclear, attend class or watch the video</t>
      </text>
    </comment>
    <comment authorId="0" ref="E584">
      <text>
        <t xml:space="preserve">Salutation + Name
Fill on your own. If unclear, attend class or watch the video</t>
      </text>
    </comment>
    <comment authorId="0" ref="G584">
      <text>
        <t xml:space="preserve">Fill on your own. If unclear, attend class or watch the video</t>
      </text>
    </comment>
    <comment authorId="0" ref="J584">
      <text>
        <t xml:space="preserve">North and South Region -- Rs. 10,000
East and West Region -- Rs. 5,000
Fill on your own. If unclear, attend class or watch the video
</t>
      </text>
    </comment>
    <comment authorId="0" ref="D585">
      <text>
        <t xml:space="preserve">Mr. or Ms.
Depending on Male or Female
Fill on your own. If unclear, attend class or watch the video</t>
      </text>
    </comment>
    <comment authorId="0" ref="E585">
      <text>
        <t xml:space="preserve">Salutation + Name
Fill on your own. If unclear, attend class or watch the video</t>
      </text>
    </comment>
    <comment authorId="0" ref="G585">
      <text>
        <t xml:space="preserve">Fill on your own. If unclear, attend class or watch the video</t>
      </text>
    </comment>
    <comment authorId="0" ref="J585">
      <text>
        <t xml:space="preserve">North and South Region -- Rs. 10,000
East and West Region -- Rs. 5,000
Fill on your own. If unclear, attend class or watch the video
</t>
      </text>
    </comment>
    <comment authorId="0" ref="D586">
      <text>
        <t xml:space="preserve">Mr. or Ms.
Depending on Male or Female
Fill on your own. If unclear, attend class or watch the video</t>
      </text>
    </comment>
    <comment authorId="0" ref="E586">
      <text>
        <t xml:space="preserve">Salutation + Name
Fill on your own. If unclear, attend class or watch the video</t>
      </text>
    </comment>
    <comment authorId="0" ref="G586">
      <text>
        <t xml:space="preserve">Fill on your own. If unclear, attend class or watch the video</t>
      </text>
    </comment>
    <comment authorId="0" ref="J586">
      <text>
        <t xml:space="preserve">North and South Region -- Rs. 10,000
East and West Region -- Rs. 5,000
Fill on your own. If unclear, attend class or watch the video
</t>
      </text>
    </comment>
    <comment authorId="0" ref="D587">
      <text>
        <t xml:space="preserve">Mr. or Ms.
Depending on Male or Female
Fill on your own. If unclear, attend class or watch the video</t>
      </text>
    </comment>
    <comment authorId="0" ref="E587">
      <text>
        <t xml:space="preserve">Salutation + Name
Fill on your own. If unclear, attend class or watch the video</t>
      </text>
    </comment>
    <comment authorId="0" ref="G587">
      <text>
        <t xml:space="preserve">Fill on your own. If unclear, attend class or watch the video</t>
      </text>
    </comment>
    <comment authorId="0" ref="J587">
      <text>
        <t xml:space="preserve">North and South Region -- Rs. 10,000
East and West Region -- Rs. 5,000
Fill on your own. If unclear, attend class or watch the video
</t>
      </text>
    </comment>
    <comment authorId="0" ref="D588">
      <text>
        <t xml:space="preserve">Mr. or Ms.
Depending on Male or Female
Fill on your own. If unclear, attend class or watch the video</t>
      </text>
    </comment>
    <comment authorId="0" ref="E588">
      <text>
        <t xml:space="preserve">Salutation + Name
Fill on your own. If unclear, attend class or watch the video</t>
      </text>
    </comment>
    <comment authorId="0" ref="G588">
      <text>
        <t xml:space="preserve">Fill on your own. If unclear, attend class or watch the video</t>
      </text>
    </comment>
    <comment authorId="0" ref="J588">
      <text>
        <t xml:space="preserve">North and South Region -- Rs. 10,000
East and West Region -- Rs. 5,000
Fill on your own. If unclear, attend class or watch the video
</t>
      </text>
    </comment>
    <comment authorId="0" ref="D589">
      <text>
        <t xml:space="preserve">Mr. or Ms.
Depending on Male or Female
Fill on your own. If unclear, attend class or watch the video</t>
      </text>
    </comment>
    <comment authorId="0" ref="E589">
      <text>
        <t xml:space="preserve">Salutation + Name
Fill on your own. If unclear, attend class or watch the video</t>
      </text>
    </comment>
    <comment authorId="0" ref="G589">
      <text>
        <t xml:space="preserve">Fill on your own. If unclear, attend class or watch the video</t>
      </text>
    </comment>
    <comment authorId="0" ref="J589">
      <text>
        <t xml:space="preserve">North and South Region -- Rs. 10,000
East and West Region -- Rs. 5,000
Fill on your own. If unclear, attend class or watch the video
</t>
      </text>
    </comment>
    <comment authorId="0" ref="D590">
      <text>
        <t xml:space="preserve">Mr. or Ms.
Depending on Male or Female
Fill on your own. If unclear, attend class or watch the video</t>
      </text>
    </comment>
    <comment authorId="0" ref="E590">
      <text>
        <t xml:space="preserve">Salutation + Name
Fill on your own. If unclear, attend class or watch the video</t>
      </text>
    </comment>
    <comment authorId="0" ref="G590">
      <text>
        <t xml:space="preserve">Fill on your own. If unclear, attend class or watch the video</t>
      </text>
    </comment>
    <comment authorId="0" ref="J590">
      <text>
        <t xml:space="preserve">North and South Region -- Rs. 10,000
East and West Region -- Rs. 5,000
Fill on your own. If unclear, attend class or watch the video
</t>
      </text>
    </comment>
    <comment authorId="0" ref="D591">
      <text>
        <t xml:space="preserve">Mr. or Ms.
Depending on Male or Female
Fill on your own. If unclear, attend class or watch the video</t>
      </text>
    </comment>
    <comment authorId="0" ref="E591">
      <text>
        <t xml:space="preserve">Salutation + Name
Fill on your own. If unclear, attend class or watch the video</t>
      </text>
    </comment>
    <comment authorId="0" ref="G591">
      <text>
        <t xml:space="preserve">Fill on your own. If unclear, attend class or watch the video</t>
      </text>
    </comment>
    <comment authorId="0" ref="J591">
      <text>
        <t xml:space="preserve">North and South Region -- Rs. 10,000
East and West Region -- Rs. 5,000
Fill on your own. If unclear, attend class or watch the video
</t>
      </text>
    </comment>
    <comment authorId="0" ref="D592">
      <text>
        <t xml:space="preserve">Mr. or Ms.
Depending on Male or Female
Fill on your own. If unclear, attend class or watch the video</t>
      </text>
    </comment>
    <comment authorId="0" ref="E592">
      <text>
        <t xml:space="preserve">Salutation + Name
Fill on your own. If unclear, attend class or watch the video</t>
      </text>
    </comment>
    <comment authorId="0" ref="G592">
      <text>
        <t xml:space="preserve">Fill on your own. If unclear, attend class or watch the video</t>
      </text>
    </comment>
    <comment authorId="0" ref="J592">
      <text>
        <t xml:space="preserve">North and South Region -- Rs. 10,000
East and West Region -- Rs. 5,000
Fill on your own. If unclear, attend class or watch the video
</t>
      </text>
    </comment>
    <comment authorId="0" ref="D593">
      <text>
        <t xml:space="preserve">Mr. or Ms.
Depending on Male or Female
Fill on your own. If unclear, attend class or watch the video</t>
      </text>
    </comment>
    <comment authorId="0" ref="E593">
      <text>
        <t xml:space="preserve">Salutation + Name
Fill on your own. If unclear, attend class or watch the video</t>
      </text>
    </comment>
    <comment authorId="0" ref="G593">
      <text>
        <t xml:space="preserve">Fill on your own. If unclear, attend class or watch the video</t>
      </text>
    </comment>
    <comment authorId="0" ref="J593">
      <text>
        <t xml:space="preserve">North and South Region -- Rs. 10,000
East and West Region -- Rs. 5,000
Fill on your own. If unclear, attend class or watch the video
</t>
      </text>
    </comment>
    <comment authorId="0" ref="D594">
      <text>
        <t xml:space="preserve">Mr. or Ms.
Depending on Male or Female
Fill on your own. If unclear, attend class or watch the video</t>
      </text>
    </comment>
    <comment authorId="0" ref="E594">
      <text>
        <t xml:space="preserve">Salutation + Name
Fill on your own. If unclear, attend class or watch the video</t>
      </text>
    </comment>
    <comment authorId="0" ref="G594">
      <text>
        <t xml:space="preserve">Fill on your own. If unclear, attend class or watch the video</t>
      </text>
    </comment>
    <comment authorId="0" ref="J594">
      <text>
        <t xml:space="preserve">North and South Region -- Rs. 10,000
East and West Region -- Rs. 5,000
Fill on your own. If unclear, attend class or watch the video
</t>
      </text>
    </comment>
    <comment authorId="0" ref="D595">
      <text>
        <t xml:space="preserve">Mr. or Ms.
Depending on Male or Female
Fill on your own. If unclear, attend class or watch the video</t>
      </text>
    </comment>
    <comment authorId="0" ref="E595">
      <text>
        <t xml:space="preserve">Salutation + Name
Fill on your own. If unclear, attend class or watch the video</t>
      </text>
    </comment>
    <comment authorId="0" ref="G595">
      <text>
        <t xml:space="preserve">Fill on your own. If unclear, attend class or watch the video</t>
      </text>
    </comment>
    <comment authorId="0" ref="J595">
      <text>
        <t xml:space="preserve">North and South Region -- Rs. 10,000
East and West Region -- Rs. 5,000
Fill on your own. If unclear, attend class or watch the video
</t>
      </text>
    </comment>
    <comment authorId="0" ref="D596">
      <text>
        <t xml:space="preserve">Mr. or Ms.
Depending on Male or Female
Fill on your own. If unclear, attend class or watch the video</t>
      </text>
    </comment>
    <comment authorId="0" ref="E596">
      <text>
        <t xml:space="preserve">Salutation + Name
Fill on your own. If unclear, attend class or watch the video</t>
      </text>
    </comment>
    <comment authorId="0" ref="G596">
      <text>
        <t xml:space="preserve">Fill on your own. If unclear, attend class or watch the video</t>
      </text>
    </comment>
    <comment authorId="0" ref="J596">
      <text>
        <t xml:space="preserve">North and South Region -- Rs. 10,000
East and West Region -- Rs. 5,000
Fill on your own. If unclear, attend class or watch the video
</t>
      </text>
    </comment>
    <comment authorId="0" ref="D597">
      <text>
        <t xml:space="preserve">Mr. or Ms.
Depending on Male or Female
Fill on your own. If unclear, attend class or watch the video</t>
      </text>
    </comment>
    <comment authorId="0" ref="E597">
      <text>
        <t xml:space="preserve">Salutation + Name
Fill on your own. If unclear, attend class or watch the video</t>
      </text>
    </comment>
    <comment authorId="0" ref="G597">
      <text>
        <t xml:space="preserve">Fill on your own. If unclear, attend class or watch the video</t>
      </text>
    </comment>
    <comment authorId="0" ref="J597">
      <text>
        <t xml:space="preserve">North and South Region -- Rs. 10,000
East and West Region -- Rs. 5,000
Fill on your own. If unclear, attend class or watch the video
</t>
      </text>
    </comment>
    <comment authorId="0" ref="D598">
      <text>
        <t xml:space="preserve">Mr. or Ms.
Depending on Male or Female
Fill on your own. If unclear, attend class or watch the video</t>
      </text>
    </comment>
    <comment authorId="0" ref="E598">
      <text>
        <t xml:space="preserve">Salutation + Name
Fill on your own. If unclear, attend class or watch the video</t>
      </text>
    </comment>
    <comment authorId="0" ref="G598">
      <text>
        <t xml:space="preserve">Fill on your own. If unclear, attend class or watch the video</t>
      </text>
    </comment>
    <comment authorId="0" ref="J598">
      <text>
        <t xml:space="preserve">North and South Region -- Rs. 10,000
East and West Region -- Rs. 5,000
Fill on your own. If unclear, attend class or watch the video
</t>
      </text>
    </comment>
    <comment authorId="0" ref="D599">
      <text>
        <t xml:space="preserve">Mr. or Ms.
Depending on Male or Female
Fill on your own. If unclear, attend class or watch the video</t>
      </text>
    </comment>
    <comment authorId="0" ref="E599">
      <text>
        <t xml:space="preserve">Salutation + Name
Fill on your own. If unclear, attend class or watch the video</t>
      </text>
    </comment>
    <comment authorId="0" ref="G599">
      <text>
        <t xml:space="preserve">Fill on your own. If unclear, attend class or watch the video</t>
      </text>
    </comment>
    <comment authorId="0" ref="J599">
      <text>
        <t xml:space="preserve">North and South Region -- Rs. 10,000
East and West Region -- Rs. 5,000
Fill on your own. If unclear, attend class or watch the video
</t>
      </text>
    </comment>
    <comment authorId="0" ref="D600">
      <text>
        <t xml:space="preserve">Mr. or Ms.
Depending on Male or Female
Fill on your own. If unclear, attend class or watch the video</t>
      </text>
    </comment>
    <comment authorId="0" ref="E600">
      <text>
        <t xml:space="preserve">Salutation + Name
Fill on your own. If unclear, attend class or watch the video</t>
      </text>
    </comment>
    <comment authorId="0" ref="G600">
      <text>
        <t xml:space="preserve">Fill on your own. If unclear, attend class or watch the video</t>
      </text>
    </comment>
    <comment authorId="0" ref="J600">
      <text>
        <t xml:space="preserve">North and South Region -- Rs. 10,000
East and West Region -- Rs. 5,000
Fill on your own. If unclear, attend class or watch the video
</t>
      </text>
    </comment>
    <comment authorId="0" ref="D601">
      <text>
        <t xml:space="preserve">Mr. or Ms.
Depending on Male or Female
Fill on your own. If unclear, attend class or watch the video</t>
      </text>
    </comment>
    <comment authorId="0" ref="E601">
      <text>
        <t xml:space="preserve">Salutation + Name
Fill on your own. If unclear, attend class or watch the video</t>
      </text>
    </comment>
    <comment authorId="0" ref="G601">
      <text>
        <t xml:space="preserve">Fill on your own. If unclear, attend class or watch the video</t>
      </text>
    </comment>
    <comment authorId="0" ref="J601">
      <text>
        <t xml:space="preserve">North and South Region -- Rs. 10,000
East and West Region -- Rs. 5,000
Fill on your own. If unclear, attend class or watch the video
</t>
      </text>
    </comment>
    <comment authorId="0" ref="D602">
      <text>
        <t xml:space="preserve">Mr. or Ms.
Depending on Male or Female
Fill on your own. If unclear, attend class or watch the video</t>
      </text>
    </comment>
    <comment authorId="0" ref="E602">
      <text>
        <t xml:space="preserve">Salutation + Name
Fill on your own. If unclear, attend class or watch the video</t>
      </text>
    </comment>
    <comment authorId="0" ref="G602">
      <text>
        <t xml:space="preserve">Fill on your own. If unclear, attend class or watch the video</t>
      </text>
    </comment>
    <comment authorId="0" ref="J602">
      <text>
        <t xml:space="preserve">North and South Region -- Rs. 10,000
East and West Region -- Rs. 5,000
Fill on your own. If unclear, attend class or watch the video
</t>
      </text>
    </comment>
    <comment authorId="0" ref="D603">
      <text>
        <t xml:space="preserve">Mr. or Ms.
Depending on Male or Female
Fill on your own. If unclear, attend class or watch the video</t>
      </text>
    </comment>
    <comment authorId="0" ref="E603">
      <text>
        <t xml:space="preserve">Salutation + Name
Fill on your own. If unclear, attend class or watch the video</t>
      </text>
    </comment>
    <comment authorId="0" ref="G603">
      <text>
        <t xml:space="preserve">Fill on your own. If unclear, attend class or watch the video</t>
      </text>
    </comment>
    <comment authorId="0" ref="J603">
      <text>
        <t xml:space="preserve">North and South Region -- Rs. 10,000
East and West Region -- Rs. 5,000
Fill on your own. If unclear, attend class or watch the video
</t>
      </text>
    </comment>
    <comment authorId="0" ref="D604">
      <text>
        <t xml:space="preserve">Mr. or Ms.
Depending on Male or Female
Fill on your own. If unclear, attend class or watch the video</t>
      </text>
    </comment>
    <comment authorId="0" ref="E604">
      <text>
        <t xml:space="preserve">Salutation + Name
Fill on your own. If unclear, attend class or watch the video</t>
      </text>
    </comment>
    <comment authorId="0" ref="G604">
      <text>
        <t xml:space="preserve">Fill on your own. If unclear, attend class or watch the video</t>
      </text>
    </comment>
    <comment authorId="0" ref="J604">
      <text>
        <t xml:space="preserve">North and South Region -- Rs. 10,000
East and West Region -- Rs. 5,000
Fill on your own. If unclear, attend class or watch the video
</t>
      </text>
    </comment>
    <comment authorId="0" ref="D605">
      <text>
        <t xml:space="preserve">Mr. or Ms.
Depending on Male or Female
Fill on your own. If unclear, attend class or watch the video</t>
      </text>
    </comment>
    <comment authorId="0" ref="E605">
      <text>
        <t xml:space="preserve">Salutation + Name
Fill on your own. If unclear, attend class or watch the video</t>
      </text>
    </comment>
    <comment authorId="0" ref="G605">
      <text>
        <t xml:space="preserve">Fill on your own. If unclear, attend class or watch the video</t>
      </text>
    </comment>
    <comment authorId="0" ref="J605">
      <text>
        <t xml:space="preserve">North and South Region -- Rs. 10,000
East and West Region -- Rs. 5,000
Fill on your own. If unclear, attend class or watch the video
</t>
      </text>
    </comment>
    <comment authorId="0" ref="D606">
      <text>
        <t xml:space="preserve">Mr. or Ms.
Depending on Male or Female
Fill on your own. If unclear, attend class or watch the video</t>
      </text>
    </comment>
    <comment authorId="0" ref="E606">
      <text>
        <t xml:space="preserve">Salutation + Name
Fill on your own. If unclear, attend class or watch the video</t>
      </text>
    </comment>
    <comment authorId="0" ref="G606">
      <text>
        <t xml:space="preserve">Fill on your own. If unclear, attend class or watch the video</t>
      </text>
    </comment>
    <comment authorId="0" ref="J606">
      <text>
        <t xml:space="preserve">North and South Region -- Rs. 10,000
East and West Region -- Rs. 5,000
Fill on your own. If unclear, attend class or watch the video
</t>
      </text>
    </comment>
    <comment authorId="0" ref="D607">
      <text>
        <t xml:space="preserve">Mr. or Ms.
Depending on Male or Female
Fill on your own. If unclear, attend class or watch the video</t>
      </text>
    </comment>
    <comment authorId="0" ref="E607">
      <text>
        <t xml:space="preserve">Salutation + Name
Fill on your own. If unclear, attend class or watch the video</t>
      </text>
    </comment>
    <comment authorId="0" ref="G607">
      <text>
        <t xml:space="preserve">Fill on your own. If unclear, attend class or watch the video</t>
      </text>
    </comment>
    <comment authorId="0" ref="J607">
      <text>
        <t xml:space="preserve">North and South Region -- Rs. 10,000
East and West Region -- Rs. 5,000
Fill on your own. If unclear, attend class or watch the video
</t>
      </text>
    </comment>
    <comment authorId="0" ref="D608">
      <text>
        <t xml:space="preserve">Mr. or Ms.
Depending on Male or Female
Fill on your own. If unclear, attend class or watch the video</t>
      </text>
    </comment>
    <comment authorId="0" ref="E608">
      <text>
        <t xml:space="preserve">Salutation + Name
Fill on your own. If unclear, attend class or watch the video</t>
      </text>
    </comment>
    <comment authorId="0" ref="G608">
      <text>
        <t xml:space="preserve">Fill on your own. If unclear, attend class or watch the video</t>
      </text>
    </comment>
    <comment authorId="0" ref="J608">
      <text>
        <t xml:space="preserve">North and South Region -- Rs. 10,000
East and West Region -- Rs. 5,000
Fill on your own. If unclear, attend class or watch the video
</t>
      </text>
    </comment>
    <comment authorId="0" ref="D609">
      <text>
        <t xml:space="preserve">Mr. or Ms.
Depending on Male or Female
Fill on your own. If unclear, attend class or watch the video</t>
      </text>
    </comment>
    <comment authorId="0" ref="E609">
      <text>
        <t xml:space="preserve">Salutation + Name
Fill on your own. If unclear, attend class or watch the video</t>
      </text>
    </comment>
    <comment authorId="0" ref="G609">
      <text>
        <t xml:space="preserve">Fill on your own. If unclear, attend class or watch the video</t>
      </text>
    </comment>
    <comment authorId="0" ref="J609">
      <text>
        <t xml:space="preserve">North and South Region -- Rs. 10,000
East and West Region -- Rs. 5,000
Fill on your own. If unclear, attend class or watch the video
</t>
      </text>
    </comment>
    <comment authorId="0" ref="D610">
      <text>
        <t xml:space="preserve">Mr. or Ms.
Depending on Male or Female
Fill on your own. If unclear, attend class or watch the video</t>
      </text>
    </comment>
    <comment authorId="0" ref="E610">
      <text>
        <t xml:space="preserve">Salutation + Name
Fill on your own. If unclear, attend class or watch the video</t>
      </text>
    </comment>
    <comment authorId="0" ref="G610">
      <text>
        <t xml:space="preserve">Fill on your own. If unclear, attend class or watch the video</t>
      </text>
    </comment>
    <comment authorId="0" ref="J610">
      <text>
        <t xml:space="preserve">North and South Region -- Rs. 10,000
East and West Region -- Rs. 5,000
Fill on your own. If unclear, attend class or watch the video
</t>
      </text>
    </comment>
    <comment authorId="0" ref="D611">
      <text>
        <t xml:space="preserve">Mr. or Ms.
Depending on Male or Female
Fill on your own. If unclear, attend class or watch the video</t>
      </text>
    </comment>
    <comment authorId="0" ref="E611">
      <text>
        <t xml:space="preserve">Salutation + Name
Fill on your own. If unclear, attend class or watch the video</t>
      </text>
    </comment>
    <comment authorId="0" ref="G611">
      <text>
        <t xml:space="preserve">Fill on your own. If unclear, attend class or watch the video</t>
      </text>
    </comment>
    <comment authorId="0" ref="J611">
      <text>
        <t xml:space="preserve">North and South Region -- Rs. 10,000
East and West Region -- Rs. 5,000
Fill on your own. If unclear, attend class or watch the video
</t>
      </text>
    </comment>
    <comment authorId="0" ref="D612">
      <text>
        <t xml:space="preserve">Mr. or Ms.
Depending on Male or Female
Fill on your own. If unclear, attend class or watch the video</t>
      </text>
    </comment>
    <comment authorId="0" ref="E612">
      <text>
        <t xml:space="preserve">Salutation + Name
Fill on your own. If unclear, attend class or watch the video</t>
      </text>
    </comment>
    <comment authorId="0" ref="G612">
      <text>
        <t xml:space="preserve">Fill on your own. If unclear, attend class or watch the video</t>
      </text>
    </comment>
    <comment authorId="0" ref="J612">
      <text>
        <t xml:space="preserve">North and South Region -- Rs. 10,000
East and West Region -- Rs. 5,000
Fill on your own. If unclear, attend class or watch the video
</t>
      </text>
    </comment>
    <comment authorId="0" ref="D613">
      <text>
        <t xml:space="preserve">Mr. or Ms.
Depending on Male or Female
Fill on your own. If unclear, attend class or watch the video</t>
      </text>
    </comment>
    <comment authorId="0" ref="E613">
      <text>
        <t xml:space="preserve">Salutation + Name
Fill on your own. If unclear, attend class or watch the video</t>
      </text>
    </comment>
    <comment authorId="0" ref="G613">
      <text>
        <t xml:space="preserve">Fill on your own. If unclear, attend class or watch the video</t>
      </text>
    </comment>
    <comment authorId="0" ref="J613">
      <text>
        <t xml:space="preserve">North and South Region -- Rs. 10,000
East and West Region -- Rs. 5,000
Fill on your own. If unclear, attend class or watch the video
</t>
      </text>
    </comment>
    <comment authorId="0" ref="D614">
      <text>
        <t xml:space="preserve">Mr. or Ms.
Depending on Male or Female
Fill on your own. If unclear, attend class or watch the video</t>
      </text>
    </comment>
    <comment authorId="0" ref="E614">
      <text>
        <t xml:space="preserve">Salutation + Name
Fill on your own. If unclear, attend class or watch the video</t>
      </text>
    </comment>
    <comment authorId="0" ref="G614">
      <text>
        <t xml:space="preserve">Fill on your own. If unclear, attend class or watch the video</t>
      </text>
    </comment>
    <comment authorId="0" ref="J614">
      <text>
        <t xml:space="preserve">North and South Region -- Rs. 10,000
East and West Region -- Rs. 5,000
Fill on your own. If unclear, attend class or watch the video
</t>
      </text>
    </comment>
    <comment authorId="0" ref="D615">
      <text>
        <t xml:space="preserve">Mr. or Ms.
Depending on Male or Female
Fill on your own. If unclear, attend class or watch the video</t>
      </text>
    </comment>
    <comment authorId="0" ref="E615">
      <text>
        <t xml:space="preserve">Salutation + Name
Fill on your own. If unclear, attend class or watch the video</t>
      </text>
    </comment>
    <comment authorId="0" ref="G615">
      <text>
        <t xml:space="preserve">Fill on your own. If unclear, attend class or watch the video</t>
      </text>
    </comment>
    <comment authorId="0" ref="J615">
      <text>
        <t xml:space="preserve">North and South Region -- Rs. 10,000
East and West Region -- Rs. 5,000
Fill on your own. If unclear, attend class or watch the video
</t>
      </text>
    </comment>
    <comment authorId="0" ref="D616">
      <text>
        <t xml:space="preserve">Mr. or Ms.
Depending on Male or Female
Fill on your own. If unclear, attend class or watch the video</t>
      </text>
    </comment>
    <comment authorId="0" ref="E616">
      <text>
        <t xml:space="preserve">Salutation + Name
Fill on your own. If unclear, attend class or watch the video</t>
      </text>
    </comment>
    <comment authorId="0" ref="G616">
      <text>
        <t xml:space="preserve">Fill on your own. If unclear, attend class or watch the video</t>
      </text>
    </comment>
    <comment authorId="0" ref="J616">
      <text>
        <t xml:space="preserve">North and South Region -- Rs. 10,000
East and West Region -- Rs. 5,000
Fill on your own. If unclear, attend class or watch the video
</t>
      </text>
    </comment>
    <comment authorId="0" ref="D617">
      <text>
        <t xml:space="preserve">Mr. or Ms.
Depending on Male or Female
Fill on your own. If unclear, attend class or watch the video</t>
      </text>
    </comment>
    <comment authorId="0" ref="E617">
      <text>
        <t xml:space="preserve">Salutation + Name
Fill on your own. If unclear, attend class or watch the video</t>
      </text>
    </comment>
    <comment authorId="0" ref="G617">
      <text>
        <t xml:space="preserve">Fill on your own. If unclear, attend class or watch the video</t>
      </text>
    </comment>
    <comment authorId="0" ref="J617">
      <text>
        <t xml:space="preserve">North and South Region -- Rs. 10,000
East and West Region -- Rs. 5,000
Fill on your own. If unclear, attend class or watch the video
</t>
      </text>
    </comment>
    <comment authorId="0" ref="D618">
      <text>
        <t xml:space="preserve">Mr. or Ms.
Depending on Male or Female
Fill on your own. If unclear, attend class or watch the video</t>
      </text>
    </comment>
    <comment authorId="0" ref="E618">
      <text>
        <t xml:space="preserve">Salutation + Name
Fill on your own. If unclear, attend class or watch the video</t>
      </text>
    </comment>
    <comment authorId="0" ref="G618">
      <text>
        <t xml:space="preserve">Fill on your own. If unclear, attend class or watch the video</t>
      </text>
    </comment>
    <comment authorId="0" ref="J618">
      <text>
        <t xml:space="preserve">North and South Region -- Rs. 10,000
East and West Region -- Rs. 5,000
Fill on your own. If unclear, attend class or watch the video
</t>
      </text>
    </comment>
    <comment authorId="0" ref="D619">
      <text>
        <t xml:space="preserve">Mr. or Ms.
Depending on Male or Female
Fill on your own. If unclear, attend class or watch the video</t>
      </text>
    </comment>
    <comment authorId="0" ref="E619">
      <text>
        <t xml:space="preserve">Salutation + Name
Fill on your own. If unclear, attend class or watch the video</t>
      </text>
    </comment>
    <comment authorId="0" ref="G619">
      <text>
        <t xml:space="preserve">Fill on your own. If unclear, attend class or watch the video</t>
      </text>
    </comment>
    <comment authorId="0" ref="J619">
      <text>
        <t xml:space="preserve">North and South Region -- Rs. 10,000
East and West Region -- Rs. 5,000
Fill on your own. If unclear, attend class or watch the video
</t>
      </text>
    </comment>
    <comment authorId="0" ref="D620">
      <text>
        <t xml:space="preserve">Mr. or Ms.
Depending on Male or Female
Fill on your own. If unclear, attend class or watch the video</t>
      </text>
    </comment>
    <comment authorId="0" ref="E620">
      <text>
        <t xml:space="preserve">Salutation + Name
Fill on your own. If unclear, attend class or watch the video</t>
      </text>
    </comment>
    <comment authorId="0" ref="G620">
      <text>
        <t xml:space="preserve">Fill on your own. If unclear, attend class or watch the video</t>
      </text>
    </comment>
    <comment authorId="0" ref="J620">
      <text>
        <t xml:space="preserve">North and South Region -- Rs. 10,000
East and West Region -- Rs. 5,000
Fill on your own. If unclear, attend class or watch the video
</t>
      </text>
    </comment>
    <comment authorId="0" ref="D621">
      <text>
        <t xml:space="preserve">Mr. or Ms.
Depending on Male or Female
Fill on your own. If unclear, attend class or watch the video</t>
      </text>
    </comment>
    <comment authorId="0" ref="E621">
      <text>
        <t xml:space="preserve">Salutation + Name
Fill on your own. If unclear, attend class or watch the video</t>
      </text>
    </comment>
    <comment authorId="0" ref="G621">
      <text>
        <t xml:space="preserve">Fill on your own. If unclear, attend class or watch the video</t>
      </text>
    </comment>
    <comment authorId="0" ref="J621">
      <text>
        <t xml:space="preserve">North and South Region -- Rs. 10,000
East and West Region -- Rs. 5,000
Fill on your own. If unclear, attend class or watch the video
</t>
      </text>
    </comment>
    <comment authorId="0" ref="D622">
      <text>
        <t xml:space="preserve">Mr. or Ms.
Depending on Male or Female
Fill on your own. If unclear, attend class or watch the video</t>
      </text>
    </comment>
    <comment authorId="0" ref="E622">
      <text>
        <t xml:space="preserve">Salutation + Name
Fill on your own. If unclear, attend class or watch the video</t>
      </text>
    </comment>
    <comment authorId="0" ref="G622">
      <text>
        <t xml:space="preserve">Fill on your own. If unclear, attend class or watch the video</t>
      </text>
    </comment>
    <comment authorId="0" ref="J622">
      <text>
        <t xml:space="preserve">North and South Region -- Rs. 10,000
East and West Region -- Rs. 5,000
Fill on your own. If unclear, attend class or watch the video
</t>
      </text>
    </comment>
    <comment authorId="0" ref="D623">
      <text>
        <t xml:space="preserve">Mr. or Ms.
Depending on Male or Female
Fill on your own. If unclear, attend class or watch the video</t>
      </text>
    </comment>
    <comment authorId="0" ref="E623">
      <text>
        <t xml:space="preserve">Salutation + Name
Fill on your own. If unclear, attend class or watch the video</t>
      </text>
    </comment>
    <comment authorId="0" ref="G623">
      <text>
        <t xml:space="preserve">Fill on your own. If unclear, attend class or watch the video</t>
      </text>
    </comment>
    <comment authorId="0" ref="J623">
      <text>
        <t xml:space="preserve">North and South Region -- Rs. 10,000
East and West Region -- Rs. 5,000
Fill on your own. If unclear, attend class or watch the video
</t>
      </text>
    </comment>
    <comment authorId="0" ref="D624">
      <text>
        <t xml:space="preserve">Mr. or Ms.
Depending on Male or Female
Fill on your own. If unclear, attend class or watch the video</t>
      </text>
    </comment>
    <comment authorId="0" ref="E624">
      <text>
        <t xml:space="preserve">Salutation + Name
Fill on your own. If unclear, attend class or watch the video</t>
      </text>
    </comment>
    <comment authorId="0" ref="G624">
      <text>
        <t xml:space="preserve">Fill on your own. If unclear, attend class or watch the video</t>
      </text>
    </comment>
    <comment authorId="0" ref="J624">
      <text>
        <t xml:space="preserve">North and South Region -- Rs. 10,000
East and West Region -- Rs. 5,000
Fill on your own. If unclear, attend class or watch the video
</t>
      </text>
    </comment>
    <comment authorId="0" ref="D625">
      <text>
        <t xml:space="preserve">Mr. or Ms.
Depending on Male or Female
Fill on your own. If unclear, attend class or watch the video</t>
      </text>
    </comment>
    <comment authorId="0" ref="E625">
      <text>
        <t xml:space="preserve">Salutation + Name
Fill on your own. If unclear, attend class or watch the video</t>
      </text>
    </comment>
    <comment authorId="0" ref="G625">
      <text>
        <t xml:space="preserve">Fill on your own. If unclear, attend class or watch the video</t>
      </text>
    </comment>
    <comment authorId="0" ref="J625">
      <text>
        <t xml:space="preserve">North and South Region -- Rs. 10,000
East and West Region -- Rs. 5,000
Fill on your own. If unclear, attend class or watch the video
</t>
      </text>
    </comment>
    <comment authorId="0" ref="D626">
      <text>
        <t xml:space="preserve">Mr. or Ms.
Depending on Male or Female
Fill on your own. If unclear, attend class or watch the video</t>
      </text>
    </comment>
    <comment authorId="0" ref="E626">
      <text>
        <t xml:space="preserve">Salutation + Name
Fill on your own. If unclear, attend class or watch the video</t>
      </text>
    </comment>
    <comment authorId="0" ref="G626">
      <text>
        <t xml:space="preserve">Fill on your own. If unclear, attend class or watch the video</t>
      </text>
    </comment>
    <comment authorId="0" ref="J626">
      <text>
        <t xml:space="preserve">North and South Region -- Rs. 10,000
East and West Region -- Rs. 5,000
Fill on your own. If unclear, attend class or watch the video
</t>
      </text>
    </comment>
    <comment authorId="0" ref="D627">
      <text>
        <t xml:space="preserve">Mr. or Ms.
Depending on Male or Female
Fill on your own. If unclear, attend class or watch the video</t>
      </text>
    </comment>
    <comment authorId="0" ref="E627">
      <text>
        <t xml:space="preserve">Salutation + Name
Fill on your own. If unclear, attend class or watch the video</t>
      </text>
    </comment>
    <comment authorId="0" ref="G627">
      <text>
        <t xml:space="preserve">Fill on your own. If unclear, attend class or watch the video</t>
      </text>
    </comment>
    <comment authorId="0" ref="J627">
      <text>
        <t xml:space="preserve">North and South Region -- Rs. 10,000
East and West Region -- Rs. 5,000
Fill on your own. If unclear, attend class or watch the video
</t>
      </text>
    </comment>
    <comment authorId="0" ref="D628">
      <text>
        <t xml:space="preserve">Mr. or Ms.
Depending on Male or Female
Fill on your own. If unclear, attend class or watch the video</t>
      </text>
    </comment>
    <comment authorId="0" ref="E628">
      <text>
        <t xml:space="preserve">Salutation + Name
Fill on your own. If unclear, attend class or watch the video</t>
      </text>
    </comment>
    <comment authorId="0" ref="G628">
      <text>
        <t xml:space="preserve">Fill on your own. If unclear, attend class or watch the video</t>
      </text>
    </comment>
    <comment authorId="0" ref="J628">
      <text>
        <t xml:space="preserve">North and South Region -- Rs. 10,000
East and West Region -- Rs. 5,000
Fill on your own. If unclear, attend class or watch the video
</t>
      </text>
    </comment>
    <comment authorId="0" ref="D629">
      <text>
        <t xml:space="preserve">Mr. or Ms.
Depending on Male or Female
Fill on your own. If unclear, attend class or watch the video</t>
      </text>
    </comment>
    <comment authorId="0" ref="E629">
      <text>
        <t xml:space="preserve">Salutation + Name
Fill on your own. If unclear, attend class or watch the video</t>
      </text>
    </comment>
    <comment authorId="0" ref="G629">
      <text>
        <t xml:space="preserve">Fill on your own. If unclear, attend class or watch the video</t>
      </text>
    </comment>
    <comment authorId="0" ref="J629">
      <text>
        <t xml:space="preserve">North and South Region -- Rs. 10,000
East and West Region -- Rs. 5,000
Fill on your own. If unclear, attend class or watch the video
</t>
      </text>
    </comment>
    <comment authorId="0" ref="D630">
      <text>
        <t xml:space="preserve">Mr. or Ms.
Depending on Male or Female
Fill on your own. If unclear, attend class or watch the video</t>
      </text>
    </comment>
    <comment authorId="0" ref="E630">
      <text>
        <t xml:space="preserve">Salutation + Name
Fill on your own. If unclear, attend class or watch the video</t>
      </text>
    </comment>
    <comment authorId="0" ref="G630">
      <text>
        <t xml:space="preserve">Fill on your own. If unclear, attend class or watch the video</t>
      </text>
    </comment>
    <comment authorId="0" ref="J630">
      <text>
        <t xml:space="preserve">North and South Region -- Rs. 10,000
East and West Region -- Rs. 5,000
Fill on your own. If unclear, attend class or watch the video
</t>
      </text>
    </comment>
    <comment authorId="0" ref="D631">
      <text>
        <t xml:space="preserve">Mr. or Ms.
Depending on Male or Female
Fill on your own. If unclear, attend class or watch the video</t>
      </text>
    </comment>
    <comment authorId="0" ref="E631">
      <text>
        <t xml:space="preserve">Salutation + Name
Fill on your own. If unclear, attend class or watch the video</t>
      </text>
    </comment>
    <comment authorId="0" ref="G631">
      <text>
        <t xml:space="preserve">Fill on your own. If unclear, attend class or watch the video</t>
      </text>
    </comment>
    <comment authorId="0" ref="J631">
      <text>
        <t xml:space="preserve">North and South Region -- Rs. 10,000
East and West Region -- Rs. 5,000
Fill on your own. If unclear, attend class or watch the video
</t>
      </text>
    </comment>
    <comment authorId="0" ref="D632">
      <text>
        <t xml:space="preserve">Mr. or Ms.
Depending on Male or Female
Fill on your own. If unclear, attend class or watch the video</t>
      </text>
    </comment>
    <comment authorId="0" ref="E632">
      <text>
        <t xml:space="preserve">Salutation + Name
Fill on your own. If unclear, attend class or watch the video</t>
      </text>
    </comment>
    <comment authorId="0" ref="G632">
      <text>
        <t xml:space="preserve">Fill on your own. If unclear, attend class or watch the video</t>
      </text>
    </comment>
    <comment authorId="0" ref="J632">
      <text>
        <t xml:space="preserve">North and South Region -- Rs. 10,000
East and West Region -- Rs. 5,000
Fill on your own. If unclear, attend class or watch the video
</t>
      </text>
    </comment>
    <comment authorId="0" ref="D633">
      <text>
        <t xml:space="preserve">Mr. or Ms.
Depending on Male or Female
Fill on your own. If unclear, attend class or watch the video</t>
      </text>
    </comment>
    <comment authorId="0" ref="E633">
      <text>
        <t xml:space="preserve">Salutation + Name
Fill on your own. If unclear, attend class or watch the video</t>
      </text>
    </comment>
    <comment authorId="0" ref="G633">
      <text>
        <t xml:space="preserve">Fill on your own. If unclear, attend class or watch the video</t>
      </text>
    </comment>
    <comment authorId="0" ref="J633">
      <text>
        <t xml:space="preserve">North and South Region -- Rs. 10,000
East and West Region -- Rs. 5,000
Fill on your own. If unclear, attend class or watch the video
</t>
      </text>
    </comment>
    <comment authorId="0" ref="D634">
      <text>
        <t xml:space="preserve">Mr. or Ms.
Depending on Male or Female
Fill on your own. If unclear, attend class or watch the video</t>
      </text>
    </comment>
    <comment authorId="0" ref="E634">
      <text>
        <t xml:space="preserve">Salutation + Name
Fill on your own. If unclear, attend class or watch the video</t>
      </text>
    </comment>
    <comment authorId="0" ref="G634">
      <text>
        <t xml:space="preserve">Fill on your own. If unclear, attend class or watch the video</t>
      </text>
    </comment>
    <comment authorId="0" ref="J634">
      <text>
        <t xml:space="preserve">North and South Region -- Rs. 10,000
East and West Region -- Rs. 5,000
Fill on your own. If unclear, attend class or watch the video
</t>
      </text>
    </comment>
    <comment authorId="0" ref="D635">
      <text>
        <t xml:space="preserve">Mr. or Ms.
Depending on Male or Female
Fill on your own. If unclear, attend class or watch the video</t>
      </text>
    </comment>
    <comment authorId="0" ref="E635">
      <text>
        <t xml:space="preserve">Salutation + Name
Fill on your own. If unclear, attend class or watch the video</t>
      </text>
    </comment>
    <comment authorId="0" ref="G635">
      <text>
        <t xml:space="preserve">Fill on your own. If unclear, attend class or watch the video</t>
      </text>
    </comment>
    <comment authorId="0" ref="J635">
      <text>
        <t xml:space="preserve">North and South Region -- Rs. 10,000
East and West Region -- Rs. 5,000
Fill on your own. If unclear, attend class or watch the video
</t>
      </text>
    </comment>
    <comment authorId="0" ref="D636">
      <text>
        <t xml:space="preserve">Mr. or Ms.
Depending on Male or Female
Fill on your own. If unclear, attend class or watch the video</t>
      </text>
    </comment>
    <comment authorId="0" ref="E636">
      <text>
        <t xml:space="preserve">Salutation + Name
Fill on your own. If unclear, attend class or watch the video</t>
      </text>
    </comment>
    <comment authorId="0" ref="G636">
      <text>
        <t xml:space="preserve">Fill on your own. If unclear, attend class or watch the video</t>
      </text>
    </comment>
    <comment authorId="0" ref="J636">
      <text>
        <t xml:space="preserve">North and South Region -- Rs. 10,000
East and West Region -- Rs. 5,000
Fill on your own. If unclear, attend class or watch the video
</t>
      </text>
    </comment>
    <comment authorId="0" ref="D637">
      <text>
        <t xml:space="preserve">Mr. or Ms.
Depending on Male or Female
Fill on your own. If unclear, attend class or watch the video</t>
      </text>
    </comment>
    <comment authorId="0" ref="E637">
      <text>
        <t xml:space="preserve">Salutation + Name
Fill on your own. If unclear, attend class or watch the video</t>
      </text>
    </comment>
    <comment authorId="0" ref="G637">
      <text>
        <t xml:space="preserve">Fill on your own. If unclear, attend class or watch the video</t>
      </text>
    </comment>
    <comment authorId="0" ref="J637">
      <text>
        <t xml:space="preserve">North and South Region -- Rs. 10,000
East and West Region -- Rs. 5,000
Fill on your own. If unclear, attend class or watch the video
</t>
      </text>
    </comment>
    <comment authorId="0" ref="D638">
      <text>
        <t xml:space="preserve">Mr. or Ms.
Depending on Male or Female
Fill on your own. If unclear, attend class or watch the video</t>
      </text>
    </comment>
    <comment authorId="0" ref="E638">
      <text>
        <t xml:space="preserve">Salutation + Name
Fill on your own. If unclear, attend class or watch the video</t>
      </text>
    </comment>
    <comment authorId="0" ref="G638">
      <text>
        <t xml:space="preserve">Fill on your own. If unclear, attend class or watch the video</t>
      </text>
    </comment>
    <comment authorId="0" ref="J638">
      <text>
        <t xml:space="preserve">North and South Region -- Rs. 10,000
East and West Region -- Rs. 5,000
Fill on your own. If unclear, attend class or watch the video
</t>
      </text>
    </comment>
    <comment authorId="0" ref="D639">
      <text>
        <t xml:space="preserve">Mr. or Ms.
Depending on Male or Female
Fill on your own. If unclear, attend class or watch the video</t>
      </text>
    </comment>
    <comment authorId="0" ref="E639">
      <text>
        <t xml:space="preserve">Salutation + Name
Fill on your own. If unclear, attend class or watch the video</t>
      </text>
    </comment>
    <comment authorId="0" ref="G639">
      <text>
        <t xml:space="preserve">Fill on your own. If unclear, attend class or watch the video</t>
      </text>
    </comment>
    <comment authorId="0" ref="J639">
      <text>
        <t xml:space="preserve">North and South Region -- Rs. 10,000
East and West Region -- Rs. 5,000
Fill on your own. If unclear, attend class or watch the video
</t>
      </text>
    </comment>
    <comment authorId="0" ref="D640">
      <text>
        <t xml:space="preserve">Mr. or Ms.
Depending on Male or Female
Fill on your own. If unclear, attend class or watch the video</t>
      </text>
    </comment>
    <comment authorId="0" ref="E640">
      <text>
        <t xml:space="preserve">Salutation + Name
Fill on your own. If unclear, attend class or watch the video</t>
      </text>
    </comment>
    <comment authorId="0" ref="G640">
      <text>
        <t xml:space="preserve">Fill on your own. If unclear, attend class or watch the video</t>
      </text>
    </comment>
    <comment authorId="0" ref="J640">
      <text>
        <t xml:space="preserve">North and South Region -- Rs. 10,000
East and West Region -- Rs. 5,000
Fill on your own. If unclear, attend class or watch the video
</t>
      </text>
    </comment>
    <comment authorId="0" ref="D641">
      <text>
        <t xml:space="preserve">Mr. or Ms.
Depending on Male or Female
Fill on your own. If unclear, attend class or watch the video</t>
      </text>
    </comment>
    <comment authorId="0" ref="E641">
      <text>
        <t xml:space="preserve">Salutation + Name
Fill on your own. If unclear, attend class or watch the video</t>
      </text>
    </comment>
    <comment authorId="0" ref="G641">
      <text>
        <t xml:space="preserve">Fill on your own. If unclear, attend class or watch the video</t>
      </text>
    </comment>
    <comment authorId="0" ref="J641">
      <text>
        <t xml:space="preserve">North and South Region -- Rs. 10,000
East and West Region -- Rs. 5,000
Fill on your own. If unclear, attend class or watch the video
</t>
      </text>
    </comment>
    <comment authorId="0" ref="D642">
      <text>
        <t xml:space="preserve">Mr. or Ms.
Depending on Male or Female
Fill on your own. If unclear, attend class or watch the video</t>
      </text>
    </comment>
    <comment authorId="0" ref="E642">
      <text>
        <t xml:space="preserve">Salutation + Name
Fill on your own. If unclear, attend class or watch the video</t>
      </text>
    </comment>
    <comment authorId="0" ref="G642">
      <text>
        <t xml:space="preserve">Fill on your own. If unclear, attend class or watch the video</t>
      </text>
    </comment>
    <comment authorId="0" ref="J642">
      <text>
        <t xml:space="preserve">North and South Region -- Rs. 10,000
East and West Region -- Rs. 5,000
Fill on your own. If unclear, attend class or watch the video
</t>
      </text>
    </comment>
    <comment authorId="0" ref="D643">
      <text>
        <t xml:space="preserve">Mr. or Ms.
Depending on Male or Female
Fill on your own. If unclear, attend class or watch the video</t>
      </text>
    </comment>
    <comment authorId="0" ref="E643">
      <text>
        <t xml:space="preserve">Salutation + Name
Fill on your own. If unclear, attend class or watch the video</t>
      </text>
    </comment>
    <comment authorId="0" ref="G643">
      <text>
        <t xml:space="preserve">Fill on your own. If unclear, attend class or watch the video</t>
      </text>
    </comment>
    <comment authorId="0" ref="J643">
      <text>
        <t xml:space="preserve">North and South Region -- Rs. 10,000
East and West Region -- Rs. 5,000
Fill on your own. If unclear, attend class or watch the video
</t>
      </text>
    </comment>
    <comment authorId="0" ref="D644">
      <text>
        <t xml:space="preserve">Mr. or Ms.
Depending on Male or Female
Fill on your own. If unclear, attend class or watch the video</t>
      </text>
    </comment>
    <comment authorId="0" ref="E644">
      <text>
        <t xml:space="preserve">Salutation + Name
Fill on your own. If unclear, attend class or watch the video</t>
      </text>
    </comment>
    <comment authorId="0" ref="G644">
      <text>
        <t xml:space="preserve">Fill on your own. If unclear, attend class or watch the video</t>
      </text>
    </comment>
    <comment authorId="0" ref="J644">
      <text>
        <t xml:space="preserve">North and South Region -- Rs. 10,000
East and West Region -- Rs. 5,000
Fill on your own. If unclear, attend class or watch the video
</t>
      </text>
    </comment>
    <comment authorId="0" ref="D645">
      <text>
        <t xml:space="preserve">Mr. or Ms.
Depending on Male or Female
Fill on your own. If unclear, attend class or watch the video</t>
      </text>
    </comment>
    <comment authorId="0" ref="E645">
      <text>
        <t xml:space="preserve">Salutation + Name
Fill on your own. If unclear, attend class or watch the video</t>
      </text>
    </comment>
    <comment authorId="0" ref="G645">
      <text>
        <t xml:space="preserve">Fill on your own. If unclear, attend class or watch the video</t>
      </text>
    </comment>
    <comment authorId="0" ref="J645">
      <text>
        <t xml:space="preserve">North and South Region -- Rs. 10,000
East and West Region -- Rs. 5,000
Fill on your own. If unclear, attend class or watch the video
</t>
      </text>
    </comment>
    <comment authorId="0" ref="D646">
      <text>
        <t xml:space="preserve">Mr. or Ms.
Depending on Male or Female
Fill on your own. If unclear, attend class or watch the video</t>
      </text>
    </comment>
    <comment authorId="0" ref="E646">
      <text>
        <t xml:space="preserve">Salutation + Name
Fill on your own. If unclear, attend class or watch the video</t>
      </text>
    </comment>
    <comment authorId="0" ref="G646">
      <text>
        <t xml:space="preserve">Fill on your own. If unclear, attend class or watch the video</t>
      </text>
    </comment>
    <comment authorId="0" ref="J646">
      <text>
        <t xml:space="preserve">North and South Region -- Rs. 10,000
East and West Region -- Rs. 5,000
Fill on your own. If unclear, attend class or watch the video
</t>
      </text>
    </comment>
    <comment authorId="0" ref="D647">
      <text>
        <t xml:space="preserve">Mr. or Ms.
Depending on Male or Female
Fill on your own. If unclear, attend class or watch the video</t>
      </text>
    </comment>
    <comment authorId="0" ref="E647">
      <text>
        <t xml:space="preserve">Salutation + Name
Fill on your own. If unclear, attend class or watch the video</t>
      </text>
    </comment>
    <comment authorId="0" ref="G647">
      <text>
        <t xml:space="preserve">Fill on your own. If unclear, attend class or watch the video</t>
      </text>
    </comment>
    <comment authorId="0" ref="J647">
      <text>
        <t xml:space="preserve">North and South Region -- Rs. 10,000
East and West Region -- Rs. 5,000
Fill on your own. If unclear, attend class or watch the video
</t>
      </text>
    </comment>
    <comment authorId="0" ref="D648">
      <text>
        <t xml:space="preserve">Mr. or Ms.
Depending on Male or Female
Fill on your own. If unclear, attend class or watch the video</t>
      </text>
    </comment>
    <comment authorId="0" ref="E648">
      <text>
        <t xml:space="preserve">Salutation + Name
Fill on your own. If unclear, attend class or watch the video</t>
      </text>
    </comment>
    <comment authorId="0" ref="G648">
      <text>
        <t xml:space="preserve">Fill on your own. If unclear, attend class or watch the video</t>
      </text>
    </comment>
    <comment authorId="0" ref="J648">
      <text>
        <t xml:space="preserve">North and South Region -- Rs. 10,000
East and West Region -- Rs. 5,000
Fill on your own. If unclear, attend class or watch the video
</t>
      </text>
    </comment>
    <comment authorId="0" ref="D649">
      <text>
        <t xml:space="preserve">Mr. or Ms.
Depending on Male or Female
Fill on your own. If unclear, attend class or watch the video</t>
      </text>
    </comment>
    <comment authorId="0" ref="E649">
      <text>
        <t xml:space="preserve">Salutation + Name
Fill on your own. If unclear, attend class or watch the video</t>
      </text>
    </comment>
    <comment authorId="0" ref="G649">
      <text>
        <t xml:space="preserve">Fill on your own. If unclear, attend class or watch the video</t>
      </text>
    </comment>
    <comment authorId="0" ref="J649">
      <text>
        <t xml:space="preserve">North and South Region -- Rs. 10,000
East and West Region -- Rs. 5,000
Fill on your own. If unclear, attend class or watch the video
</t>
      </text>
    </comment>
    <comment authorId="0" ref="D650">
      <text>
        <t xml:space="preserve">Mr. or Ms.
Depending on Male or Female
Fill on your own. If unclear, attend class or watch the video</t>
      </text>
    </comment>
    <comment authorId="0" ref="E650">
      <text>
        <t xml:space="preserve">Salutation + Name
Fill on your own. If unclear, attend class or watch the video</t>
      </text>
    </comment>
    <comment authorId="0" ref="G650">
      <text>
        <t xml:space="preserve">Fill on your own. If unclear, attend class or watch the video</t>
      </text>
    </comment>
    <comment authorId="0" ref="J650">
      <text>
        <t xml:space="preserve">North and South Region -- Rs. 10,000
East and West Region -- Rs. 5,000
Fill on your own. If unclear, attend class or watch the video
</t>
      </text>
    </comment>
    <comment authorId="0" ref="D651">
      <text>
        <t xml:space="preserve">Mr. or Ms.
Depending on Male or Female
Fill on your own. If unclear, attend class or watch the video</t>
      </text>
    </comment>
    <comment authorId="0" ref="E651">
      <text>
        <t xml:space="preserve">Salutation + Name
Fill on your own. If unclear, attend class or watch the video</t>
      </text>
    </comment>
    <comment authorId="0" ref="G651">
      <text>
        <t xml:space="preserve">Fill on your own. If unclear, attend class or watch the video</t>
      </text>
    </comment>
    <comment authorId="0" ref="J651">
      <text>
        <t xml:space="preserve">North and South Region -- Rs. 10,000
East and West Region -- Rs. 5,000
Fill on your own. If unclear, attend class or watch the video
</t>
      </text>
    </comment>
    <comment authorId="0" ref="D652">
      <text>
        <t xml:space="preserve">Mr. or Ms.
Depending on Male or Female
Fill on your own. If unclear, attend class or watch the video</t>
      </text>
    </comment>
    <comment authorId="0" ref="E652">
      <text>
        <t xml:space="preserve">Salutation + Name
Fill on your own. If unclear, attend class or watch the video</t>
      </text>
    </comment>
    <comment authorId="0" ref="G652">
      <text>
        <t xml:space="preserve">Fill on your own. If unclear, attend class or watch the video</t>
      </text>
    </comment>
    <comment authorId="0" ref="J652">
      <text>
        <t xml:space="preserve">North and South Region -- Rs. 10,000
East and West Region -- Rs. 5,000
Fill on your own. If unclear, attend class or watch the video
</t>
      </text>
    </comment>
    <comment authorId="0" ref="D653">
      <text>
        <t xml:space="preserve">Mr. or Ms.
Depending on Male or Female
Fill on your own. If unclear, attend class or watch the video</t>
      </text>
    </comment>
    <comment authorId="0" ref="E653">
      <text>
        <t xml:space="preserve">Salutation + Name
Fill on your own. If unclear, attend class or watch the video</t>
      </text>
    </comment>
    <comment authorId="0" ref="G653">
      <text>
        <t xml:space="preserve">Fill on your own. If unclear, attend class or watch the video</t>
      </text>
    </comment>
    <comment authorId="0" ref="J653">
      <text>
        <t xml:space="preserve">North and South Region -- Rs. 10,000
East and West Region -- Rs. 5,000
Fill on your own. If unclear, attend class or watch the video
</t>
      </text>
    </comment>
    <comment authorId="0" ref="D654">
      <text>
        <t xml:space="preserve">Mr. or Ms.
Depending on Male or Female
Fill on your own. If unclear, attend class or watch the video</t>
      </text>
    </comment>
    <comment authorId="0" ref="E654">
      <text>
        <t xml:space="preserve">Salutation + Name
Fill on your own. If unclear, attend class or watch the video</t>
      </text>
    </comment>
    <comment authorId="0" ref="G654">
      <text>
        <t xml:space="preserve">Fill on your own. If unclear, attend class or watch the video</t>
      </text>
    </comment>
    <comment authorId="0" ref="J654">
      <text>
        <t xml:space="preserve">North and South Region -- Rs. 10,000
East and West Region -- Rs. 5,000
Fill on your own. If unclear, attend class or watch the video
</t>
      </text>
    </comment>
    <comment authorId="0" ref="D655">
      <text>
        <t xml:space="preserve">Mr. or Ms.
Depending on Male or Female
Fill on your own. If unclear, attend class or watch the video</t>
      </text>
    </comment>
    <comment authorId="0" ref="E655">
      <text>
        <t xml:space="preserve">Salutation + Name
Fill on your own. If unclear, attend class or watch the video</t>
      </text>
    </comment>
    <comment authorId="0" ref="G655">
      <text>
        <t xml:space="preserve">Fill on your own. If unclear, attend class or watch the video</t>
      </text>
    </comment>
    <comment authorId="0" ref="J655">
      <text>
        <t xml:space="preserve">North and South Region -- Rs. 10,000
East and West Region -- Rs. 5,000
Fill on your own. If unclear, attend class or watch the video
</t>
      </text>
    </comment>
    <comment authorId="0" ref="D656">
      <text>
        <t xml:space="preserve">Mr. or Ms.
Depending on Male or Female
Fill on your own. If unclear, attend class or watch the video</t>
      </text>
    </comment>
    <comment authorId="0" ref="E656">
      <text>
        <t xml:space="preserve">Salutation + Name
Fill on your own. If unclear, attend class or watch the video</t>
      </text>
    </comment>
    <comment authorId="0" ref="G656">
      <text>
        <t xml:space="preserve">Fill on your own. If unclear, attend class or watch the video</t>
      </text>
    </comment>
    <comment authorId="0" ref="J656">
      <text>
        <t xml:space="preserve">North and South Region -- Rs. 10,000
East and West Region -- Rs. 5,000
Fill on your own. If unclear, attend class or watch the video
</t>
      </text>
    </comment>
    <comment authorId="0" ref="D657">
      <text>
        <t xml:space="preserve">Mr. or Ms.
Depending on Male or Female
Fill on your own. If unclear, attend class or watch the video</t>
      </text>
    </comment>
    <comment authorId="0" ref="E657">
      <text>
        <t xml:space="preserve">Salutation + Name
Fill on your own. If unclear, attend class or watch the video</t>
      </text>
    </comment>
    <comment authorId="0" ref="G657">
      <text>
        <t xml:space="preserve">Fill on your own. If unclear, attend class or watch the video</t>
      </text>
    </comment>
    <comment authorId="0" ref="J657">
      <text>
        <t xml:space="preserve">North and South Region -- Rs. 10,000
East and West Region -- Rs. 5,000
Fill on your own. If unclear, attend class or watch the video
</t>
      </text>
    </comment>
    <comment authorId="0" ref="D658">
      <text>
        <t xml:space="preserve">Mr. or Ms.
Depending on Male or Female
Fill on your own. If unclear, attend class or watch the video</t>
      </text>
    </comment>
    <comment authorId="0" ref="E658">
      <text>
        <t xml:space="preserve">Salutation + Name
Fill on your own. If unclear, attend class or watch the video</t>
      </text>
    </comment>
    <comment authorId="0" ref="G658">
      <text>
        <t xml:space="preserve">Fill on your own. If unclear, attend class or watch the video</t>
      </text>
    </comment>
    <comment authorId="0" ref="J658">
      <text>
        <t xml:space="preserve">North and South Region -- Rs. 10,000
East and West Region -- Rs. 5,000
Fill on your own. If unclear, attend class or watch the video
</t>
      </text>
    </comment>
    <comment authorId="0" ref="D659">
      <text>
        <t xml:space="preserve">Mr. or Ms.
Depending on Male or Female
Fill on your own. If unclear, attend class or watch the video</t>
      </text>
    </comment>
    <comment authorId="0" ref="E659">
      <text>
        <t xml:space="preserve">Salutation + Name
Fill on your own. If unclear, attend class or watch the video</t>
      </text>
    </comment>
    <comment authorId="0" ref="G659">
      <text>
        <t xml:space="preserve">Fill on your own. If unclear, attend class or watch the video</t>
      </text>
    </comment>
    <comment authorId="0" ref="J659">
      <text>
        <t xml:space="preserve">North and South Region -- Rs. 10,000
East and West Region -- Rs. 5,000
Fill on your own. If unclear, attend class or watch the video
</t>
      </text>
    </comment>
    <comment authorId="0" ref="D660">
      <text>
        <t xml:space="preserve">Mr. or Ms.
Depending on Male or Female
Fill on your own. If unclear, attend class or watch the video</t>
      </text>
    </comment>
    <comment authorId="0" ref="E660">
      <text>
        <t xml:space="preserve">Salutation + Name
Fill on your own. If unclear, attend class or watch the video</t>
      </text>
    </comment>
    <comment authorId="0" ref="G660">
      <text>
        <t xml:space="preserve">Fill on your own. If unclear, attend class or watch the video</t>
      </text>
    </comment>
    <comment authorId="0" ref="J660">
      <text>
        <t xml:space="preserve">North and South Region -- Rs. 10,000
East and West Region -- Rs. 5,000
Fill on your own. If unclear, attend class or watch the video
</t>
      </text>
    </comment>
    <comment authorId="0" ref="D661">
      <text>
        <t xml:space="preserve">Mr. or Ms.
Depending on Male or Female
Fill on your own. If unclear, attend class or watch the video</t>
      </text>
    </comment>
    <comment authorId="0" ref="E661">
      <text>
        <t xml:space="preserve">Salutation + Name
Fill on your own. If unclear, attend class or watch the video</t>
      </text>
    </comment>
    <comment authorId="0" ref="G661">
      <text>
        <t xml:space="preserve">Fill on your own. If unclear, attend class or watch the video</t>
      </text>
    </comment>
    <comment authorId="0" ref="J661">
      <text>
        <t xml:space="preserve">North and South Region -- Rs. 10,000
East and West Region -- Rs. 5,000
Fill on your own. If unclear, attend class or watch the video
</t>
      </text>
    </comment>
    <comment authorId="0" ref="D662">
      <text>
        <t xml:space="preserve">Mr. or Ms.
Depending on Male or Female
Fill on your own. If unclear, attend class or watch the video</t>
      </text>
    </comment>
    <comment authorId="0" ref="E662">
      <text>
        <t xml:space="preserve">Salutation + Name
Fill on your own. If unclear, attend class or watch the video</t>
      </text>
    </comment>
    <comment authorId="0" ref="G662">
      <text>
        <t xml:space="preserve">Fill on your own. If unclear, attend class or watch the video</t>
      </text>
    </comment>
    <comment authorId="0" ref="J662">
      <text>
        <t xml:space="preserve">North and South Region -- Rs. 10,000
East and West Region -- Rs. 5,000
Fill on your own. If unclear, attend class or watch the video
</t>
      </text>
    </comment>
    <comment authorId="0" ref="D663">
      <text>
        <t xml:space="preserve">Mr. or Ms.
Depending on Male or Female
Fill on your own. If unclear, attend class or watch the video</t>
      </text>
    </comment>
    <comment authorId="0" ref="E663">
      <text>
        <t xml:space="preserve">Salutation + Name
Fill on your own. If unclear, attend class or watch the video</t>
      </text>
    </comment>
    <comment authorId="0" ref="G663">
      <text>
        <t xml:space="preserve">Fill on your own. If unclear, attend class or watch the video</t>
      </text>
    </comment>
    <comment authorId="0" ref="J663">
      <text>
        <t xml:space="preserve">North and South Region -- Rs. 10,000
East and West Region -- Rs. 5,000
Fill on your own. If unclear, attend class or watch the video
</t>
      </text>
    </comment>
    <comment authorId="0" ref="D664">
      <text>
        <t xml:space="preserve">Mr. or Ms.
Depending on Male or Female
Fill on your own. If unclear, attend class or watch the video</t>
      </text>
    </comment>
    <comment authorId="0" ref="E664">
      <text>
        <t xml:space="preserve">Salutation + Name
Fill on your own. If unclear, attend class or watch the video</t>
      </text>
    </comment>
    <comment authorId="0" ref="G664">
      <text>
        <t xml:space="preserve">Fill on your own. If unclear, attend class or watch the video</t>
      </text>
    </comment>
    <comment authorId="0" ref="J664">
      <text>
        <t xml:space="preserve">North and South Region -- Rs. 10,000
East and West Region -- Rs. 5,000
Fill on your own. If unclear, attend class or watch the video
</t>
      </text>
    </comment>
    <comment authorId="0" ref="D665">
      <text>
        <t xml:space="preserve">Mr. or Ms.
Depending on Male or Female
Fill on your own. If unclear, attend class or watch the video</t>
      </text>
    </comment>
    <comment authorId="0" ref="E665">
      <text>
        <t xml:space="preserve">Salutation + Name
Fill on your own. If unclear, attend class or watch the video</t>
      </text>
    </comment>
    <comment authorId="0" ref="G665">
      <text>
        <t xml:space="preserve">Fill on your own. If unclear, attend class or watch the video</t>
      </text>
    </comment>
    <comment authorId="0" ref="J665">
      <text>
        <t xml:space="preserve">North and South Region -- Rs. 10,000
East and West Region -- Rs. 5,000
Fill on your own. If unclear, attend class or watch the video
</t>
      </text>
    </comment>
    <comment authorId="0" ref="D666">
      <text>
        <t xml:space="preserve">Mr. or Ms.
Depending on Male or Female
Fill on your own. If unclear, attend class or watch the video</t>
      </text>
    </comment>
    <comment authorId="0" ref="E666">
      <text>
        <t xml:space="preserve">Salutation + Name
Fill on your own. If unclear, attend class or watch the video</t>
      </text>
    </comment>
    <comment authorId="0" ref="G666">
      <text>
        <t xml:space="preserve">Fill on your own. If unclear, attend class or watch the video</t>
      </text>
    </comment>
    <comment authorId="0" ref="J666">
      <text>
        <t xml:space="preserve">North and South Region -- Rs. 10,000
East and West Region -- Rs. 5,000
Fill on your own. If unclear, attend class or watch the video
</t>
      </text>
    </comment>
    <comment authorId="0" ref="D667">
      <text>
        <t xml:space="preserve">Mr. or Ms.
Depending on Male or Female
Fill on your own. If unclear, attend class or watch the video</t>
      </text>
    </comment>
    <comment authorId="0" ref="E667">
      <text>
        <t xml:space="preserve">Salutation + Name
Fill on your own. If unclear, attend class or watch the video</t>
      </text>
    </comment>
    <comment authorId="0" ref="G667">
      <text>
        <t xml:space="preserve">Fill on your own. If unclear, attend class or watch the video</t>
      </text>
    </comment>
    <comment authorId="0" ref="J667">
      <text>
        <t xml:space="preserve">North and South Region -- Rs. 10,000
East and West Region -- Rs. 5,000
Fill on your own. If unclear, attend class or watch the video
</t>
      </text>
    </comment>
    <comment authorId="0" ref="D668">
      <text>
        <t xml:space="preserve">Mr. or Ms.
Depending on Male or Female
Fill on your own. If unclear, attend class or watch the video</t>
      </text>
    </comment>
    <comment authorId="0" ref="E668">
      <text>
        <t xml:space="preserve">Salutation + Name
Fill on your own. If unclear, attend class or watch the video</t>
      </text>
    </comment>
    <comment authorId="0" ref="G668">
      <text>
        <t xml:space="preserve">Fill on your own. If unclear, attend class or watch the video</t>
      </text>
    </comment>
    <comment authorId="0" ref="J668">
      <text>
        <t xml:space="preserve">North and South Region -- Rs. 10,000
East and West Region -- Rs. 5,000
Fill on your own. If unclear, attend class or watch the video
</t>
      </text>
    </comment>
    <comment authorId="0" ref="D669">
      <text>
        <t xml:space="preserve">Mr. or Ms.
Depending on Male or Female
Fill on your own. If unclear, attend class or watch the video</t>
      </text>
    </comment>
    <comment authorId="0" ref="E669">
      <text>
        <t xml:space="preserve">Salutation + Name
Fill on your own. If unclear, attend class or watch the video</t>
      </text>
    </comment>
    <comment authorId="0" ref="G669">
      <text>
        <t xml:space="preserve">Fill on your own. If unclear, attend class or watch the video</t>
      </text>
    </comment>
    <comment authorId="0" ref="J669">
      <text>
        <t xml:space="preserve">North and South Region -- Rs. 10,000
East and West Region -- Rs. 5,000
Fill on your own. If unclear, attend class or watch the video
</t>
      </text>
    </comment>
    <comment authorId="0" ref="D670">
      <text>
        <t xml:space="preserve">Mr. or Ms.
Depending on Male or Female
Fill on your own. If unclear, attend class or watch the video</t>
      </text>
    </comment>
    <comment authorId="0" ref="E670">
      <text>
        <t xml:space="preserve">Salutation + Name
Fill on your own. If unclear, attend class or watch the video</t>
      </text>
    </comment>
    <comment authorId="0" ref="G670">
      <text>
        <t xml:space="preserve">Fill on your own. If unclear, attend class or watch the video</t>
      </text>
    </comment>
    <comment authorId="0" ref="J670">
      <text>
        <t xml:space="preserve">North and South Region -- Rs. 10,000
East and West Region -- Rs. 5,000
Fill on your own. If unclear, attend class or watch the video
</t>
      </text>
    </comment>
    <comment authorId="0" ref="D671">
      <text>
        <t xml:space="preserve">Mr. or Ms.
Depending on Male or Female
Fill on your own. If unclear, attend class or watch the video</t>
      </text>
    </comment>
    <comment authorId="0" ref="E671">
      <text>
        <t xml:space="preserve">Salutation + Name
Fill on your own. If unclear, attend class or watch the video</t>
      </text>
    </comment>
    <comment authorId="0" ref="G671">
      <text>
        <t xml:space="preserve">Fill on your own. If unclear, attend class or watch the video</t>
      </text>
    </comment>
    <comment authorId="0" ref="J671">
      <text>
        <t xml:space="preserve">North and South Region -- Rs. 10,000
East and West Region -- Rs. 5,000
Fill on your own. If unclear, attend class or watch the video
</t>
      </text>
    </comment>
    <comment authorId="0" ref="D672">
      <text>
        <t xml:space="preserve">Mr. or Ms.
Depending on Male or Female
Fill on your own. If unclear, attend class or watch the video</t>
      </text>
    </comment>
    <comment authorId="0" ref="E672">
      <text>
        <t xml:space="preserve">Salutation + Name
Fill on your own. If unclear, attend class or watch the video</t>
      </text>
    </comment>
    <comment authorId="0" ref="G672">
      <text>
        <t xml:space="preserve">Fill on your own. If unclear, attend class or watch the video</t>
      </text>
    </comment>
    <comment authorId="0" ref="J672">
      <text>
        <t xml:space="preserve">North and South Region -- Rs. 10,000
East and West Region -- Rs. 5,000
Fill on your own. If unclear, attend class or watch the video
</t>
      </text>
    </comment>
    <comment authorId="0" ref="D673">
      <text>
        <t xml:space="preserve">Mr. or Ms.
Depending on Male or Female
Fill on your own. If unclear, attend class or watch the video</t>
      </text>
    </comment>
    <comment authorId="0" ref="E673">
      <text>
        <t xml:space="preserve">Salutation + Name
Fill on your own. If unclear, attend class or watch the video</t>
      </text>
    </comment>
    <comment authorId="0" ref="G673">
      <text>
        <t xml:space="preserve">Fill on your own. If unclear, attend class or watch the video</t>
      </text>
    </comment>
    <comment authorId="0" ref="J673">
      <text>
        <t xml:space="preserve">North and South Region -- Rs. 10,000
East and West Region -- Rs. 5,000
Fill on your own. If unclear, attend class or watch the video
</t>
      </text>
    </comment>
    <comment authorId="0" ref="D674">
      <text>
        <t xml:space="preserve">Mr. or Ms.
Depending on Male or Female
Fill on your own. If unclear, attend class or watch the video</t>
      </text>
    </comment>
    <comment authorId="0" ref="E674">
      <text>
        <t xml:space="preserve">Salutation + Name
Fill on your own. If unclear, attend class or watch the video</t>
      </text>
    </comment>
    <comment authorId="0" ref="G674">
      <text>
        <t xml:space="preserve">Fill on your own. If unclear, attend class or watch the video</t>
      </text>
    </comment>
    <comment authorId="0" ref="J674">
      <text>
        <t xml:space="preserve">North and South Region -- Rs. 10,000
East and West Region -- Rs. 5,000
Fill on your own. If unclear, attend class or watch the video
</t>
      </text>
    </comment>
    <comment authorId="0" ref="D675">
      <text>
        <t xml:space="preserve">Mr. or Ms.
Depending on Male or Female
Fill on your own. If unclear, attend class or watch the video</t>
      </text>
    </comment>
    <comment authorId="0" ref="E675">
      <text>
        <t xml:space="preserve">Salutation + Name
Fill on your own. If unclear, attend class or watch the video</t>
      </text>
    </comment>
    <comment authorId="0" ref="G675">
      <text>
        <t xml:space="preserve">Fill on your own. If unclear, attend class or watch the video</t>
      </text>
    </comment>
    <comment authorId="0" ref="J675">
      <text>
        <t xml:space="preserve">North and South Region -- Rs. 10,000
East and West Region -- Rs. 5,000
Fill on your own. If unclear, attend class or watch the video
</t>
      </text>
    </comment>
    <comment authorId="0" ref="D676">
      <text>
        <t xml:space="preserve">Mr. or Ms.
Depending on Male or Female
Fill on your own. If unclear, attend class or watch the video</t>
      </text>
    </comment>
    <comment authorId="0" ref="E676">
      <text>
        <t xml:space="preserve">Salutation + Name
Fill on your own. If unclear, attend class or watch the video</t>
      </text>
    </comment>
    <comment authorId="0" ref="G676">
      <text>
        <t xml:space="preserve">Fill on your own. If unclear, attend class or watch the video</t>
      </text>
    </comment>
    <comment authorId="0" ref="J676">
      <text>
        <t xml:space="preserve">North and South Region -- Rs. 10,000
East and West Region -- Rs. 5,000
Fill on your own. If unclear, attend class or watch the video
</t>
      </text>
    </comment>
    <comment authorId="0" ref="D677">
      <text>
        <t xml:space="preserve">Mr. or Ms.
Depending on Male or Female
Fill on your own. If unclear, attend class or watch the video</t>
      </text>
    </comment>
    <comment authorId="0" ref="E677">
      <text>
        <t xml:space="preserve">Salutation + Name
Fill on your own. If unclear, attend class or watch the video</t>
      </text>
    </comment>
    <comment authorId="0" ref="G677">
      <text>
        <t xml:space="preserve">Fill on your own. If unclear, attend class or watch the video</t>
      </text>
    </comment>
    <comment authorId="0" ref="J677">
      <text>
        <t xml:space="preserve">North and South Region -- Rs. 10,000
East and West Region -- Rs. 5,000
Fill on your own. If unclear, attend class or watch the video
</t>
      </text>
    </comment>
    <comment authorId="0" ref="D678">
      <text>
        <t xml:space="preserve">Mr. or Ms.
Depending on Male or Female
Fill on your own. If unclear, attend class or watch the video</t>
      </text>
    </comment>
    <comment authorId="0" ref="E678">
      <text>
        <t xml:space="preserve">Salutation + Name
Fill on your own. If unclear, attend class or watch the video</t>
      </text>
    </comment>
    <comment authorId="0" ref="G678">
      <text>
        <t xml:space="preserve">Fill on your own. If unclear, attend class or watch the video</t>
      </text>
    </comment>
    <comment authorId="0" ref="J678">
      <text>
        <t xml:space="preserve">North and South Region -- Rs. 10,000
East and West Region -- Rs. 5,000
Fill on your own. If unclear, attend class or watch the video
</t>
      </text>
    </comment>
    <comment authorId="0" ref="D679">
      <text>
        <t xml:space="preserve">Mr. or Ms.
Depending on Male or Female
Fill on your own. If unclear, attend class or watch the video</t>
      </text>
    </comment>
    <comment authorId="0" ref="E679">
      <text>
        <t xml:space="preserve">Salutation + Name
Fill on your own. If unclear, attend class or watch the video</t>
      </text>
    </comment>
    <comment authorId="0" ref="G679">
      <text>
        <t xml:space="preserve">Fill on your own. If unclear, attend class or watch the video</t>
      </text>
    </comment>
    <comment authorId="0" ref="J679">
      <text>
        <t xml:space="preserve">North and South Region -- Rs. 10,000
East and West Region -- Rs. 5,000
Fill on your own. If unclear, attend class or watch the video
</t>
      </text>
    </comment>
    <comment authorId="0" ref="D680">
      <text>
        <t xml:space="preserve">Mr. or Ms.
Depending on Male or Female
Fill on your own. If unclear, attend class or watch the video</t>
      </text>
    </comment>
    <comment authorId="0" ref="E680">
      <text>
        <t xml:space="preserve">Salutation + Name
Fill on your own. If unclear, attend class or watch the video</t>
      </text>
    </comment>
    <comment authorId="0" ref="G680">
      <text>
        <t xml:space="preserve">Fill on your own. If unclear, attend class or watch the video</t>
      </text>
    </comment>
    <comment authorId="0" ref="J680">
      <text>
        <t xml:space="preserve">North and South Region -- Rs. 10,000
East and West Region -- Rs. 5,000
Fill on your own. If unclear, attend class or watch the video
</t>
      </text>
    </comment>
    <comment authorId="0" ref="D681">
      <text>
        <t xml:space="preserve">Mr. or Ms.
Depending on Male or Female
Fill on your own. If unclear, attend class or watch the video</t>
      </text>
    </comment>
    <comment authorId="0" ref="E681">
      <text>
        <t xml:space="preserve">Salutation + Name
Fill on your own. If unclear, attend class or watch the video</t>
      </text>
    </comment>
    <comment authorId="0" ref="G681">
      <text>
        <t xml:space="preserve">Fill on your own. If unclear, attend class or watch the video</t>
      </text>
    </comment>
    <comment authorId="0" ref="J681">
      <text>
        <t xml:space="preserve">North and South Region -- Rs. 10,000
East and West Region -- Rs. 5,000
Fill on your own. If unclear, attend class or watch the video
</t>
      </text>
    </comment>
    <comment authorId="0" ref="D682">
      <text>
        <t xml:space="preserve">Mr. or Ms.
Depending on Male or Female
Fill on your own. If unclear, attend class or watch the video</t>
      </text>
    </comment>
    <comment authorId="0" ref="E682">
      <text>
        <t xml:space="preserve">Salutation + Name
Fill on your own. If unclear, attend class or watch the video</t>
      </text>
    </comment>
    <comment authorId="0" ref="G682">
      <text>
        <t xml:space="preserve">Fill on your own. If unclear, attend class or watch the video</t>
      </text>
    </comment>
    <comment authorId="0" ref="J682">
      <text>
        <t xml:space="preserve">North and South Region -- Rs. 10,000
East and West Region -- Rs. 5,000
Fill on your own. If unclear, attend class or watch the video
</t>
      </text>
    </comment>
    <comment authorId="0" ref="D683">
      <text>
        <t xml:space="preserve">Mr. or Ms.
Depending on Male or Female
Fill on your own. If unclear, attend class or watch the video</t>
      </text>
    </comment>
    <comment authorId="0" ref="E683">
      <text>
        <t xml:space="preserve">Salutation + Name
Fill on your own. If unclear, attend class or watch the video</t>
      </text>
    </comment>
    <comment authorId="0" ref="G683">
      <text>
        <t xml:space="preserve">Fill on your own. If unclear, attend class or watch the video</t>
      </text>
    </comment>
    <comment authorId="0" ref="J683">
      <text>
        <t xml:space="preserve">North and South Region -- Rs. 10,000
East and West Region -- Rs. 5,000
Fill on your own. If unclear, attend class or watch the video
</t>
      </text>
    </comment>
    <comment authorId="0" ref="D684">
      <text>
        <t xml:space="preserve">Mr. or Ms.
Depending on Male or Female
Fill on your own. If unclear, attend class or watch the video</t>
      </text>
    </comment>
    <comment authorId="0" ref="E684">
      <text>
        <t xml:space="preserve">Salutation + Name
Fill on your own. If unclear, attend class or watch the video</t>
      </text>
    </comment>
    <comment authorId="0" ref="G684">
      <text>
        <t xml:space="preserve">Fill on your own. If unclear, attend class or watch the video</t>
      </text>
    </comment>
    <comment authorId="0" ref="J684">
      <text>
        <t xml:space="preserve">North and South Region -- Rs. 10,000
East and West Region -- Rs. 5,000
Fill on your own. If unclear, attend class or watch the video
</t>
      </text>
    </comment>
    <comment authorId="0" ref="D685">
      <text>
        <t xml:space="preserve">Mr. or Ms.
Depending on Male or Female
Fill on your own. If unclear, attend class or watch the video</t>
      </text>
    </comment>
    <comment authorId="0" ref="E685">
      <text>
        <t xml:space="preserve">Salutation + Name
Fill on your own. If unclear, attend class or watch the video</t>
      </text>
    </comment>
    <comment authorId="0" ref="G685">
      <text>
        <t xml:space="preserve">Fill on your own. If unclear, attend class or watch the video</t>
      </text>
    </comment>
    <comment authorId="0" ref="J685">
      <text>
        <t xml:space="preserve">North and South Region -- Rs. 10,000
East and West Region -- Rs. 5,000
Fill on your own. If unclear, attend class or watch the video
</t>
      </text>
    </comment>
    <comment authorId="0" ref="D686">
      <text>
        <t xml:space="preserve">Mr. or Ms.
Depending on Male or Female
Fill on your own. If unclear, attend class or watch the video</t>
      </text>
    </comment>
    <comment authorId="0" ref="E686">
      <text>
        <t xml:space="preserve">Salutation + Name
Fill on your own. If unclear, attend class or watch the video</t>
      </text>
    </comment>
    <comment authorId="0" ref="G686">
      <text>
        <t xml:space="preserve">Fill on your own. If unclear, attend class or watch the video</t>
      </text>
    </comment>
    <comment authorId="0" ref="J686">
      <text>
        <t xml:space="preserve">North and South Region -- Rs. 10,000
East and West Region -- Rs. 5,000
Fill on your own. If unclear, attend class or watch the video
</t>
      </text>
    </comment>
    <comment authorId="0" ref="D687">
      <text>
        <t xml:space="preserve">Mr. or Ms.
Depending on Male or Female
Fill on your own. If unclear, attend class or watch the video</t>
      </text>
    </comment>
    <comment authorId="0" ref="E687">
      <text>
        <t xml:space="preserve">Salutation + Name
Fill on your own. If unclear, attend class or watch the video</t>
      </text>
    </comment>
    <comment authorId="0" ref="G687">
      <text>
        <t xml:space="preserve">Fill on your own. If unclear, attend class or watch the video</t>
      </text>
    </comment>
    <comment authorId="0" ref="J687">
      <text>
        <t xml:space="preserve">North and South Region -- Rs. 10,000
East and West Region -- Rs. 5,000
Fill on your own. If unclear, attend class or watch the video
</t>
      </text>
    </comment>
    <comment authorId="0" ref="D688">
      <text>
        <t xml:space="preserve">Mr. or Ms.
Depending on Male or Female
Fill on your own. If unclear, attend class or watch the video</t>
      </text>
    </comment>
    <comment authorId="0" ref="E688">
      <text>
        <t xml:space="preserve">Salutation + Name
Fill on your own. If unclear, attend class or watch the video</t>
      </text>
    </comment>
    <comment authorId="0" ref="G688">
      <text>
        <t xml:space="preserve">Fill on your own. If unclear, attend class or watch the video</t>
      </text>
    </comment>
    <comment authorId="0" ref="J688">
      <text>
        <t xml:space="preserve">North and South Region -- Rs. 10,000
East and West Region -- Rs. 5,000
Fill on your own. If unclear, attend class or watch the video
</t>
      </text>
    </comment>
    <comment authorId="0" ref="D689">
      <text>
        <t xml:space="preserve">Mr. or Ms.
Depending on Male or Female
Fill on your own. If unclear, attend class or watch the video</t>
      </text>
    </comment>
    <comment authorId="0" ref="E689">
      <text>
        <t xml:space="preserve">Salutation + Name
Fill on your own. If unclear, attend class or watch the video</t>
      </text>
    </comment>
    <comment authorId="0" ref="G689">
      <text>
        <t xml:space="preserve">Fill on your own. If unclear, attend class or watch the video</t>
      </text>
    </comment>
    <comment authorId="0" ref="J689">
      <text>
        <t xml:space="preserve">North and South Region -- Rs. 10,000
East and West Region -- Rs. 5,000
Fill on your own. If unclear, attend class or watch the video
</t>
      </text>
    </comment>
    <comment authorId="0" ref="D690">
      <text>
        <t xml:space="preserve">Mr. or Ms.
Depending on Male or Female
Fill on your own. If unclear, attend class or watch the video</t>
      </text>
    </comment>
    <comment authorId="0" ref="E690">
      <text>
        <t xml:space="preserve">Salutation + Name
Fill on your own. If unclear, attend class or watch the video</t>
      </text>
    </comment>
    <comment authorId="0" ref="G690">
      <text>
        <t xml:space="preserve">Fill on your own. If unclear, attend class or watch the video</t>
      </text>
    </comment>
    <comment authorId="0" ref="J690">
      <text>
        <t xml:space="preserve">North and South Region -- Rs. 10,000
East and West Region -- Rs. 5,000
Fill on your own. If unclear, attend class or watch the video
</t>
      </text>
    </comment>
    <comment authorId="0" ref="D691">
      <text>
        <t xml:space="preserve">Mr. or Ms.
Depending on Male or Female
Fill on your own. If unclear, attend class or watch the video</t>
      </text>
    </comment>
    <comment authorId="0" ref="E691">
      <text>
        <t xml:space="preserve">Salutation + Name
Fill on your own. If unclear, attend class or watch the video</t>
      </text>
    </comment>
    <comment authorId="0" ref="G691">
      <text>
        <t xml:space="preserve">Fill on your own. If unclear, attend class or watch the video</t>
      </text>
    </comment>
    <comment authorId="0" ref="J691">
      <text>
        <t xml:space="preserve">North and South Region -- Rs. 10,000
East and West Region -- Rs. 5,000
Fill on your own. If unclear, attend class or watch the video
</t>
      </text>
    </comment>
    <comment authorId="0" ref="D692">
      <text>
        <t xml:space="preserve">Mr. or Ms.
Depending on Male or Female
Fill on your own. If unclear, attend class or watch the video</t>
      </text>
    </comment>
    <comment authorId="0" ref="E692">
      <text>
        <t xml:space="preserve">Salutation + Name
Fill on your own. If unclear, attend class or watch the video</t>
      </text>
    </comment>
    <comment authorId="0" ref="G692">
      <text>
        <t xml:space="preserve">Fill on your own. If unclear, attend class or watch the video</t>
      </text>
    </comment>
    <comment authorId="0" ref="J692">
      <text>
        <t xml:space="preserve">North and South Region -- Rs. 10,000
East and West Region -- Rs. 5,000
Fill on your own. If unclear, attend class or watch the video
</t>
      </text>
    </comment>
    <comment authorId="0" ref="D693">
      <text>
        <t xml:space="preserve">Mr. or Ms.
Depending on Male or Female
Fill on your own. If unclear, attend class or watch the video</t>
      </text>
    </comment>
    <comment authorId="0" ref="E693">
      <text>
        <t xml:space="preserve">Salutation + Name
Fill on your own. If unclear, attend class or watch the video</t>
      </text>
    </comment>
    <comment authorId="0" ref="G693">
      <text>
        <t xml:space="preserve">Fill on your own. If unclear, attend class or watch the video</t>
      </text>
    </comment>
    <comment authorId="0" ref="J693">
      <text>
        <t xml:space="preserve">North and South Region -- Rs. 10,000
East and West Region -- Rs. 5,000
Fill on your own. If unclear, attend class or watch the video
</t>
      </text>
    </comment>
    <comment authorId="0" ref="D694">
      <text>
        <t xml:space="preserve">Mr. or Ms.
Depending on Male or Female
Fill on your own. If unclear, attend class or watch the video</t>
      </text>
    </comment>
    <comment authorId="0" ref="E694">
      <text>
        <t xml:space="preserve">Salutation + Name
Fill on your own. If unclear, attend class or watch the video</t>
      </text>
    </comment>
    <comment authorId="0" ref="G694">
      <text>
        <t xml:space="preserve">Fill on your own. If unclear, attend class or watch the video</t>
      </text>
    </comment>
    <comment authorId="0" ref="J694">
      <text>
        <t xml:space="preserve">North and South Region -- Rs. 10,000
East and West Region -- Rs. 5,000
Fill on your own. If unclear, attend class or watch the video
</t>
      </text>
    </comment>
    <comment authorId="0" ref="D695">
      <text>
        <t xml:space="preserve">Mr. or Ms.
Depending on Male or Female
Fill on your own. If unclear, attend class or watch the video</t>
      </text>
    </comment>
    <comment authorId="0" ref="E695">
      <text>
        <t xml:space="preserve">Salutation + Name
Fill on your own. If unclear, attend class or watch the video</t>
      </text>
    </comment>
    <comment authorId="0" ref="G695">
      <text>
        <t xml:space="preserve">Fill on your own. If unclear, attend class or watch the video</t>
      </text>
    </comment>
    <comment authorId="0" ref="J695">
      <text>
        <t xml:space="preserve">North and South Region -- Rs. 10,000
East and West Region -- Rs. 5,000
Fill on your own. If unclear, attend class or watch the video
</t>
      </text>
    </comment>
    <comment authorId="0" ref="D696">
      <text>
        <t xml:space="preserve">Mr. or Ms.
Depending on Male or Female
Fill on your own. If unclear, attend class or watch the video</t>
      </text>
    </comment>
    <comment authorId="0" ref="E696">
      <text>
        <t xml:space="preserve">Salutation + Name
Fill on your own. If unclear, attend class or watch the video</t>
      </text>
    </comment>
    <comment authorId="0" ref="G696">
      <text>
        <t xml:space="preserve">Fill on your own. If unclear, attend class or watch the video</t>
      </text>
    </comment>
    <comment authorId="0" ref="J696">
      <text>
        <t xml:space="preserve">North and South Region -- Rs. 10,000
East and West Region -- Rs. 5,000
Fill on your own. If unclear, attend class or watch the video
</t>
      </text>
    </comment>
    <comment authorId="0" ref="D697">
      <text>
        <t xml:space="preserve">Mr. or Ms.
Depending on Male or Female
Fill on your own. If unclear, attend class or watch the video</t>
      </text>
    </comment>
    <comment authorId="0" ref="E697">
      <text>
        <t xml:space="preserve">Salutation + Name
Fill on your own. If unclear, attend class or watch the video</t>
      </text>
    </comment>
    <comment authorId="0" ref="G697">
      <text>
        <t xml:space="preserve">Fill on your own. If unclear, attend class or watch the video</t>
      </text>
    </comment>
    <comment authorId="0" ref="J697">
      <text>
        <t xml:space="preserve">North and South Region -- Rs. 10,000
East and West Region -- Rs. 5,000
Fill on your own. If unclear, attend class or watch the video
</t>
      </text>
    </comment>
    <comment authorId="0" ref="D698">
      <text>
        <t xml:space="preserve">Mr. or Ms.
Depending on Male or Female
Fill on your own. If unclear, attend class or watch the video</t>
      </text>
    </comment>
    <comment authorId="0" ref="E698">
      <text>
        <t xml:space="preserve">Salutation + Name
Fill on your own. If unclear, attend class or watch the video</t>
      </text>
    </comment>
    <comment authorId="0" ref="G698">
      <text>
        <t xml:space="preserve">Fill on your own. If unclear, attend class or watch the video</t>
      </text>
    </comment>
    <comment authorId="0" ref="J698">
      <text>
        <t xml:space="preserve">North and South Region -- Rs. 10,000
East and West Region -- Rs. 5,000
Fill on your own. If unclear, attend class or watch the video
</t>
      </text>
    </comment>
    <comment authorId="0" ref="D699">
      <text>
        <t xml:space="preserve">Mr. or Ms.
Depending on Male or Female
Fill on your own. If unclear, attend class or watch the video</t>
      </text>
    </comment>
    <comment authorId="0" ref="E699">
      <text>
        <t xml:space="preserve">Salutation + Name
Fill on your own. If unclear, attend class or watch the video</t>
      </text>
    </comment>
    <comment authorId="0" ref="G699">
      <text>
        <t xml:space="preserve">Fill on your own. If unclear, attend class or watch the video</t>
      </text>
    </comment>
    <comment authorId="0" ref="J699">
      <text>
        <t xml:space="preserve">North and South Region -- Rs. 10,000
East and West Region -- Rs. 5,000
Fill on your own. If unclear, attend class or watch the video
</t>
      </text>
    </comment>
    <comment authorId="0" ref="D700">
      <text>
        <t xml:space="preserve">Mr. or Ms.
Depending on Male or Female
Fill on your own. If unclear, attend class or watch the video</t>
      </text>
    </comment>
    <comment authorId="0" ref="E700">
      <text>
        <t xml:space="preserve">Salutation + Name
Fill on your own. If unclear, attend class or watch the video</t>
      </text>
    </comment>
    <comment authorId="0" ref="G700">
      <text>
        <t xml:space="preserve">Fill on your own. If unclear, attend class or watch the video</t>
      </text>
    </comment>
    <comment authorId="0" ref="J700">
      <text>
        <t xml:space="preserve">North and South Region -- Rs. 10,000
East and West Region -- Rs. 5,000
Fill on your own. If unclear, attend class or watch the video
</t>
      </text>
    </comment>
    <comment authorId="0" ref="D701">
      <text>
        <t xml:space="preserve">Mr. or Ms.
Depending on Male or Female
Fill on your own. If unclear, attend class or watch the video</t>
      </text>
    </comment>
    <comment authorId="0" ref="E701">
      <text>
        <t xml:space="preserve">Salutation + Name
Fill on your own. If unclear, attend class or watch the video</t>
      </text>
    </comment>
    <comment authorId="0" ref="G701">
      <text>
        <t xml:space="preserve">Fill on your own. If unclear, attend class or watch the video</t>
      </text>
    </comment>
    <comment authorId="0" ref="J701">
      <text>
        <t xml:space="preserve">North and South Region -- Rs. 10,000
East and West Region -- Rs. 5,000
Fill on your own. If unclear, attend class or watch the video
</t>
      </text>
    </comment>
    <comment authorId="0" ref="D702">
      <text>
        <t xml:space="preserve">Mr. or Ms.
Depending on Male or Female
Fill on your own. If unclear, attend class or watch the video</t>
      </text>
    </comment>
    <comment authorId="0" ref="E702">
      <text>
        <t xml:space="preserve">Salutation + Name
Fill on your own. If unclear, attend class or watch the video</t>
      </text>
    </comment>
    <comment authorId="0" ref="G702">
      <text>
        <t xml:space="preserve">Fill on your own. If unclear, attend class or watch the video</t>
      </text>
    </comment>
    <comment authorId="0" ref="J702">
      <text>
        <t xml:space="preserve">North and South Region -- Rs. 10,000
East and West Region -- Rs. 5,000
Fill on your own. If unclear, attend class or watch the video
</t>
      </text>
    </comment>
    <comment authorId="0" ref="D703">
      <text>
        <t xml:space="preserve">Mr. or Ms.
Depending on Male or Female
Fill on your own. If unclear, attend class or watch the video</t>
      </text>
    </comment>
    <comment authorId="0" ref="E703">
      <text>
        <t xml:space="preserve">Salutation + Name
Fill on your own. If unclear, attend class or watch the video</t>
      </text>
    </comment>
    <comment authorId="0" ref="G703">
      <text>
        <t xml:space="preserve">Fill on your own. If unclear, attend class or watch the video</t>
      </text>
    </comment>
    <comment authorId="0" ref="J703">
      <text>
        <t xml:space="preserve">North and South Region -- Rs. 10,000
East and West Region -- Rs. 5,000
Fill on your own. If unclear, attend class or watch the video
</t>
      </text>
    </comment>
    <comment authorId="0" ref="D704">
      <text>
        <t xml:space="preserve">Mr. or Ms.
Depending on Male or Female
Fill on your own. If unclear, attend class or watch the video</t>
      </text>
    </comment>
    <comment authorId="0" ref="E704">
      <text>
        <t xml:space="preserve">Salutation + Name
Fill on your own. If unclear, attend class or watch the video</t>
      </text>
    </comment>
    <comment authorId="0" ref="G704">
      <text>
        <t xml:space="preserve">Fill on your own. If unclear, attend class or watch the video</t>
      </text>
    </comment>
    <comment authorId="0" ref="J704">
      <text>
        <t xml:space="preserve">North and South Region -- Rs. 10,000
East and West Region -- Rs. 5,000
Fill on your own. If unclear, attend class or watch the video
</t>
      </text>
    </comment>
    <comment authorId="0" ref="D705">
      <text>
        <t xml:space="preserve">Mr. or Ms.
Depending on Male or Female
Fill on your own. If unclear, attend class or watch the video</t>
      </text>
    </comment>
    <comment authorId="0" ref="E705">
      <text>
        <t xml:space="preserve">Salutation + Name
Fill on your own. If unclear, attend class or watch the video</t>
      </text>
    </comment>
    <comment authorId="0" ref="G705">
      <text>
        <t xml:space="preserve">Fill on your own. If unclear, attend class or watch the video</t>
      </text>
    </comment>
    <comment authorId="0" ref="J705">
      <text>
        <t xml:space="preserve">North and South Region -- Rs. 10,000
East and West Region -- Rs. 5,000
Fill on your own. If unclear, attend class or watch the video
</t>
      </text>
    </comment>
    <comment authorId="0" ref="D706">
      <text>
        <t xml:space="preserve">Mr. or Ms.
Depending on Male or Female
Fill on your own. If unclear, attend class or watch the video</t>
      </text>
    </comment>
    <comment authorId="0" ref="E706">
      <text>
        <t xml:space="preserve">Salutation + Name
Fill on your own. If unclear, attend class or watch the video</t>
      </text>
    </comment>
    <comment authorId="0" ref="G706">
      <text>
        <t xml:space="preserve">Fill on your own. If unclear, attend class or watch the video</t>
      </text>
    </comment>
    <comment authorId="0" ref="J706">
      <text>
        <t xml:space="preserve">North and South Region -- Rs. 10,000
East and West Region -- Rs. 5,000
Fill on your own. If unclear, attend class or watch the video
</t>
      </text>
    </comment>
    <comment authorId="0" ref="D707">
      <text>
        <t xml:space="preserve">Mr. or Ms.
Depending on Male or Female
Fill on your own. If unclear, attend class or watch the video</t>
      </text>
    </comment>
    <comment authorId="0" ref="E707">
      <text>
        <t xml:space="preserve">Salutation + Name
Fill on your own. If unclear, attend class or watch the video</t>
      </text>
    </comment>
    <comment authorId="0" ref="G707">
      <text>
        <t xml:space="preserve">Fill on your own. If unclear, attend class or watch the video</t>
      </text>
    </comment>
    <comment authorId="0" ref="J707">
      <text>
        <t xml:space="preserve">North and South Region -- Rs. 10,000
East and West Region -- Rs. 5,000
Fill on your own. If unclear, attend class or watch the video
</t>
      </text>
    </comment>
    <comment authorId="0" ref="D708">
      <text>
        <t xml:space="preserve">Mr. or Ms.
Depending on Male or Female
Fill on your own. If unclear, attend class or watch the video</t>
      </text>
    </comment>
    <comment authorId="0" ref="E708">
      <text>
        <t xml:space="preserve">Salutation + Name
Fill on your own. If unclear, attend class or watch the video</t>
      </text>
    </comment>
    <comment authorId="0" ref="G708">
      <text>
        <t xml:space="preserve">Fill on your own. If unclear, attend class or watch the video</t>
      </text>
    </comment>
    <comment authorId="0" ref="J708">
      <text>
        <t xml:space="preserve">North and South Region -- Rs. 10,000
East and West Region -- Rs. 5,000
Fill on your own. If unclear, attend class or watch the video
</t>
      </text>
    </comment>
    <comment authorId="0" ref="D709">
      <text>
        <t xml:space="preserve">Mr. or Ms.
Depending on Male or Female
Fill on your own. If unclear, attend class or watch the video</t>
      </text>
    </comment>
    <comment authorId="0" ref="E709">
      <text>
        <t xml:space="preserve">Salutation + Name
Fill on your own. If unclear, attend class or watch the video</t>
      </text>
    </comment>
    <comment authorId="0" ref="G709">
      <text>
        <t xml:space="preserve">Fill on your own. If unclear, attend class or watch the video</t>
      </text>
    </comment>
    <comment authorId="0" ref="J709">
      <text>
        <t xml:space="preserve">North and South Region -- Rs. 10,000
East and West Region -- Rs. 5,000
Fill on your own. If unclear, attend class or watch the video
</t>
      </text>
    </comment>
    <comment authorId="0" ref="D710">
      <text>
        <t xml:space="preserve">Mr. or Ms.
Depending on Male or Female
Fill on your own. If unclear, attend class or watch the video</t>
      </text>
    </comment>
    <comment authorId="0" ref="E710">
      <text>
        <t xml:space="preserve">Salutation + Name
Fill on your own. If unclear, attend class or watch the video</t>
      </text>
    </comment>
    <comment authorId="0" ref="G710">
      <text>
        <t xml:space="preserve">Fill on your own. If unclear, attend class or watch the video</t>
      </text>
    </comment>
    <comment authorId="0" ref="J710">
      <text>
        <t xml:space="preserve">North and South Region -- Rs. 10,000
East and West Region -- Rs. 5,000
Fill on your own. If unclear, attend class or watch the video
</t>
      </text>
    </comment>
    <comment authorId="0" ref="D711">
      <text>
        <t xml:space="preserve">Mr. or Ms.
Depending on Male or Female
Fill on your own. If unclear, attend class or watch the video</t>
      </text>
    </comment>
    <comment authorId="0" ref="E711">
      <text>
        <t xml:space="preserve">Salutation + Name
Fill on your own. If unclear, attend class or watch the video</t>
      </text>
    </comment>
    <comment authorId="0" ref="G711">
      <text>
        <t xml:space="preserve">Fill on your own. If unclear, attend class or watch the video</t>
      </text>
    </comment>
    <comment authorId="0" ref="J711">
      <text>
        <t xml:space="preserve">North and South Region -- Rs. 10,000
East and West Region -- Rs. 5,000
Fill on your own. If unclear, attend class or watch the video
</t>
      </text>
    </comment>
    <comment authorId="0" ref="D712">
      <text>
        <t xml:space="preserve">Mr. or Ms.
Depending on Male or Female
Fill on your own. If unclear, attend class or watch the video</t>
      </text>
    </comment>
    <comment authorId="0" ref="E712">
      <text>
        <t xml:space="preserve">Salutation + Name
Fill on your own. If unclear, attend class or watch the video</t>
      </text>
    </comment>
    <comment authorId="0" ref="G712">
      <text>
        <t xml:space="preserve">Fill on your own. If unclear, attend class or watch the video</t>
      </text>
    </comment>
    <comment authorId="0" ref="J712">
      <text>
        <t xml:space="preserve">North and South Region -- Rs. 10,000
East and West Region -- Rs. 5,000
Fill on your own. If unclear, attend class or watch the video
</t>
      </text>
    </comment>
    <comment authorId="0" ref="D713">
      <text>
        <t xml:space="preserve">Mr. or Ms.
Depending on Male or Female
Fill on your own. If unclear, attend class or watch the video</t>
      </text>
    </comment>
    <comment authorId="0" ref="E713">
      <text>
        <t xml:space="preserve">Salutation + Name
Fill on your own. If unclear, attend class or watch the video</t>
      </text>
    </comment>
    <comment authorId="0" ref="G713">
      <text>
        <t xml:space="preserve">Fill on your own. If unclear, attend class or watch the video</t>
      </text>
    </comment>
    <comment authorId="0" ref="J713">
      <text>
        <t xml:space="preserve">North and South Region -- Rs. 10,000
East and West Region -- Rs. 5,000
Fill on your own. If unclear, attend class or watch the video
</t>
      </text>
    </comment>
    <comment authorId="0" ref="D714">
      <text>
        <t xml:space="preserve">Mr. or Ms.
Depending on Male or Female
Fill on your own. If unclear, attend class or watch the video</t>
      </text>
    </comment>
    <comment authorId="0" ref="E714">
      <text>
        <t xml:space="preserve">Salutation + Name
Fill on your own. If unclear, attend class or watch the video</t>
      </text>
    </comment>
    <comment authorId="0" ref="G714">
      <text>
        <t xml:space="preserve">Fill on your own. If unclear, attend class or watch the video</t>
      </text>
    </comment>
    <comment authorId="0" ref="J714">
      <text>
        <t xml:space="preserve">North and South Region -- Rs. 10,000
East and West Region -- Rs. 5,000
Fill on your own. If unclear, attend class or watch the video
</t>
      </text>
    </comment>
    <comment authorId="0" ref="D715">
      <text>
        <t xml:space="preserve">Mr. or Ms.
Depending on Male or Female
Fill on your own. If unclear, attend class or watch the video</t>
      </text>
    </comment>
    <comment authorId="0" ref="E715">
      <text>
        <t xml:space="preserve">Salutation + Name
Fill on your own. If unclear, attend class or watch the video</t>
      </text>
    </comment>
    <comment authorId="0" ref="G715">
      <text>
        <t xml:space="preserve">Fill on your own. If unclear, attend class or watch the video</t>
      </text>
    </comment>
    <comment authorId="0" ref="J715">
      <text>
        <t xml:space="preserve">North and South Region -- Rs. 10,000
East and West Region -- Rs. 5,000
Fill on your own. If unclear, attend class or watch the video
</t>
      </text>
    </comment>
    <comment authorId="0" ref="D716">
      <text>
        <t xml:space="preserve">Mr. or Ms.
Depending on Male or Female
Fill on your own. If unclear, attend class or watch the video</t>
      </text>
    </comment>
    <comment authorId="0" ref="E716">
      <text>
        <t xml:space="preserve">Salutation + Name
Fill on your own. If unclear, attend class or watch the video</t>
      </text>
    </comment>
    <comment authorId="0" ref="G716">
      <text>
        <t xml:space="preserve">Fill on your own. If unclear, attend class or watch the video</t>
      </text>
    </comment>
    <comment authorId="0" ref="J716">
      <text>
        <t xml:space="preserve">North and South Region -- Rs. 10,000
East and West Region -- Rs. 5,000
Fill on your own. If unclear, attend class or watch the video
</t>
      </text>
    </comment>
    <comment authorId="0" ref="D717">
      <text>
        <t xml:space="preserve">Mr. or Ms.
Depending on Male or Female
Fill on your own. If unclear, attend class or watch the video</t>
      </text>
    </comment>
    <comment authorId="0" ref="E717">
      <text>
        <t xml:space="preserve">Salutation + Name
Fill on your own. If unclear, attend class or watch the video</t>
      </text>
    </comment>
    <comment authorId="0" ref="G717">
      <text>
        <t xml:space="preserve">Fill on your own. If unclear, attend class or watch the video</t>
      </text>
    </comment>
    <comment authorId="0" ref="J717">
      <text>
        <t xml:space="preserve">North and South Region -- Rs. 10,000
East and West Region -- Rs. 5,000
Fill on your own. If unclear, attend class or watch the video
</t>
      </text>
    </comment>
    <comment authorId="0" ref="D718">
      <text>
        <t xml:space="preserve">Mr. or Ms.
Depending on Male or Female
Fill on your own. If unclear, attend class or watch the video</t>
      </text>
    </comment>
    <comment authorId="0" ref="E718">
      <text>
        <t xml:space="preserve">Salutation + Name
Fill on your own. If unclear, attend class or watch the video</t>
      </text>
    </comment>
    <comment authorId="0" ref="G718">
      <text>
        <t xml:space="preserve">Fill on your own. If unclear, attend class or watch the video</t>
      </text>
    </comment>
    <comment authorId="0" ref="J718">
      <text>
        <t xml:space="preserve">North and South Region -- Rs. 10,000
East and West Region -- Rs. 5,000
Fill on your own. If unclear, attend class or watch the video
</t>
      </text>
    </comment>
    <comment authorId="0" ref="D719">
      <text>
        <t xml:space="preserve">Mr. or Ms.
Depending on Male or Female
Fill on your own. If unclear, attend class or watch the video</t>
      </text>
    </comment>
    <comment authorId="0" ref="E719">
      <text>
        <t xml:space="preserve">Salutation + Name
Fill on your own. If unclear, attend class or watch the video</t>
      </text>
    </comment>
    <comment authorId="0" ref="G719">
      <text>
        <t xml:space="preserve">Fill on your own. If unclear, attend class or watch the video</t>
      </text>
    </comment>
    <comment authorId="0" ref="J719">
      <text>
        <t xml:space="preserve">North and South Region -- Rs. 10,000
East and West Region -- Rs. 5,000
Fill on your own. If unclear, attend class or watch the video
</t>
      </text>
    </comment>
    <comment authorId="0" ref="D720">
      <text>
        <t xml:space="preserve">Mr. or Ms.
Depending on Male or Female
Fill on your own. If unclear, attend class or watch the video</t>
      </text>
    </comment>
    <comment authorId="0" ref="E720">
      <text>
        <t xml:space="preserve">Salutation + Name
Fill on your own. If unclear, attend class or watch the video</t>
      </text>
    </comment>
    <comment authorId="0" ref="G720">
      <text>
        <t xml:space="preserve">Fill on your own. If unclear, attend class or watch the video</t>
      </text>
    </comment>
    <comment authorId="0" ref="J720">
      <text>
        <t xml:space="preserve">North and South Region -- Rs. 10,000
East and West Region -- Rs. 5,000
Fill on your own. If unclear, attend class or watch the video
</t>
      </text>
    </comment>
    <comment authorId="0" ref="D721">
      <text>
        <t xml:space="preserve">Mr. or Ms.
Depending on Male or Female
Fill on your own. If unclear, attend class or watch the video</t>
      </text>
    </comment>
    <comment authorId="0" ref="E721">
      <text>
        <t xml:space="preserve">Salutation + Name
Fill on your own. If unclear, attend class or watch the video</t>
      </text>
    </comment>
    <comment authorId="0" ref="G721">
      <text>
        <t xml:space="preserve">Fill on your own. If unclear, attend class or watch the video</t>
      </text>
    </comment>
    <comment authorId="0" ref="J721">
      <text>
        <t xml:space="preserve">North and South Region -- Rs. 10,000
East and West Region -- Rs. 5,000
Fill on your own. If unclear, attend class or watch the video
</t>
      </text>
    </comment>
    <comment authorId="0" ref="D722">
      <text>
        <t xml:space="preserve">Mr. or Ms.
Depending on Male or Female
Fill on your own. If unclear, attend class or watch the video</t>
      </text>
    </comment>
    <comment authorId="0" ref="E722">
      <text>
        <t xml:space="preserve">Salutation + Name
Fill on your own. If unclear, attend class or watch the video</t>
      </text>
    </comment>
    <comment authorId="0" ref="G722">
      <text>
        <t xml:space="preserve">Fill on your own. If unclear, attend class or watch the video</t>
      </text>
    </comment>
    <comment authorId="0" ref="J722">
      <text>
        <t xml:space="preserve">North and South Region -- Rs. 10,000
East and West Region -- Rs. 5,000
Fill on your own. If unclear, attend class or watch the video
</t>
      </text>
    </comment>
    <comment authorId="0" ref="D723">
      <text>
        <t xml:space="preserve">Mr. or Ms.
Depending on Male or Female
Fill on your own. If unclear, attend class or watch the video</t>
      </text>
    </comment>
    <comment authorId="0" ref="E723">
      <text>
        <t xml:space="preserve">Salutation + Name
Fill on your own. If unclear, attend class or watch the video</t>
      </text>
    </comment>
    <comment authorId="0" ref="G723">
      <text>
        <t xml:space="preserve">Fill on your own. If unclear, attend class or watch the video</t>
      </text>
    </comment>
    <comment authorId="0" ref="J723">
      <text>
        <t xml:space="preserve">North and South Region -- Rs. 10,000
East and West Region -- Rs. 5,000
Fill on your own. If unclear, attend class or watch the video
</t>
      </text>
    </comment>
    <comment authorId="0" ref="D724">
      <text>
        <t xml:space="preserve">Mr. or Ms.
Depending on Male or Female
Fill on your own. If unclear, attend class or watch the video</t>
      </text>
    </comment>
    <comment authorId="0" ref="E724">
      <text>
        <t xml:space="preserve">Salutation + Name
Fill on your own. If unclear, attend class or watch the video</t>
      </text>
    </comment>
    <comment authorId="0" ref="G724">
      <text>
        <t xml:space="preserve">Fill on your own. If unclear, attend class or watch the video</t>
      </text>
    </comment>
    <comment authorId="0" ref="J724">
      <text>
        <t xml:space="preserve">North and South Region -- Rs. 10,000
East and West Region -- Rs. 5,000
Fill on your own. If unclear, attend class or watch the video
</t>
      </text>
    </comment>
    <comment authorId="0" ref="D725">
      <text>
        <t xml:space="preserve">Mr. or Ms.
Depending on Male or Female
Fill on your own. If unclear, attend class or watch the video</t>
      </text>
    </comment>
    <comment authorId="0" ref="E725">
      <text>
        <t xml:space="preserve">Salutation + Name
Fill on your own. If unclear, attend class or watch the video</t>
      </text>
    </comment>
    <comment authorId="0" ref="G725">
      <text>
        <t xml:space="preserve">Fill on your own. If unclear, attend class or watch the video</t>
      </text>
    </comment>
    <comment authorId="0" ref="J725">
      <text>
        <t xml:space="preserve">North and South Region -- Rs. 10,000
East and West Region -- Rs. 5,000
Fill on your own. If unclear, attend class or watch the video
</t>
      </text>
    </comment>
    <comment authorId="0" ref="D726">
      <text>
        <t xml:space="preserve">Mr. or Ms.
Depending on Male or Female
Fill on your own. If unclear, attend class or watch the video</t>
      </text>
    </comment>
    <comment authorId="0" ref="E726">
      <text>
        <t xml:space="preserve">Salutation + Name
Fill on your own. If unclear, attend class or watch the video</t>
      </text>
    </comment>
    <comment authorId="0" ref="G726">
      <text>
        <t xml:space="preserve">Fill on your own. If unclear, attend class or watch the video</t>
      </text>
    </comment>
    <comment authorId="0" ref="J726">
      <text>
        <t xml:space="preserve">North and South Region -- Rs. 10,000
East and West Region -- Rs. 5,000
Fill on your own. If unclear, attend class or watch the video
</t>
      </text>
    </comment>
    <comment authorId="0" ref="D727">
      <text>
        <t xml:space="preserve">Mr. or Ms.
Depending on Male or Female
Fill on your own. If unclear, attend class or watch the video</t>
      </text>
    </comment>
    <comment authorId="0" ref="E727">
      <text>
        <t xml:space="preserve">Salutation + Name
Fill on your own. If unclear, attend class or watch the video</t>
      </text>
    </comment>
    <comment authorId="0" ref="G727">
      <text>
        <t xml:space="preserve">Fill on your own. If unclear, attend class or watch the video</t>
      </text>
    </comment>
    <comment authorId="0" ref="J727">
      <text>
        <t xml:space="preserve">North and South Region -- Rs. 10,000
East and West Region -- Rs. 5,000
Fill on your own. If unclear, attend class or watch the video
</t>
      </text>
    </comment>
    <comment authorId="0" ref="D728">
      <text>
        <t xml:space="preserve">Mr. or Ms.
Depending on Male or Female
Fill on your own. If unclear, attend class or watch the video</t>
      </text>
    </comment>
    <comment authorId="0" ref="E728">
      <text>
        <t xml:space="preserve">Salutation + Name
Fill on your own. If unclear, attend class or watch the video</t>
      </text>
    </comment>
    <comment authorId="0" ref="G728">
      <text>
        <t xml:space="preserve">Fill on your own. If unclear, attend class or watch the video</t>
      </text>
    </comment>
    <comment authorId="0" ref="J728">
      <text>
        <t xml:space="preserve">North and South Region -- Rs. 10,000
East and West Region -- Rs. 5,000
Fill on your own. If unclear, attend class or watch the video
</t>
      </text>
    </comment>
    <comment authorId="0" ref="D729">
      <text>
        <t xml:space="preserve">Mr. or Ms.
Depending on Male or Female
Fill on your own. If unclear, attend class or watch the video</t>
      </text>
    </comment>
    <comment authorId="0" ref="E729">
      <text>
        <t xml:space="preserve">Salutation + Name
Fill on your own. If unclear, attend class or watch the video</t>
      </text>
    </comment>
    <comment authorId="0" ref="G729">
      <text>
        <t xml:space="preserve">Fill on your own. If unclear, attend class or watch the video</t>
      </text>
    </comment>
    <comment authorId="0" ref="J729">
      <text>
        <t xml:space="preserve">North and South Region -- Rs. 10,000
East and West Region -- Rs. 5,000
Fill on your own. If unclear, attend class or watch the video
</t>
      </text>
    </comment>
    <comment authorId="0" ref="D730">
      <text>
        <t xml:space="preserve">Mr. or Ms.
Depending on Male or Female
Fill on your own. If unclear, attend class or watch the video</t>
      </text>
    </comment>
    <comment authorId="0" ref="E730">
      <text>
        <t xml:space="preserve">Salutation + Name
Fill on your own. If unclear, attend class or watch the video</t>
      </text>
    </comment>
    <comment authorId="0" ref="G730">
      <text>
        <t xml:space="preserve">Fill on your own. If unclear, attend class or watch the video</t>
      </text>
    </comment>
    <comment authorId="0" ref="J730">
      <text>
        <t xml:space="preserve">North and South Region -- Rs. 10,000
East and West Region -- Rs. 5,000
Fill on your own. If unclear, attend class or watch the video
</t>
      </text>
    </comment>
    <comment authorId="0" ref="D731">
      <text>
        <t xml:space="preserve">Mr. or Ms.
Depending on Male or Female
Fill on your own. If unclear, attend class or watch the video</t>
      </text>
    </comment>
    <comment authorId="0" ref="E731">
      <text>
        <t xml:space="preserve">Salutation + Name
Fill on your own. If unclear, attend class or watch the video</t>
      </text>
    </comment>
    <comment authorId="0" ref="G731">
      <text>
        <t xml:space="preserve">Fill on your own. If unclear, attend class or watch the video</t>
      </text>
    </comment>
    <comment authorId="0" ref="J731">
      <text>
        <t xml:space="preserve">North and South Region -- Rs. 10,000
East and West Region -- Rs. 5,000
Fill on your own. If unclear, attend class or watch the video
</t>
      </text>
    </comment>
    <comment authorId="0" ref="D732">
      <text>
        <t xml:space="preserve">Mr. or Ms.
Depending on Male or Female
Fill on your own. If unclear, attend class or watch the video</t>
      </text>
    </comment>
    <comment authorId="0" ref="E732">
      <text>
        <t xml:space="preserve">Salutation + Name
Fill on your own. If unclear, attend class or watch the video</t>
      </text>
    </comment>
    <comment authorId="0" ref="G732">
      <text>
        <t xml:space="preserve">Fill on your own. If unclear, attend class or watch the video</t>
      </text>
    </comment>
    <comment authorId="0" ref="J732">
      <text>
        <t xml:space="preserve">North and South Region -- Rs. 10,000
East and West Region -- Rs. 5,000
Fill on your own. If unclear, attend class or watch the video
</t>
      </text>
    </comment>
    <comment authorId="0" ref="D733">
      <text>
        <t xml:space="preserve">Mr. or Ms.
Depending on Male or Female
Fill on your own. If unclear, attend class or watch the video</t>
      </text>
    </comment>
    <comment authorId="0" ref="E733">
      <text>
        <t xml:space="preserve">Salutation + Name
Fill on your own. If unclear, attend class or watch the video</t>
      </text>
    </comment>
    <comment authorId="0" ref="G733">
      <text>
        <t xml:space="preserve">Fill on your own. If unclear, attend class or watch the video</t>
      </text>
    </comment>
    <comment authorId="0" ref="J733">
      <text>
        <t xml:space="preserve">North and South Region -- Rs. 10,000
East and West Region -- Rs. 5,000
Fill on your own. If unclear, attend class or watch the video
</t>
      </text>
    </comment>
    <comment authorId="0" ref="D734">
      <text>
        <t xml:space="preserve">Mr. or Ms.
Depending on Male or Female
Fill on your own. If unclear, attend class or watch the video</t>
      </text>
    </comment>
    <comment authorId="0" ref="E734">
      <text>
        <t xml:space="preserve">Salutation + Name
Fill on your own. If unclear, attend class or watch the video</t>
      </text>
    </comment>
    <comment authorId="0" ref="G734">
      <text>
        <t xml:space="preserve">Fill on your own. If unclear, attend class or watch the video</t>
      </text>
    </comment>
    <comment authorId="0" ref="J734">
      <text>
        <t xml:space="preserve">North and South Region -- Rs. 10,000
East and West Region -- Rs. 5,000
Fill on your own. If unclear, attend class or watch the video
</t>
      </text>
    </comment>
    <comment authorId="0" ref="D735">
      <text>
        <t xml:space="preserve">Mr. or Ms.
Depending on Male or Female
Fill on your own. If unclear, attend class or watch the video</t>
      </text>
    </comment>
    <comment authorId="0" ref="E735">
      <text>
        <t xml:space="preserve">Salutation + Name
Fill on your own. If unclear, attend class or watch the video</t>
      </text>
    </comment>
    <comment authorId="0" ref="G735">
      <text>
        <t xml:space="preserve">Fill on your own. If unclear, attend class or watch the video</t>
      </text>
    </comment>
    <comment authorId="0" ref="J735">
      <text>
        <t xml:space="preserve">North and South Region -- Rs. 10,000
East and West Region -- Rs. 5,000
Fill on your own. If unclear, attend class or watch the video
</t>
      </text>
    </comment>
    <comment authorId="0" ref="D736">
      <text>
        <t xml:space="preserve">Mr. or Ms.
Depending on Male or Female
Fill on your own. If unclear, attend class or watch the video</t>
      </text>
    </comment>
    <comment authorId="0" ref="E736">
      <text>
        <t xml:space="preserve">Salutation + Name
Fill on your own. If unclear, attend class or watch the video</t>
      </text>
    </comment>
    <comment authorId="0" ref="G736">
      <text>
        <t xml:space="preserve">Fill on your own. If unclear, attend class or watch the video</t>
      </text>
    </comment>
    <comment authorId="0" ref="J736">
      <text>
        <t xml:space="preserve">North and South Region -- Rs. 10,000
East and West Region -- Rs. 5,000
Fill on your own. If unclear, attend class or watch the video
</t>
      </text>
    </comment>
    <comment authorId="0" ref="D737">
      <text>
        <t xml:space="preserve">Mr. or Ms.
Depending on Male or Female
Fill on your own. If unclear, attend class or watch the video</t>
      </text>
    </comment>
    <comment authorId="0" ref="E737">
      <text>
        <t xml:space="preserve">Salutation + Name
Fill on your own. If unclear, attend class or watch the video</t>
      </text>
    </comment>
    <comment authorId="0" ref="G737">
      <text>
        <t xml:space="preserve">Fill on your own. If unclear, attend class or watch the video</t>
      </text>
    </comment>
    <comment authorId="0" ref="J737">
      <text>
        <t xml:space="preserve">North and South Region -- Rs. 10,000
East and West Region -- Rs. 5,000
Fill on your own. If unclear, attend class or watch the video
</t>
      </text>
    </comment>
    <comment authorId="0" ref="D738">
      <text>
        <t xml:space="preserve">Mr. or Ms.
Depending on Male or Female
Fill on your own. If unclear, attend class or watch the video</t>
      </text>
    </comment>
    <comment authorId="0" ref="E738">
      <text>
        <t xml:space="preserve">Salutation + Name
Fill on your own. If unclear, attend class or watch the video</t>
      </text>
    </comment>
    <comment authorId="0" ref="G738">
      <text>
        <t xml:space="preserve">Fill on your own. If unclear, attend class or watch the video</t>
      </text>
    </comment>
    <comment authorId="0" ref="J738">
      <text>
        <t xml:space="preserve">North and South Region -- Rs. 10,000
East and West Region -- Rs. 5,000
Fill on your own. If unclear, attend class or watch the video
</t>
      </text>
    </comment>
    <comment authorId="0" ref="D739">
      <text>
        <t xml:space="preserve">Mr. or Ms.
Depending on Male or Female
Fill on your own. If unclear, attend class or watch the video</t>
      </text>
    </comment>
    <comment authorId="0" ref="E739">
      <text>
        <t xml:space="preserve">Salutation + Name
Fill on your own. If unclear, attend class or watch the video</t>
      </text>
    </comment>
    <comment authorId="0" ref="G739">
      <text>
        <t xml:space="preserve">Fill on your own. If unclear, attend class or watch the video</t>
      </text>
    </comment>
    <comment authorId="0" ref="J739">
      <text>
        <t xml:space="preserve">North and South Region -- Rs. 10,000
East and West Region -- Rs. 5,000
Fill on your own. If unclear, attend class or watch the video
</t>
      </text>
    </comment>
    <comment authorId="0" ref="D740">
      <text>
        <t xml:space="preserve">Mr. or Ms.
Depending on Male or Female
Fill on your own. If unclear, attend class or watch the video</t>
      </text>
    </comment>
    <comment authorId="0" ref="E740">
      <text>
        <t xml:space="preserve">Salutation + Name
Fill on your own. If unclear, attend class or watch the video</t>
      </text>
    </comment>
    <comment authorId="0" ref="G740">
      <text>
        <t xml:space="preserve">Fill on your own. If unclear, attend class or watch the video</t>
      </text>
    </comment>
    <comment authorId="0" ref="J740">
      <text>
        <t xml:space="preserve">North and South Region -- Rs. 10,000
East and West Region -- Rs. 5,000
Fill on your own. If unclear, attend class or watch the video
</t>
      </text>
    </comment>
    <comment authorId="0" ref="D741">
      <text>
        <t xml:space="preserve">Mr. or Ms.
Depending on Male or Female
Fill on your own. If unclear, attend class or watch the video</t>
      </text>
    </comment>
    <comment authorId="0" ref="E741">
      <text>
        <t xml:space="preserve">Salutation + Name
Fill on your own. If unclear, attend class or watch the video</t>
      </text>
    </comment>
    <comment authorId="0" ref="G741">
      <text>
        <t xml:space="preserve">Fill on your own. If unclear, attend class or watch the video</t>
      </text>
    </comment>
    <comment authorId="0" ref="J741">
      <text>
        <t xml:space="preserve">North and South Region -- Rs. 10,000
East and West Region -- Rs. 5,000
Fill on your own. If unclear, attend class or watch the video
</t>
      </text>
    </comment>
    <comment authorId="0" ref="D742">
      <text>
        <t xml:space="preserve">Mr. or Ms.
Depending on Male or Female
Fill on your own. If unclear, attend class or watch the video</t>
      </text>
    </comment>
    <comment authorId="0" ref="E742">
      <text>
        <t xml:space="preserve">Salutation + Name
Fill on your own. If unclear, attend class or watch the video</t>
      </text>
    </comment>
    <comment authorId="0" ref="G742">
      <text>
        <t xml:space="preserve">Fill on your own. If unclear, attend class or watch the video</t>
      </text>
    </comment>
    <comment authorId="0" ref="J742">
      <text>
        <t xml:space="preserve">North and South Region -- Rs. 10,000
East and West Region -- Rs. 5,000
Fill on your own. If unclear, attend class or watch the video
</t>
      </text>
    </comment>
    <comment authorId="0" ref="D743">
      <text>
        <t xml:space="preserve">Mr. or Ms.
Depending on Male or Female
Fill on your own. If unclear, attend class or watch the video</t>
      </text>
    </comment>
    <comment authorId="0" ref="E743">
      <text>
        <t xml:space="preserve">Salutation + Name
Fill on your own. If unclear, attend class or watch the video</t>
      </text>
    </comment>
    <comment authorId="0" ref="G743">
      <text>
        <t xml:space="preserve">Fill on your own. If unclear, attend class or watch the video</t>
      </text>
    </comment>
    <comment authorId="0" ref="J743">
      <text>
        <t xml:space="preserve">North and South Region -- Rs. 10,000
East and West Region -- Rs. 5,000
Fill on your own. If unclear, attend class or watch the video
</t>
      </text>
    </comment>
    <comment authorId="0" ref="D744">
      <text>
        <t xml:space="preserve">Mr. or Ms.
Depending on Male or Female
Fill on your own. If unclear, attend class or watch the video</t>
      </text>
    </comment>
    <comment authorId="0" ref="E744">
      <text>
        <t xml:space="preserve">Salutation + Name
Fill on your own. If unclear, attend class or watch the video</t>
      </text>
    </comment>
    <comment authorId="0" ref="G744">
      <text>
        <t xml:space="preserve">Fill on your own. If unclear, attend class or watch the video</t>
      </text>
    </comment>
    <comment authorId="0" ref="J744">
      <text>
        <t xml:space="preserve">North and South Region -- Rs. 10,000
East and West Region -- Rs. 5,000
Fill on your own. If unclear, attend class or watch the video
</t>
      </text>
    </comment>
    <comment authorId="0" ref="D745">
      <text>
        <t xml:space="preserve">Mr. or Ms.
Depending on Male or Female
Fill on your own. If unclear, attend class or watch the video</t>
      </text>
    </comment>
    <comment authorId="0" ref="E745">
      <text>
        <t xml:space="preserve">Salutation + Name
Fill on your own. If unclear, attend class or watch the video</t>
      </text>
    </comment>
    <comment authorId="0" ref="G745">
      <text>
        <t xml:space="preserve">Fill on your own. If unclear, attend class or watch the video</t>
      </text>
    </comment>
    <comment authorId="0" ref="J745">
      <text>
        <t xml:space="preserve">North and South Region -- Rs. 10,000
East and West Region -- Rs. 5,000
Fill on your own. If unclear, attend class or watch the video
</t>
      </text>
    </comment>
    <comment authorId="0" ref="D746">
      <text>
        <t xml:space="preserve">Mr. or Ms.
Depending on Male or Female
Fill on your own. If unclear, attend class or watch the video</t>
      </text>
    </comment>
    <comment authorId="0" ref="E746">
      <text>
        <t xml:space="preserve">Salutation + Name
Fill on your own. If unclear, attend class or watch the video</t>
      </text>
    </comment>
    <comment authorId="0" ref="G746">
      <text>
        <t xml:space="preserve">Fill on your own. If unclear, attend class or watch the video</t>
      </text>
    </comment>
    <comment authorId="0" ref="J746">
      <text>
        <t xml:space="preserve">North and South Region -- Rs. 10,000
East and West Region -- Rs. 5,000
Fill on your own. If unclear, attend class or watch the video
</t>
      </text>
    </comment>
    <comment authorId="0" ref="D747">
      <text>
        <t xml:space="preserve">Mr. or Ms.
Depending on Male or Female
Fill on your own. If unclear, attend class or watch the video</t>
      </text>
    </comment>
    <comment authorId="0" ref="E747">
      <text>
        <t xml:space="preserve">Salutation + Name
Fill on your own. If unclear, attend class or watch the video</t>
      </text>
    </comment>
    <comment authorId="0" ref="G747">
      <text>
        <t xml:space="preserve">Fill on your own. If unclear, attend class or watch the video</t>
      </text>
    </comment>
    <comment authorId="0" ref="J747">
      <text>
        <t xml:space="preserve">North and South Region -- Rs. 10,000
East and West Region -- Rs. 5,000
Fill on your own. If unclear, attend class or watch the video
</t>
      </text>
    </comment>
    <comment authorId="0" ref="D748">
      <text>
        <t xml:space="preserve">Mr. or Ms.
Depending on Male or Female
Fill on your own. If unclear, attend class or watch the video</t>
      </text>
    </comment>
    <comment authorId="0" ref="E748">
      <text>
        <t xml:space="preserve">Salutation + Name
Fill on your own. If unclear, attend class or watch the video</t>
      </text>
    </comment>
    <comment authorId="0" ref="G748">
      <text>
        <t xml:space="preserve">Fill on your own. If unclear, attend class or watch the video</t>
      </text>
    </comment>
    <comment authorId="0" ref="J748">
      <text>
        <t xml:space="preserve">North and South Region -- Rs. 10,000
East and West Region -- Rs. 5,000
Fill on your own. If unclear, attend class or watch the video
</t>
      </text>
    </comment>
    <comment authorId="0" ref="D749">
      <text>
        <t xml:space="preserve">Mr. or Ms.
Depending on Male or Female
Fill on your own. If unclear, attend class or watch the video</t>
      </text>
    </comment>
    <comment authorId="0" ref="E749">
      <text>
        <t xml:space="preserve">Salutation + Name
Fill on your own. If unclear, attend class or watch the video</t>
      </text>
    </comment>
    <comment authorId="0" ref="G749">
      <text>
        <t xml:space="preserve">Fill on your own. If unclear, attend class or watch the video</t>
      </text>
    </comment>
    <comment authorId="0" ref="J749">
      <text>
        <t xml:space="preserve">North and South Region -- Rs. 10,000
East and West Region -- Rs. 5,000
Fill on your own. If unclear, attend class or watch the video
</t>
      </text>
    </comment>
    <comment authorId="0" ref="D750">
      <text>
        <t xml:space="preserve">Mr. or Ms.
Depending on Male or Female
Fill on your own. If unclear, attend class or watch the video</t>
      </text>
    </comment>
    <comment authorId="0" ref="E750">
      <text>
        <t xml:space="preserve">Salutation + Name
Fill on your own. If unclear, attend class or watch the video</t>
      </text>
    </comment>
    <comment authorId="0" ref="G750">
      <text>
        <t xml:space="preserve">Fill on your own. If unclear, attend class or watch the video</t>
      </text>
    </comment>
    <comment authorId="0" ref="J750">
      <text>
        <t xml:space="preserve">North and South Region -- Rs. 10,000
East and West Region -- Rs. 5,000
Fill on your own. If unclear, attend class or watch the video
</t>
      </text>
    </comment>
    <comment authorId="0" ref="D751">
      <text>
        <t xml:space="preserve">Mr. or Ms.
Depending on Male or Female
Fill on your own. If unclear, attend class or watch the video</t>
      </text>
    </comment>
    <comment authorId="0" ref="E751">
      <text>
        <t xml:space="preserve">Salutation + Name
Fill on your own. If unclear, attend class or watch the video</t>
      </text>
    </comment>
    <comment authorId="0" ref="G751">
      <text>
        <t xml:space="preserve">Fill on your own. If unclear, attend class or watch the video</t>
      </text>
    </comment>
    <comment authorId="0" ref="J751">
      <text>
        <t xml:space="preserve">North and South Region -- Rs. 10,000
East and West Region -- Rs. 5,000
Fill on your own. If unclear, attend class or watch the video
</t>
      </text>
    </comment>
    <comment authorId="0" ref="D752">
      <text>
        <t xml:space="preserve">Mr. or Ms.
Depending on Male or Female
Fill on your own. If unclear, attend class or watch the video</t>
      </text>
    </comment>
    <comment authorId="0" ref="E752">
      <text>
        <t xml:space="preserve">Salutation + Name
Fill on your own. If unclear, attend class or watch the video</t>
      </text>
    </comment>
    <comment authorId="0" ref="G752">
      <text>
        <t xml:space="preserve">Fill on your own. If unclear, attend class or watch the video</t>
      </text>
    </comment>
    <comment authorId="0" ref="J752">
      <text>
        <t xml:space="preserve">North and South Region -- Rs. 10,000
East and West Region -- Rs. 5,000
Fill on your own. If unclear, attend class or watch the video
</t>
      </text>
    </comment>
    <comment authorId="0" ref="D753">
      <text>
        <t xml:space="preserve">Mr. or Ms.
Depending on Male or Female
Fill on your own. If unclear, attend class or watch the video</t>
      </text>
    </comment>
    <comment authorId="0" ref="E753">
      <text>
        <t xml:space="preserve">Salutation + Name
Fill on your own. If unclear, attend class or watch the video</t>
      </text>
    </comment>
    <comment authorId="0" ref="G753">
      <text>
        <t xml:space="preserve">Fill on your own. If unclear, attend class or watch the video</t>
      </text>
    </comment>
    <comment authorId="0" ref="J753">
      <text>
        <t xml:space="preserve">North and South Region -- Rs. 10,000
East and West Region -- Rs. 5,000
Fill on your own. If unclear, attend class or watch the video
</t>
      </text>
    </comment>
    <comment authorId="0" ref="D754">
      <text>
        <t xml:space="preserve">Mr. or Ms.
Depending on Male or Female
Fill on your own. If unclear, attend class or watch the video</t>
      </text>
    </comment>
    <comment authorId="0" ref="E754">
      <text>
        <t xml:space="preserve">Salutation + Name
Fill on your own. If unclear, attend class or watch the video</t>
      </text>
    </comment>
    <comment authorId="0" ref="G754">
      <text>
        <t xml:space="preserve">Fill on your own. If unclear, attend class or watch the video</t>
      </text>
    </comment>
    <comment authorId="0" ref="J754">
      <text>
        <t xml:space="preserve">North and South Region -- Rs. 10,000
East and West Region -- Rs. 5,000
Fill on your own. If unclear, attend class or watch the video
</t>
      </text>
    </comment>
    <comment authorId="0" ref="D755">
      <text>
        <t xml:space="preserve">Mr. or Ms.
Depending on Male or Female
Fill on your own. If unclear, attend class or watch the video</t>
      </text>
    </comment>
    <comment authorId="0" ref="E755">
      <text>
        <t xml:space="preserve">Salutation + Name
Fill on your own. If unclear, attend class or watch the video</t>
      </text>
    </comment>
    <comment authorId="0" ref="G755">
      <text>
        <t xml:space="preserve">Fill on your own. If unclear, attend class or watch the video</t>
      </text>
    </comment>
    <comment authorId="0" ref="J755">
      <text>
        <t xml:space="preserve">North and South Region -- Rs. 10,000
East and West Region -- Rs. 5,000
Fill on your own. If unclear, attend class or watch the video
</t>
      </text>
    </comment>
    <comment authorId="0" ref="D756">
      <text>
        <t xml:space="preserve">Mr. or Ms.
Depending on Male or Female
Fill on your own. If unclear, attend class or watch the video</t>
      </text>
    </comment>
    <comment authorId="0" ref="E756">
      <text>
        <t xml:space="preserve">Salutation + Name
Fill on your own. If unclear, attend class or watch the video</t>
      </text>
    </comment>
    <comment authorId="0" ref="G756">
      <text>
        <t xml:space="preserve">Fill on your own. If unclear, attend class or watch the video</t>
      </text>
    </comment>
    <comment authorId="0" ref="J756">
      <text>
        <t xml:space="preserve">North and South Region -- Rs. 10,000
East and West Region -- Rs. 5,000
Fill on your own. If unclear, attend class or watch the video
</t>
      </text>
    </comment>
    <comment authorId="0" ref="D757">
      <text>
        <t xml:space="preserve">Mr. or Ms.
Depending on Male or Female
Fill on your own. If unclear, attend class or watch the video</t>
      </text>
    </comment>
    <comment authorId="0" ref="E757">
      <text>
        <t xml:space="preserve">Salutation + Name
Fill on your own. If unclear, attend class or watch the video</t>
      </text>
    </comment>
    <comment authorId="0" ref="G757">
      <text>
        <t xml:space="preserve">Fill on your own. If unclear, attend class or watch the video</t>
      </text>
    </comment>
    <comment authorId="0" ref="J757">
      <text>
        <t xml:space="preserve">North and South Region -- Rs. 10,000
East and West Region -- Rs. 5,000
Fill on your own. If unclear, attend class or watch the video
</t>
      </text>
    </comment>
    <comment authorId="0" ref="D758">
      <text>
        <t xml:space="preserve">Mr. or Ms.
Depending on Male or Female
Fill on your own. If unclear, attend class or watch the video</t>
      </text>
    </comment>
    <comment authorId="0" ref="E758">
      <text>
        <t xml:space="preserve">Salutation + Name
Fill on your own. If unclear, attend class or watch the video</t>
      </text>
    </comment>
    <comment authorId="0" ref="G758">
      <text>
        <t xml:space="preserve">Fill on your own. If unclear, attend class or watch the video</t>
      </text>
    </comment>
    <comment authorId="0" ref="J758">
      <text>
        <t xml:space="preserve">North and South Region -- Rs. 10,000
East and West Region -- Rs. 5,000
Fill on your own. If unclear, attend class or watch the video
</t>
      </text>
    </comment>
    <comment authorId="0" ref="D759">
      <text>
        <t xml:space="preserve">Mr. or Ms.
Depending on Male or Female
Fill on your own. If unclear, attend class or watch the video</t>
      </text>
    </comment>
    <comment authorId="0" ref="E759">
      <text>
        <t xml:space="preserve">Salutation + Name
Fill on your own. If unclear, attend class or watch the video</t>
      </text>
    </comment>
    <comment authorId="0" ref="G759">
      <text>
        <t xml:space="preserve">Fill on your own. If unclear, attend class or watch the video</t>
      </text>
    </comment>
    <comment authorId="0" ref="J759">
      <text>
        <t xml:space="preserve">North and South Region -- Rs. 10,000
East and West Region -- Rs. 5,000
Fill on your own. If unclear, attend class or watch the video
</t>
      </text>
    </comment>
    <comment authorId="0" ref="D760">
      <text>
        <t xml:space="preserve">Mr. or Ms.
Depending on Male or Female
Fill on your own. If unclear, attend class or watch the video</t>
      </text>
    </comment>
    <comment authorId="0" ref="E760">
      <text>
        <t xml:space="preserve">Salutation + Name
Fill on your own. If unclear, attend class or watch the video</t>
      </text>
    </comment>
    <comment authorId="0" ref="G760">
      <text>
        <t xml:space="preserve">Fill on your own. If unclear, attend class or watch the video</t>
      </text>
    </comment>
    <comment authorId="0" ref="J760">
      <text>
        <t xml:space="preserve">North and South Region -- Rs. 10,000
East and West Region -- Rs. 5,000
Fill on your own. If unclear, attend class or watch the video
</t>
      </text>
    </comment>
    <comment authorId="0" ref="D761">
      <text>
        <t xml:space="preserve">Mr. or Ms.
Depending on Male or Female
Fill on your own. If unclear, attend class or watch the video</t>
      </text>
    </comment>
    <comment authorId="0" ref="E761">
      <text>
        <t xml:space="preserve">Salutation + Name
Fill on your own. If unclear, attend class or watch the video</t>
      </text>
    </comment>
    <comment authorId="0" ref="G761">
      <text>
        <t xml:space="preserve">Fill on your own. If unclear, attend class or watch the video</t>
      </text>
    </comment>
    <comment authorId="0" ref="J761">
      <text>
        <t xml:space="preserve">North and South Region -- Rs. 10,000
East and West Region -- Rs. 5,000
Fill on your own. If unclear, attend class or watch the video
</t>
      </text>
    </comment>
    <comment authorId="0" ref="D762">
      <text>
        <t xml:space="preserve">Mr. or Ms.
Depending on Male or Female
Fill on your own. If unclear, attend class or watch the video</t>
      </text>
    </comment>
    <comment authorId="0" ref="E762">
      <text>
        <t xml:space="preserve">Salutation + Name
Fill on your own. If unclear, attend class or watch the video</t>
      </text>
    </comment>
    <comment authorId="0" ref="G762">
      <text>
        <t xml:space="preserve">Fill on your own. If unclear, attend class or watch the video</t>
      </text>
    </comment>
    <comment authorId="0" ref="J762">
      <text>
        <t xml:space="preserve">North and South Region -- Rs. 10,000
East and West Region -- Rs. 5,000
Fill on your own. If unclear, attend class or watch the video
</t>
      </text>
    </comment>
    <comment authorId="0" ref="D763">
      <text>
        <t xml:space="preserve">Mr. or Ms.
Depending on Male or Female
Fill on your own. If unclear, attend class or watch the video</t>
      </text>
    </comment>
    <comment authorId="0" ref="E763">
      <text>
        <t xml:space="preserve">Salutation + Name
Fill on your own. If unclear, attend class or watch the video</t>
      </text>
    </comment>
    <comment authorId="0" ref="G763">
      <text>
        <t xml:space="preserve">Fill on your own. If unclear, attend class or watch the video</t>
      </text>
    </comment>
    <comment authorId="0" ref="J763">
      <text>
        <t xml:space="preserve">North and South Region -- Rs. 10,000
East and West Region -- Rs. 5,000
Fill on your own. If unclear, attend class or watch the video
</t>
      </text>
    </comment>
    <comment authorId="0" ref="D764">
      <text>
        <t xml:space="preserve">Mr. or Ms.
Depending on Male or Female
Fill on your own. If unclear, attend class or watch the video</t>
      </text>
    </comment>
    <comment authorId="0" ref="E764">
      <text>
        <t xml:space="preserve">Salutation + Name
Fill on your own. If unclear, attend class or watch the video</t>
      </text>
    </comment>
    <comment authorId="0" ref="G764">
      <text>
        <t xml:space="preserve">Fill on your own. If unclear, attend class or watch the video</t>
      </text>
    </comment>
    <comment authorId="0" ref="J764">
      <text>
        <t xml:space="preserve">North and South Region -- Rs. 10,000
East and West Region -- Rs. 5,000
Fill on your own. If unclear, attend class or watch the video
</t>
      </text>
    </comment>
    <comment authorId="0" ref="D765">
      <text>
        <t xml:space="preserve">Mr. or Ms.
Depending on Male or Female
Fill on your own. If unclear, attend class or watch the video</t>
      </text>
    </comment>
    <comment authorId="0" ref="E765">
      <text>
        <t xml:space="preserve">Salutation + Name
Fill on your own. If unclear, attend class or watch the video</t>
      </text>
    </comment>
    <comment authorId="0" ref="G765">
      <text>
        <t xml:space="preserve">Fill on your own. If unclear, attend class or watch the video</t>
      </text>
    </comment>
    <comment authorId="0" ref="J765">
      <text>
        <t xml:space="preserve">North and South Region -- Rs. 10,000
East and West Region -- Rs. 5,000
Fill on your own. If unclear, attend class or watch the video
</t>
      </text>
    </comment>
    <comment authorId="0" ref="D766">
      <text>
        <t xml:space="preserve">Mr. or Ms.
Depending on Male or Female
Fill on your own. If unclear, attend class or watch the video</t>
      </text>
    </comment>
    <comment authorId="0" ref="E766">
      <text>
        <t xml:space="preserve">Salutation + Name
Fill on your own. If unclear, attend class or watch the video</t>
      </text>
    </comment>
    <comment authorId="0" ref="G766">
      <text>
        <t xml:space="preserve">Fill on your own. If unclear, attend class or watch the video</t>
      </text>
    </comment>
    <comment authorId="0" ref="J766">
      <text>
        <t xml:space="preserve">North and South Region -- Rs. 10,000
East and West Region -- Rs. 5,000
Fill on your own. If unclear, attend class or watch the video
</t>
      </text>
    </comment>
    <comment authorId="0" ref="D767">
      <text>
        <t xml:space="preserve">Mr. or Ms.
Depending on Male or Female
Fill on your own. If unclear, attend class or watch the video</t>
      </text>
    </comment>
    <comment authorId="0" ref="E767">
      <text>
        <t xml:space="preserve">Salutation + Name
Fill on your own. If unclear, attend class or watch the video</t>
      </text>
    </comment>
    <comment authorId="0" ref="G767">
      <text>
        <t xml:space="preserve">Fill on your own. If unclear, attend class or watch the video</t>
      </text>
    </comment>
    <comment authorId="0" ref="J767">
      <text>
        <t xml:space="preserve">North and South Region -- Rs. 10,000
East and West Region -- Rs. 5,000
Fill on your own. If unclear, attend class or watch the video
</t>
      </text>
    </comment>
    <comment authorId="0" ref="D768">
      <text>
        <t xml:space="preserve">Mr. or Ms.
Depending on Male or Female
Fill on your own. If unclear, attend class or watch the video</t>
      </text>
    </comment>
    <comment authorId="0" ref="E768">
      <text>
        <t xml:space="preserve">Salutation + Name
Fill on your own. If unclear, attend class or watch the video</t>
      </text>
    </comment>
    <comment authorId="0" ref="G768">
      <text>
        <t xml:space="preserve">Fill on your own. If unclear, attend class or watch the video</t>
      </text>
    </comment>
    <comment authorId="0" ref="J768">
      <text>
        <t xml:space="preserve">North and South Region -- Rs. 10,000
East and West Region -- Rs. 5,000
Fill on your own. If unclear, attend class or watch the video
</t>
      </text>
    </comment>
    <comment authorId="0" ref="D769">
      <text>
        <t xml:space="preserve">Mr. or Ms.
Depending on Male or Female
Fill on your own. If unclear, attend class or watch the video</t>
      </text>
    </comment>
    <comment authorId="0" ref="E769">
      <text>
        <t xml:space="preserve">Salutation + Name
Fill on your own. If unclear, attend class or watch the video</t>
      </text>
    </comment>
    <comment authorId="0" ref="G769">
      <text>
        <t xml:space="preserve">Fill on your own. If unclear, attend class or watch the video</t>
      </text>
    </comment>
    <comment authorId="0" ref="J769">
      <text>
        <t xml:space="preserve">North and South Region -- Rs. 10,000
East and West Region -- Rs. 5,000
Fill on your own. If unclear, attend class or watch the video
</t>
      </text>
    </comment>
    <comment authorId="0" ref="D770">
      <text>
        <t xml:space="preserve">Mr. or Ms.
Depending on Male or Female
Fill on your own. If unclear, attend class or watch the video</t>
      </text>
    </comment>
    <comment authorId="0" ref="E770">
      <text>
        <t xml:space="preserve">Salutation + Name
Fill on your own. If unclear, attend class or watch the video</t>
      </text>
    </comment>
    <comment authorId="0" ref="G770">
      <text>
        <t xml:space="preserve">Fill on your own. If unclear, attend class or watch the video</t>
      </text>
    </comment>
    <comment authorId="0" ref="J770">
      <text>
        <t xml:space="preserve">North and South Region -- Rs. 10,000
East and West Region -- Rs. 5,000
Fill on your own. If unclear, attend class or watch the video
</t>
      </text>
    </comment>
    <comment authorId="0" ref="D771">
      <text>
        <t xml:space="preserve">Mr. or Ms.
Depending on Male or Female
Fill on your own. If unclear, attend class or watch the video</t>
      </text>
    </comment>
    <comment authorId="0" ref="E771">
      <text>
        <t xml:space="preserve">Salutation + Name
Fill on your own. If unclear, attend class or watch the video</t>
      </text>
    </comment>
    <comment authorId="0" ref="G771">
      <text>
        <t xml:space="preserve">Fill on your own. If unclear, attend class or watch the video</t>
      </text>
    </comment>
    <comment authorId="0" ref="J771">
      <text>
        <t xml:space="preserve">North and South Region -- Rs. 10,000
East and West Region -- Rs. 5,000
Fill on your own. If unclear, attend class or watch the video
</t>
      </text>
    </comment>
    <comment authorId="0" ref="D772">
      <text>
        <t xml:space="preserve">Mr. or Ms.
Depending on Male or Female
Fill on your own. If unclear, attend class or watch the video</t>
      </text>
    </comment>
    <comment authorId="0" ref="E772">
      <text>
        <t xml:space="preserve">Salutation + Name
Fill on your own. If unclear, attend class or watch the video</t>
      </text>
    </comment>
    <comment authorId="0" ref="G772">
      <text>
        <t xml:space="preserve">Fill on your own. If unclear, attend class or watch the video</t>
      </text>
    </comment>
    <comment authorId="0" ref="J772">
      <text>
        <t xml:space="preserve">North and South Region -- Rs. 10,000
East and West Region -- Rs. 5,000
Fill on your own. If unclear, attend class or watch the video
</t>
      </text>
    </comment>
    <comment authorId="0" ref="D773">
      <text>
        <t xml:space="preserve">Mr. or Ms.
Depending on Male or Female
Fill on your own. If unclear, attend class or watch the video</t>
      </text>
    </comment>
    <comment authorId="0" ref="E773">
      <text>
        <t xml:space="preserve">Salutation + Name
Fill on your own. If unclear, attend class or watch the video</t>
      </text>
    </comment>
    <comment authorId="0" ref="G773">
      <text>
        <t xml:space="preserve">Fill on your own. If unclear, attend class or watch the video</t>
      </text>
    </comment>
    <comment authorId="0" ref="J773">
      <text>
        <t xml:space="preserve">North and South Region -- Rs. 10,000
East and West Region -- Rs. 5,000
Fill on your own. If unclear, attend class or watch the video
</t>
      </text>
    </comment>
    <comment authorId="0" ref="D774">
      <text>
        <t xml:space="preserve">Mr. or Ms.
Depending on Male or Female
Fill on your own. If unclear, attend class or watch the video</t>
      </text>
    </comment>
    <comment authorId="0" ref="E774">
      <text>
        <t xml:space="preserve">Salutation + Name
Fill on your own. If unclear, attend class or watch the video</t>
      </text>
    </comment>
    <comment authorId="0" ref="G774">
      <text>
        <t xml:space="preserve">Fill on your own. If unclear, attend class or watch the video</t>
      </text>
    </comment>
    <comment authorId="0" ref="J774">
      <text>
        <t xml:space="preserve">North and South Region -- Rs. 10,000
East and West Region -- Rs. 5,000
Fill on your own. If unclear, attend class or watch the video
</t>
      </text>
    </comment>
    <comment authorId="0" ref="D775">
      <text>
        <t xml:space="preserve">Mr. or Ms.
Depending on Male or Female
Fill on your own. If unclear, attend class or watch the video</t>
      </text>
    </comment>
    <comment authorId="0" ref="E775">
      <text>
        <t xml:space="preserve">Salutation + Name
Fill on your own. If unclear, attend class or watch the video</t>
      </text>
    </comment>
    <comment authorId="0" ref="G775">
      <text>
        <t xml:space="preserve">Fill on your own. If unclear, attend class or watch the video</t>
      </text>
    </comment>
    <comment authorId="0" ref="J775">
      <text>
        <t xml:space="preserve">North and South Region -- Rs. 10,000
East and West Region -- Rs. 5,000
Fill on your own. If unclear, attend class or watch the video
</t>
      </text>
    </comment>
    <comment authorId="0" ref="D776">
      <text>
        <t xml:space="preserve">Mr. or Ms.
Depending on Male or Female
Fill on your own. If unclear, attend class or watch the video</t>
      </text>
    </comment>
    <comment authorId="0" ref="E776">
      <text>
        <t xml:space="preserve">Salutation + Name
Fill on your own. If unclear, attend class or watch the video</t>
      </text>
    </comment>
    <comment authorId="0" ref="G776">
      <text>
        <t xml:space="preserve">Fill on your own. If unclear, attend class or watch the video</t>
      </text>
    </comment>
    <comment authorId="0" ref="J776">
      <text>
        <t xml:space="preserve">North and South Region -- Rs. 10,000
East and West Region -- Rs. 5,000
Fill on your own. If unclear, attend class or watch the video
</t>
      </text>
    </comment>
    <comment authorId="0" ref="D777">
      <text>
        <t xml:space="preserve">Mr. or Ms.
Depending on Male or Female
Fill on your own. If unclear, attend class or watch the video</t>
      </text>
    </comment>
    <comment authorId="0" ref="E777">
      <text>
        <t xml:space="preserve">Salutation + Name
Fill on your own. If unclear, attend class or watch the video</t>
      </text>
    </comment>
    <comment authorId="0" ref="G777">
      <text>
        <t xml:space="preserve">Fill on your own. If unclear, attend class or watch the video</t>
      </text>
    </comment>
    <comment authorId="0" ref="J777">
      <text>
        <t xml:space="preserve">North and South Region -- Rs. 10,000
East and West Region -- Rs. 5,000
Fill on your own. If unclear, attend class or watch the video
</t>
      </text>
    </comment>
    <comment authorId="0" ref="D778">
      <text>
        <t xml:space="preserve">Mr. or Ms.
Depending on Male or Female
Fill on your own. If unclear, attend class or watch the video</t>
      </text>
    </comment>
    <comment authorId="0" ref="E778">
      <text>
        <t xml:space="preserve">Salutation + Name
Fill on your own. If unclear, attend class or watch the video</t>
      </text>
    </comment>
    <comment authorId="0" ref="G778">
      <text>
        <t xml:space="preserve">Fill on your own. If unclear, attend class or watch the video</t>
      </text>
    </comment>
    <comment authorId="0" ref="J778">
      <text>
        <t xml:space="preserve">North and South Region -- Rs. 10,000
East and West Region -- Rs. 5,000
Fill on your own. If unclear, attend class or watch the video
</t>
      </text>
    </comment>
    <comment authorId="0" ref="D779">
      <text>
        <t xml:space="preserve">Mr. or Ms.
Depending on Male or Female
Fill on your own. If unclear, attend class or watch the video</t>
      </text>
    </comment>
    <comment authorId="0" ref="E779">
      <text>
        <t xml:space="preserve">Salutation + Name
Fill on your own. If unclear, attend class or watch the video</t>
      </text>
    </comment>
    <comment authorId="0" ref="G779">
      <text>
        <t xml:space="preserve">Fill on your own. If unclear, attend class or watch the video</t>
      </text>
    </comment>
    <comment authorId="0" ref="J779">
      <text>
        <t xml:space="preserve">North and South Region -- Rs. 10,000
East and West Region -- Rs. 5,000
Fill on your own. If unclear, attend class or watch the video
</t>
      </text>
    </comment>
    <comment authorId="0" ref="D780">
      <text>
        <t xml:space="preserve">Mr. or Ms.
Depending on Male or Female
Fill on your own. If unclear, attend class or watch the video</t>
      </text>
    </comment>
    <comment authorId="0" ref="E780">
      <text>
        <t xml:space="preserve">Salutation + Name
Fill on your own. If unclear, attend class or watch the video</t>
      </text>
    </comment>
    <comment authorId="0" ref="G780">
      <text>
        <t xml:space="preserve">Fill on your own. If unclear, attend class or watch the video</t>
      </text>
    </comment>
    <comment authorId="0" ref="J780">
      <text>
        <t xml:space="preserve">North and South Region -- Rs. 10,000
East and West Region -- Rs. 5,000
Fill on your own. If unclear, attend class or watch the video
</t>
      </text>
    </comment>
    <comment authorId="0" ref="D781">
      <text>
        <t xml:space="preserve">Mr. or Ms.
Depending on Male or Female
Fill on your own. If unclear, attend class or watch the video</t>
      </text>
    </comment>
    <comment authorId="0" ref="E781">
      <text>
        <t xml:space="preserve">Salutation + Name
Fill on your own. If unclear, attend class or watch the video</t>
      </text>
    </comment>
    <comment authorId="0" ref="G781">
      <text>
        <t xml:space="preserve">Fill on your own. If unclear, attend class or watch the video</t>
      </text>
    </comment>
    <comment authorId="0" ref="J781">
      <text>
        <t xml:space="preserve">North and South Region -- Rs. 10,000
East and West Region -- Rs. 5,000
Fill on your own. If unclear, attend class or watch the video
</t>
      </text>
    </comment>
    <comment authorId="0" ref="D782">
      <text>
        <t xml:space="preserve">Mr. or Ms.
Depending on Male or Female
Fill on your own. If unclear, attend class or watch the video</t>
      </text>
    </comment>
    <comment authorId="0" ref="E782">
      <text>
        <t xml:space="preserve">Salutation + Name
Fill on your own. If unclear, attend class or watch the video</t>
      </text>
    </comment>
    <comment authorId="0" ref="G782">
      <text>
        <t xml:space="preserve">Fill on your own. If unclear, attend class or watch the video</t>
      </text>
    </comment>
    <comment authorId="0" ref="J782">
      <text>
        <t xml:space="preserve">North and South Region -- Rs. 10,000
East and West Region -- Rs. 5,000
Fill on your own. If unclear, attend class or watch the video
</t>
      </text>
    </comment>
    <comment authorId="0" ref="D783">
      <text>
        <t xml:space="preserve">Mr. or Ms.
Depending on Male or Female
Fill on your own. If unclear, attend class or watch the video</t>
      </text>
    </comment>
    <comment authorId="0" ref="E783">
      <text>
        <t xml:space="preserve">Salutation + Name
Fill on your own. If unclear, attend class or watch the video</t>
      </text>
    </comment>
    <comment authorId="0" ref="G783">
      <text>
        <t xml:space="preserve">Fill on your own. If unclear, attend class or watch the video</t>
      </text>
    </comment>
    <comment authorId="0" ref="J783">
      <text>
        <t xml:space="preserve">North and South Region -- Rs. 10,000
East and West Region -- Rs. 5,000
Fill on your own. If unclear, attend class or watch the video
</t>
      </text>
    </comment>
    <comment authorId="0" ref="D784">
      <text>
        <t xml:space="preserve">Mr. or Ms.
Depending on Male or Female
Fill on your own. If unclear, attend class or watch the video</t>
      </text>
    </comment>
    <comment authorId="0" ref="E784">
      <text>
        <t xml:space="preserve">Salutation + Name
Fill on your own. If unclear, attend class or watch the video</t>
      </text>
    </comment>
    <comment authorId="0" ref="G784">
      <text>
        <t xml:space="preserve">Fill on your own. If unclear, attend class or watch the video</t>
      </text>
    </comment>
    <comment authorId="0" ref="J784">
      <text>
        <t xml:space="preserve">North and South Region -- Rs. 10,000
East and West Region -- Rs. 5,000
Fill on your own. If unclear, attend class or watch the video
</t>
      </text>
    </comment>
    <comment authorId="0" ref="D785">
      <text>
        <t xml:space="preserve">Mr. or Ms.
Depending on Male or Female
Fill on your own. If unclear, attend class or watch the video</t>
      </text>
    </comment>
    <comment authorId="0" ref="E785">
      <text>
        <t xml:space="preserve">Salutation + Name
Fill on your own. If unclear, attend class or watch the video</t>
      </text>
    </comment>
    <comment authorId="0" ref="G785">
      <text>
        <t xml:space="preserve">Fill on your own. If unclear, attend class or watch the video</t>
      </text>
    </comment>
    <comment authorId="0" ref="J785">
      <text>
        <t xml:space="preserve">North and South Region -- Rs. 10,000
East and West Region -- Rs. 5,000
Fill on your own. If unclear, attend class or watch the video
</t>
      </text>
    </comment>
    <comment authorId="0" ref="D786">
      <text>
        <t xml:space="preserve">Mr. or Ms.
Depending on Male or Female
Fill on your own. If unclear, attend class or watch the video</t>
      </text>
    </comment>
    <comment authorId="0" ref="E786">
      <text>
        <t xml:space="preserve">Salutation + Name
Fill on your own. If unclear, attend class or watch the video</t>
      </text>
    </comment>
    <comment authorId="0" ref="G786">
      <text>
        <t xml:space="preserve">Fill on your own. If unclear, attend class or watch the video</t>
      </text>
    </comment>
    <comment authorId="0" ref="J786">
      <text>
        <t xml:space="preserve">North and South Region -- Rs. 10,000
East and West Region -- Rs. 5,000
Fill on your own. If unclear, attend class or watch the video
</t>
      </text>
    </comment>
    <comment authorId="0" ref="D787">
      <text>
        <t xml:space="preserve">Mr. or Ms.
Depending on Male or Female
Fill on your own. If unclear, attend class or watch the video</t>
      </text>
    </comment>
    <comment authorId="0" ref="E787">
      <text>
        <t xml:space="preserve">Salutation + Name
Fill on your own. If unclear, attend class or watch the video</t>
      </text>
    </comment>
    <comment authorId="0" ref="G787">
      <text>
        <t xml:space="preserve">Fill on your own. If unclear, attend class or watch the video</t>
      </text>
    </comment>
    <comment authorId="0" ref="J787">
      <text>
        <t xml:space="preserve">North and South Region -- Rs. 10,000
East and West Region -- Rs. 5,000
Fill on your own. If unclear, attend class or watch the video
</t>
      </text>
    </comment>
    <comment authorId="0" ref="D788">
      <text>
        <t xml:space="preserve">Mr. or Ms.
Depending on Male or Female
Fill on your own. If unclear, attend class or watch the video</t>
      </text>
    </comment>
    <comment authorId="0" ref="E788">
      <text>
        <t xml:space="preserve">Salutation + Name
Fill on your own. If unclear, attend class or watch the video</t>
      </text>
    </comment>
    <comment authorId="0" ref="G788">
      <text>
        <t xml:space="preserve">Fill on your own. If unclear, attend class or watch the video</t>
      </text>
    </comment>
    <comment authorId="0" ref="J788">
      <text>
        <t xml:space="preserve">North and South Region -- Rs. 10,000
East and West Region -- Rs. 5,000
Fill on your own. If unclear, attend class or watch the video
</t>
      </text>
    </comment>
    <comment authorId="0" ref="D789">
      <text>
        <t xml:space="preserve">Mr. or Ms.
Depending on Male or Female
Fill on your own. If unclear, attend class or watch the video</t>
      </text>
    </comment>
    <comment authorId="0" ref="E789">
      <text>
        <t xml:space="preserve">Salutation + Name
Fill on your own. If unclear, attend class or watch the video</t>
      </text>
    </comment>
    <comment authorId="0" ref="G789">
      <text>
        <t xml:space="preserve">Fill on your own. If unclear, attend class or watch the video</t>
      </text>
    </comment>
    <comment authorId="0" ref="J789">
      <text>
        <t xml:space="preserve">North and South Region -- Rs. 10,000
East and West Region -- Rs. 5,000
Fill on your own. If unclear, attend class or watch the video
</t>
      </text>
    </comment>
    <comment authorId="0" ref="D790">
      <text>
        <t xml:space="preserve">Mr. or Ms.
Depending on Male or Female
Fill on your own. If unclear, attend class or watch the video</t>
      </text>
    </comment>
    <comment authorId="0" ref="E790">
      <text>
        <t xml:space="preserve">Salutation + Name
Fill on your own. If unclear, attend class or watch the video</t>
      </text>
    </comment>
    <comment authorId="0" ref="G790">
      <text>
        <t xml:space="preserve">Fill on your own. If unclear, attend class or watch the video</t>
      </text>
    </comment>
    <comment authorId="0" ref="J790">
      <text>
        <t xml:space="preserve">North and South Region -- Rs. 10,000
East and West Region -- Rs. 5,000
Fill on your own. If unclear, attend class or watch the video
</t>
      </text>
    </comment>
    <comment authorId="0" ref="D791">
      <text>
        <t xml:space="preserve">Mr. or Ms.
Depending on Male or Female
Fill on your own. If unclear, attend class or watch the video</t>
      </text>
    </comment>
    <comment authorId="0" ref="E791">
      <text>
        <t xml:space="preserve">Salutation + Name
Fill on your own. If unclear, attend class or watch the video</t>
      </text>
    </comment>
    <comment authorId="0" ref="G791">
      <text>
        <t xml:space="preserve">Fill on your own. If unclear, attend class or watch the video</t>
      </text>
    </comment>
    <comment authorId="0" ref="J791">
      <text>
        <t xml:space="preserve">North and South Region -- Rs. 10,000
East and West Region -- Rs. 5,000
Fill on your own. If unclear, attend class or watch the video
</t>
      </text>
    </comment>
    <comment authorId="0" ref="D792">
      <text>
        <t xml:space="preserve">Mr. or Ms.
Depending on Male or Female
Fill on your own. If unclear, attend class or watch the video</t>
      </text>
    </comment>
    <comment authorId="0" ref="E792">
      <text>
        <t xml:space="preserve">Salutation + Name
Fill on your own. If unclear, attend class or watch the video</t>
      </text>
    </comment>
    <comment authorId="0" ref="G792">
      <text>
        <t xml:space="preserve">Fill on your own. If unclear, attend class or watch the video</t>
      </text>
    </comment>
    <comment authorId="0" ref="J792">
      <text>
        <t xml:space="preserve">North and South Region -- Rs. 10,000
East and West Region -- Rs. 5,000
Fill on your own. If unclear, attend class or watch the video
</t>
      </text>
    </comment>
    <comment authorId="0" ref="D793">
      <text>
        <t xml:space="preserve">Mr. or Ms.
Depending on Male or Female
Fill on your own. If unclear, attend class or watch the video</t>
      </text>
    </comment>
    <comment authorId="0" ref="E793">
      <text>
        <t xml:space="preserve">Salutation + Name
Fill on your own. If unclear, attend class or watch the video</t>
      </text>
    </comment>
    <comment authorId="0" ref="G793">
      <text>
        <t xml:space="preserve">Fill on your own. If unclear, attend class or watch the video</t>
      </text>
    </comment>
    <comment authorId="0" ref="J793">
      <text>
        <t xml:space="preserve">North and South Region -- Rs. 10,000
East and West Region -- Rs. 5,000
Fill on your own. If unclear, attend class or watch the video
</t>
      </text>
    </comment>
    <comment authorId="0" ref="D794">
      <text>
        <t xml:space="preserve">Mr. or Ms.
Depending on Male or Female
Fill on your own. If unclear, attend class or watch the video</t>
      </text>
    </comment>
    <comment authorId="0" ref="E794">
      <text>
        <t xml:space="preserve">Salutation + Name
Fill on your own. If unclear, attend class or watch the video</t>
      </text>
    </comment>
    <comment authorId="0" ref="G794">
      <text>
        <t xml:space="preserve">Fill on your own. If unclear, attend class or watch the video</t>
      </text>
    </comment>
    <comment authorId="0" ref="J794">
      <text>
        <t xml:space="preserve">North and South Region -- Rs. 10,000
East and West Region -- Rs. 5,000
Fill on your own. If unclear, attend class or watch the video
</t>
      </text>
    </comment>
    <comment authorId="0" ref="D795">
      <text>
        <t xml:space="preserve">Mr. or Ms.
Depending on Male or Female
Fill on your own. If unclear, attend class or watch the video</t>
      </text>
    </comment>
    <comment authorId="0" ref="E795">
      <text>
        <t xml:space="preserve">Salutation + Name
Fill on your own. If unclear, attend class or watch the video</t>
      </text>
    </comment>
    <comment authorId="0" ref="G795">
      <text>
        <t xml:space="preserve">Fill on your own. If unclear, attend class or watch the video</t>
      </text>
    </comment>
    <comment authorId="0" ref="J795">
      <text>
        <t xml:space="preserve">North and South Region -- Rs. 10,000
East and West Region -- Rs. 5,000
Fill on your own. If unclear, attend class or watch the video
</t>
      </text>
    </comment>
    <comment authorId="0" ref="D796">
      <text>
        <t xml:space="preserve">Mr. or Ms.
Depending on Male or Female
Fill on your own. If unclear, attend class or watch the video</t>
      </text>
    </comment>
    <comment authorId="0" ref="E796">
      <text>
        <t xml:space="preserve">Salutation + Name
Fill on your own. If unclear, attend class or watch the video</t>
      </text>
    </comment>
    <comment authorId="0" ref="G796">
      <text>
        <t xml:space="preserve">Fill on your own. If unclear, attend class or watch the video</t>
      </text>
    </comment>
    <comment authorId="0" ref="J796">
      <text>
        <t xml:space="preserve">North and South Region -- Rs. 10,000
East and West Region -- Rs. 5,000
Fill on your own. If unclear, attend class or watch the video
</t>
      </text>
    </comment>
    <comment authorId="0" ref="D797">
      <text>
        <t xml:space="preserve">Mr. or Ms.
Depending on Male or Female
Fill on your own. If unclear, attend class or watch the video</t>
      </text>
    </comment>
    <comment authorId="0" ref="E797">
      <text>
        <t xml:space="preserve">Salutation + Name
Fill on your own. If unclear, attend class or watch the video</t>
      </text>
    </comment>
    <comment authorId="0" ref="G797">
      <text>
        <t xml:space="preserve">Fill on your own. If unclear, attend class or watch the video</t>
      </text>
    </comment>
    <comment authorId="0" ref="J797">
      <text>
        <t xml:space="preserve">North and South Region -- Rs. 10,000
East and West Region -- Rs. 5,000
Fill on your own. If unclear, attend class or watch the video
</t>
      </text>
    </comment>
    <comment authorId="0" ref="D798">
      <text>
        <t xml:space="preserve">Mr. or Ms.
Depending on Male or Female
Fill on your own. If unclear, attend class or watch the video</t>
      </text>
    </comment>
    <comment authorId="0" ref="E798">
      <text>
        <t xml:space="preserve">Salutation + Name
Fill on your own. If unclear, attend class or watch the video</t>
      </text>
    </comment>
    <comment authorId="0" ref="G798">
      <text>
        <t xml:space="preserve">Fill on your own. If unclear, attend class or watch the video</t>
      </text>
    </comment>
    <comment authorId="0" ref="J798">
      <text>
        <t xml:space="preserve">North and South Region -- Rs. 10,000
East and West Region -- Rs. 5,000
Fill on your own. If unclear, attend class or watch the video
</t>
      </text>
    </comment>
    <comment authorId="0" ref="D799">
      <text>
        <t xml:space="preserve">Mr. or Ms.
Depending on Male or Female
Fill on your own. If unclear, attend class or watch the video</t>
      </text>
    </comment>
    <comment authorId="0" ref="E799">
      <text>
        <t xml:space="preserve">Salutation + Name
Fill on your own. If unclear, attend class or watch the video</t>
      </text>
    </comment>
    <comment authorId="0" ref="G799">
      <text>
        <t xml:space="preserve">Fill on your own. If unclear, attend class or watch the video</t>
      </text>
    </comment>
    <comment authorId="0" ref="J799">
      <text>
        <t xml:space="preserve">North and South Region -- Rs. 10,000
East and West Region -- Rs. 5,000
Fill on your own. If unclear, attend class or watch the video
</t>
      </text>
    </comment>
    <comment authorId="0" ref="D800">
      <text>
        <t xml:space="preserve">Mr. or Ms.
Depending on Male or Female
Fill on your own. If unclear, attend class or watch the video</t>
      </text>
    </comment>
    <comment authorId="0" ref="E800">
      <text>
        <t xml:space="preserve">Salutation + Name
Fill on your own. If unclear, attend class or watch the video</t>
      </text>
    </comment>
    <comment authorId="0" ref="G800">
      <text>
        <t xml:space="preserve">Fill on your own. If unclear, attend class or watch the video</t>
      </text>
    </comment>
    <comment authorId="0" ref="J800">
      <text>
        <t xml:space="preserve">North and South Region -- Rs. 10,000
East and West Region -- Rs. 5,000
Fill on your own. If unclear, attend class or watch the video
</t>
      </text>
    </comment>
    <comment authorId="0" ref="D801">
      <text>
        <t xml:space="preserve">Mr. or Ms.
Depending on Male or Female
Fill on your own. If unclear, attend class or watch the video</t>
      </text>
    </comment>
    <comment authorId="0" ref="E801">
      <text>
        <t xml:space="preserve">Salutation + Name
Fill on your own. If unclear, attend class or watch the video</t>
      </text>
    </comment>
    <comment authorId="0" ref="G801">
      <text>
        <t xml:space="preserve">Fill on your own. If unclear, attend class or watch the video</t>
      </text>
    </comment>
    <comment authorId="0" ref="J801">
      <text>
        <t xml:space="preserve">North and South Region -- Rs. 10,000
East and West Region -- Rs. 5,000
Fill on your own. If unclear, attend class or watch the video
</t>
      </text>
    </comment>
    <comment authorId="0" ref="D802">
      <text>
        <t xml:space="preserve">Mr. or Ms.
Depending on Male or Female
Fill on your own. If unclear, attend class or watch the video</t>
      </text>
    </comment>
    <comment authorId="0" ref="E802">
      <text>
        <t xml:space="preserve">Salutation + Name
Fill on your own. If unclear, attend class or watch the video</t>
      </text>
    </comment>
    <comment authorId="0" ref="G802">
      <text>
        <t xml:space="preserve">Fill on your own. If unclear, attend class or watch the video</t>
      </text>
    </comment>
    <comment authorId="0" ref="J802">
      <text>
        <t xml:space="preserve">North and South Region -- Rs. 10,000
East and West Region -- Rs. 5,000
Fill on your own. If unclear, attend class or watch the video
</t>
      </text>
    </comment>
    <comment authorId="0" ref="D803">
      <text>
        <t xml:space="preserve">Mr. or Ms.
Depending on Male or Female
Fill on your own. If unclear, attend class or watch the video</t>
      </text>
    </comment>
    <comment authorId="0" ref="E803">
      <text>
        <t xml:space="preserve">Salutation + Name
Fill on your own. If unclear, attend class or watch the video</t>
      </text>
    </comment>
    <comment authorId="0" ref="G803">
      <text>
        <t xml:space="preserve">Fill on your own. If unclear, attend class or watch the video</t>
      </text>
    </comment>
    <comment authorId="0" ref="J803">
      <text>
        <t xml:space="preserve">North and South Region -- Rs. 10,000
East and West Region -- Rs. 5,000
Fill on your own. If unclear, attend class or watch the video
</t>
      </text>
    </comment>
    <comment authorId="0" ref="D804">
      <text>
        <t xml:space="preserve">Mr. or Ms.
Depending on Male or Female
Fill on your own. If unclear, attend class or watch the video</t>
      </text>
    </comment>
    <comment authorId="0" ref="E804">
      <text>
        <t xml:space="preserve">Salutation + Name
Fill on your own. If unclear, attend class or watch the video</t>
      </text>
    </comment>
    <comment authorId="0" ref="G804">
      <text>
        <t xml:space="preserve">Fill on your own. If unclear, attend class or watch the video</t>
      </text>
    </comment>
    <comment authorId="0" ref="J804">
      <text>
        <t xml:space="preserve">North and South Region -- Rs. 10,000
East and West Region -- Rs. 5,000
Fill on your own. If unclear, attend class or watch the video
</t>
      </text>
    </comment>
    <comment authorId="0" ref="D805">
      <text>
        <t xml:space="preserve">Mr. or Ms.
Depending on Male or Female
Fill on your own. If unclear, attend class or watch the video</t>
      </text>
    </comment>
    <comment authorId="0" ref="E805">
      <text>
        <t xml:space="preserve">Salutation + Name
Fill on your own. If unclear, attend class or watch the video</t>
      </text>
    </comment>
    <comment authorId="0" ref="G805">
      <text>
        <t xml:space="preserve">Fill on your own. If unclear, attend class or watch the video</t>
      </text>
    </comment>
    <comment authorId="0" ref="J805">
      <text>
        <t xml:space="preserve">North and South Region -- Rs. 10,000
East and West Region -- Rs. 5,000
Fill on your own. If unclear, attend class or watch the video
</t>
      </text>
    </comment>
    <comment authorId="0" ref="D806">
      <text>
        <t xml:space="preserve">Mr. or Ms.
Depending on Male or Female
Fill on your own. If unclear, attend class or watch the video</t>
      </text>
    </comment>
    <comment authorId="0" ref="E806">
      <text>
        <t xml:space="preserve">Salutation + Name
Fill on your own. If unclear, attend class or watch the video</t>
      </text>
    </comment>
    <comment authorId="0" ref="G806">
      <text>
        <t xml:space="preserve">Fill on your own. If unclear, attend class or watch the video</t>
      </text>
    </comment>
    <comment authorId="0" ref="J806">
      <text>
        <t xml:space="preserve">North and South Region -- Rs. 10,000
East and West Region -- Rs. 5,000
Fill on your own. If unclear, attend class or watch the video
</t>
      </text>
    </comment>
    <comment authorId="0" ref="D807">
      <text>
        <t xml:space="preserve">Mr. or Ms.
Depending on Male or Female
Fill on your own. If unclear, attend class or watch the video</t>
      </text>
    </comment>
    <comment authorId="0" ref="E807">
      <text>
        <t xml:space="preserve">Salutation + Name
Fill on your own. If unclear, attend class or watch the video</t>
      </text>
    </comment>
    <comment authorId="0" ref="G807">
      <text>
        <t xml:space="preserve">Fill on your own. If unclear, attend class or watch the video</t>
      </text>
    </comment>
    <comment authorId="0" ref="J807">
      <text>
        <t xml:space="preserve">North and South Region -- Rs. 10,000
East and West Region -- Rs. 5,000
Fill on your own. If unclear, attend class or watch the video
</t>
      </text>
    </comment>
    <comment authorId="0" ref="D808">
      <text>
        <t xml:space="preserve">Mr. or Ms.
Depending on Male or Female
Fill on your own. If unclear, attend class or watch the video</t>
      </text>
    </comment>
    <comment authorId="0" ref="E808">
      <text>
        <t xml:space="preserve">Salutation + Name
Fill on your own. If unclear, attend class or watch the video</t>
      </text>
    </comment>
    <comment authorId="0" ref="G808">
      <text>
        <t xml:space="preserve">Fill on your own. If unclear, attend class or watch the video</t>
      </text>
    </comment>
    <comment authorId="0" ref="J808">
      <text>
        <t xml:space="preserve">North and South Region -- Rs. 10,000
East and West Region -- Rs. 5,000
Fill on your own. If unclear, attend class or watch the video
</t>
      </text>
    </comment>
    <comment authorId="0" ref="D809">
      <text>
        <t xml:space="preserve">Mr. or Ms.
Depending on Male or Female
Fill on your own. If unclear, attend class or watch the video</t>
      </text>
    </comment>
    <comment authorId="0" ref="E809">
      <text>
        <t xml:space="preserve">Salutation + Name
Fill on your own. If unclear, attend class or watch the video</t>
      </text>
    </comment>
    <comment authorId="0" ref="G809">
      <text>
        <t xml:space="preserve">Fill on your own. If unclear, attend class or watch the video</t>
      </text>
    </comment>
    <comment authorId="0" ref="J809">
      <text>
        <t xml:space="preserve">North and South Region -- Rs. 10,000
East and West Region -- Rs. 5,000
Fill on your own. If unclear, attend class or watch the video
</t>
      </text>
    </comment>
    <comment authorId="0" ref="D810">
      <text>
        <t xml:space="preserve">Mr. or Ms.
Depending on Male or Female
Fill on your own. If unclear, attend class or watch the video</t>
      </text>
    </comment>
    <comment authorId="0" ref="E810">
      <text>
        <t xml:space="preserve">Salutation + Name
Fill on your own. If unclear, attend class or watch the video</t>
      </text>
    </comment>
    <comment authorId="0" ref="G810">
      <text>
        <t xml:space="preserve">Fill on your own. If unclear, attend class or watch the video</t>
      </text>
    </comment>
    <comment authorId="0" ref="J810">
      <text>
        <t xml:space="preserve">North and South Region -- Rs. 10,000
East and West Region -- Rs. 5,000
Fill on your own. If unclear, attend class or watch the video
</t>
      </text>
    </comment>
    <comment authorId="0" ref="D811">
      <text>
        <t xml:space="preserve">Mr. or Ms.
Depending on Male or Female
Fill on your own. If unclear, attend class or watch the video</t>
      </text>
    </comment>
    <comment authorId="0" ref="E811">
      <text>
        <t xml:space="preserve">Salutation + Name
Fill on your own. If unclear, attend class or watch the video</t>
      </text>
    </comment>
    <comment authorId="0" ref="G811">
      <text>
        <t xml:space="preserve">Fill on your own. If unclear, attend class or watch the video</t>
      </text>
    </comment>
    <comment authorId="0" ref="J811">
      <text>
        <t xml:space="preserve">North and South Region -- Rs. 10,000
East and West Region -- Rs. 5,000
Fill on your own. If unclear, attend class or watch the video
</t>
      </text>
    </comment>
    <comment authorId="0" ref="D812">
      <text>
        <t xml:space="preserve">Mr. or Ms.
Depending on Male or Female
Fill on your own. If unclear, attend class or watch the video</t>
      </text>
    </comment>
    <comment authorId="0" ref="E812">
      <text>
        <t xml:space="preserve">Salutation + Name
Fill on your own. If unclear, attend class or watch the video</t>
      </text>
    </comment>
    <comment authorId="0" ref="G812">
      <text>
        <t xml:space="preserve">Fill on your own. If unclear, attend class or watch the video</t>
      </text>
    </comment>
    <comment authorId="0" ref="J812">
      <text>
        <t xml:space="preserve">North and South Region -- Rs. 10,000
East and West Region -- Rs. 5,000
Fill on your own. If unclear, attend class or watch the video
</t>
      </text>
    </comment>
    <comment authorId="0" ref="D813">
      <text>
        <t xml:space="preserve">Mr. or Ms.
Depending on Male or Female
Fill on your own. If unclear, attend class or watch the video</t>
      </text>
    </comment>
    <comment authorId="0" ref="E813">
      <text>
        <t xml:space="preserve">Salutation + Name
Fill on your own. If unclear, attend class or watch the video</t>
      </text>
    </comment>
    <comment authorId="0" ref="G813">
      <text>
        <t xml:space="preserve">Fill on your own. If unclear, attend class or watch the video</t>
      </text>
    </comment>
    <comment authorId="0" ref="J813">
      <text>
        <t xml:space="preserve">North and South Region -- Rs. 10,000
East and West Region -- Rs. 5,000
Fill on your own. If unclear, attend class or watch the video
</t>
      </text>
    </comment>
    <comment authorId="0" ref="D814">
      <text>
        <t xml:space="preserve">Mr. or Ms.
Depending on Male or Female
Fill on your own. If unclear, attend class or watch the video</t>
      </text>
    </comment>
    <comment authorId="0" ref="E814">
      <text>
        <t xml:space="preserve">Salutation + Name
Fill on your own. If unclear, attend class or watch the video</t>
      </text>
    </comment>
    <comment authorId="0" ref="G814">
      <text>
        <t xml:space="preserve">Fill on your own. If unclear, attend class or watch the video</t>
      </text>
    </comment>
    <comment authorId="0" ref="J814">
      <text>
        <t xml:space="preserve">North and South Region -- Rs. 10,000
East and West Region -- Rs. 5,000
Fill on your own. If unclear, attend class or watch the video
</t>
      </text>
    </comment>
    <comment authorId="0" ref="D815">
      <text>
        <t xml:space="preserve">Mr. or Ms.
Depending on Male or Female
Fill on your own. If unclear, attend class or watch the video</t>
      </text>
    </comment>
    <comment authorId="0" ref="E815">
      <text>
        <t xml:space="preserve">Salutation + Name
Fill on your own. If unclear, attend class or watch the video</t>
      </text>
    </comment>
    <comment authorId="0" ref="G815">
      <text>
        <t xml:space="preserve">Fill on your own. If unclear, attend class or watch the video</t>
      </text>
    </comment>
    <comment authorId="0" ref="J815">
      <text>
        <t xml:space="preserve">North and South Region -- Rs. 10,000
East and West Region -- Rs. 5,000
Fill on your own. If unclear, attend class or watch the video
</t>
      </text>
    </comment>
    <comment authorId="0" ref="D816">
      <text>
        <t xml:space="preserve">Mr. or Ms.
Depending on Male or Female
Fill on your own. If unclear, attend class or watch the video</t>
      </text>
    </comment>
    <comment authorId="0" ref="E816">
      <text>
        <t xml:space="preserve">Salutation + Name
Fill on your own. If unclear, attend class or watch the video</t>
      </text>
    </comment>
    <comment authorId="0" ref="G816">
      <text>
        <t xml:space="preserve">Fill on your own. If unclear, attend class or watch the video</t>
      </text>
    </comment>
    <comment authorId="0" ref="J816">
      <text>
        <t xml:space="preserve">North and South Region -- Rs. 10,000
East and West Region -- Rs. 5,000
Fill on your own. If unclear, attend class or watch the video
</t>
      </text>
    </comment>
    <comment authorId="0" ref="D817">
      <text>
        <t xml:space="preserve">Mr. or Ms.
Depending on Male or Female
Fill on your own. If unclear, attend class or watch the video</t>
      </text>
    </comment>
    <comment authorId="0" ref="E817">
      <text>
        <t xml:space="preserve">Salutation + Name
Fill on your own. If unclear, attend class or watch the video</t>
      </text>
    </comment>
    <comment authorId="0" ref="G817">
      <text>
        <t xml:space="preserve">Fill on your own. If unclear, attend class or watch the video</t>
      </text>
    </comment>
    <comment authorId="0" ref="J817">
      <text>
        <t xml:space="preserve">North and South Region -- Rs. 10,000
East and West Region -- Rs. 5,000
Fill on your own. If unclear, attend class or watch the video
</t>
      </text>
    </comment>
    <comment authorId="0" ref="D818">
      <text>
        <t xml:space="preserve">Mr. or Ms.
Depending on Male or Female
Fill on your own. If unclear, attend class or watch the video</t>
      </text>
    </comment>
    <comment authorId="0" ref="E818">
      <text>
        <t xml:space="preserve">Salutation + Name
Fill on your own. If unclear, attend class or watch the video</t>
      </text>
    </comment>
    <comment authorId="0" ref="G818">
      <text>
        <t xml:space="preserve">Fill on your own. If unclear, attend class or watch the video</t>
      </text>
    </comment>
    <comment authorId="0" ref="J818">
      <text>
        <t xml:space="preserve">North and South Region -- Rs. 10,000
East and West Region -- Rs. 5,000
Fill on your own. If unclear, attend class or watch the video
</t>
      </text>
    </comment>
    <comment authorId="0" ref="D819">
      <text>
        <t xml:space="preserve">Mr. or Ms.
Depending on Male or Female
Fill on your own. If unclear, attend class or watch the video</t>
      </text>
    </comment>
    <comment authorId="0" ref="E819">
      <text>
        <t xml:space="preserve">Salutation + Name
Fill on your own. If unclear, attend class or watch the video</t>
      </text>
    </comment>
    <comment authorId="0" ref="G819">
      <text>
        <t xml:space="preserve">Fill on your own. If unclear, attend class or watch the video</t>
      </text>
    </comment>
    <comment authorId="0" ref="J819">
      <text>
        <t xml:space="preserve">North and South Region -- Rs. 10,000
East and West Region -- Rs. 5,000
Fill on your own. If unclear, attend class or watch the video
</t>
      </text>
    </comment>
    <comment authorId="0" ref="D820">
      <text>
        <t xml:space="preserve">Mr. or Ms.
Depending on Male or Female
Fill on your own. If unclear, attend class or watch the video</t>
      </text>
    </comment>
    <comment authorId="0" ref="E820">
      <text>
        <t xml:space="preserve">Salutation + Name
Fill on your own. If unclear, attend class or watch the video</t>
      </text>
    </comment>
    <comment authorId="0" ref="G820">
      <text>
        <t xml:space="preserve">Fill on your own. If unclear, attend class or watch the video</t>
      </text>
    </comment>
    <comment authorId="0" ref="J820">
      <text>
        <t xml:space="preserve">North and South Region -- Rs. 10,000
East and West Region -- Rs. 5,000
Fill on your own. If unclear, attend class or watch the video
</t>
      </text>
    </comment>
    <comment authorId="0" ref="D821">
      <text>
        <t xml:space="preserve">Mr. or Ms.
Depending on Male or Female
Fill on your own. If unclear, attend class or watch the video</t>
      </text>
    </comment>
    <comment authorId="0" ref="E821">
      <text>
        <t xml:space="preserve">Salutation + Name
Fill on your own. If unclear, attend class or watch the video</t>
      </text>
    </comment>
    <comment authorId="0" ref="G821">
      <text>
        <t xml:space="preserve">Fill on your own. If unclear, attend class or watch the video</t>
      </text>
    </comment>
    <comment authorId="0" ref="J821">
      <text>
        <t xml:space="preserve">North and South Region -- Rs. 10,000
East and West Region -- Rs. 5,000
Fill on your own. If unclear, attend class or watch the video
</t>
      </text>
    </comment>
    <comment authorId="0" ref="D822">
      <text>
        <t xml:space="preserve">Mr. or Ms.
Depending on Male or Female
Fill on your own. If unclear, attend class or watch the video</t>
      </text>
    </comment>
    <comment authorId="0" ref="E822">
      <text>
        <t xml:space="preserve">Salutation + Name
Fill on your own. If unclear, attend class or watch the video</t>
      </text>
    </comment>
    <comment authorId="0" ref="G822">
      <text>
        <t xml:space="preserve">Fill on your own. If unclear, attend class or watch the video</t>
      </text>
    </comment>
    <comment authorId="0" ref="J822">
      <text>
        <t xml:space="preserve">North and South Region -- Rs. 10,000
East and West Region -- Rs. 5,000
Fill on your own. If unclear, attend class or watch the video
</t>
      </text>
    </comment>
    <comment authorId="0" ref="D823">
      <text>
        <t xml:space="preserve">Mr. or Ms.
Depending on Male or Female
Fill on your own. If unclear, attend class or watch the video</t>
      </text>
    </comment>
    <comment authorId="0" ref="E823">
      <text>
        <t xml:space="preserve">Salutation + Name
Fill on your own. If unclear, attend class or watch the video</t>
      </text>
    </comment>
    <comment authorId="0" ref="G823">
      <text>
        <t xml:space="preserve">Fill on your own. If unclear, attend class or watch the video</t>
      </text>
    </comment>
    <comment authorId="0" ref="J823">
      <text>
        <t xml:space="preserve">North and South Region -- Rs. 10,000
East and West Region -- Rs. 5,000
Fill on your own. If unclear, attend class or watch the video
</t>
      </text>
    </comment>
    <comment authorId="0" ref="D824">
      <text>
        <t xml:space="preserve">Mr. or Ms.
Depending on Male or Female
Fill on your own. If unclear, attend class or watch the video</t>
      </text>
    </comment>
    <comment authorId="0" ref="E824">
      <text>
        <t xml:space="preserve">Salutation + Name
Fill on your own. If unclear, attend class or watch the video</t>
      </text>
    </comment>
    <comment authorId="0" ref="G824">
      <text>
        <t xml:space="preserve">Fill on your own. If unclear, attend class or watch the video</t>
      </text>
    </comment>
    <comment authorId="0" ref="J824">
      <text>
        <t xml:space="preserve">North and South Region -- Rs. 10,000
East and West Region -- Rs. 5,000
Fill on your own. If unclear, attend class or watch the video
</t>
      </text>
    </comment>
    <comment authorId="0" ref="D825">
      <text>
        <t xml:space="preserve">Mr. or Ms.
Depending on Male or Female
Fill on your own. If unclear, attend class or watch the video</t>
      </text>
    </comment>
    <comment authorId="0" ref="E825">
      <text>
        <t xml:space="preserve">Salutation + Name
Fill on your own. If unclear, attend class or watch the video</t>
      </text>
    </comment>
    <comment authorId="0" ref="G825">
      <text>
        <t xml:space="preserve">Fill on your own. If unclear, attend class or watch the video</t>
      </text>
    </comment>
    <comment authorId="0" ref="J825">
      <text>
        <t xml:space="preserve">North and South Region -- Rs. 10,000
East and West Region -- Rs. 5,000
Fill on your own. If unclear, attend class or watch the video
</t>
      </text>
    </comment>
    <comment authorId="0" ref="D826">
      <text>
        <t xml:space="preserve">Mr. or Ms.
Depending on Male or Female
Fill on your own. If unclear, attend class or watch the video</t>
      </text>
    </comment>
    <comment authorId="0" ref="E826">
      <text>
        <t xml:space="preserve">Salutation + Name
Fill on your own. If unclear, attend class or watch the video</t>
      </text>
    </comment>
    <comment authorId="0" ref="G826">
      <text>
        <t xml:space="preserve">Fill on your own. If unclear, attend class or watch the video</t>
      </text>
    </comment>
    <comment authorId="0" ref="J826">
      <text>
        <t xml:space="preserve">North and South Region -- Rs. 10,000
East and West Region -- Rs. 5,000
Fill on your own. If unclear, attend class or watch the video
</t>
      </text>
    </comment>
    <comment authorId="0" ref="D827">
      <text>
        <t xml:space="preserve">Mr. or Ms.
Depending on Male or Female
Fill on your own. If unclear, attend class or watch the video</t>
      </text>
    </comment>
    <comment authorId="0" ref="E827">
      <text>
        <t xml:space="preserve">Salutation + Name
Fill on your own. If unclear, attend class or watch the video</t>
      </text>
    </comment>
    <comment authorId="0" ref="G827">
      <text>
        <t xml:space="preserve">Fill on your own. If unclear, attend class or watch the video</t>
      </text>
    </comment>
    <comment authorId="0" ref="J827">
      <text>
        <t xml:space="preserve">North and South Region -- Rs. 10,000
East and West Region -- Rs. 5,000
Fill on your own. If unclear, attend class or watch the video
</t>
      </text>
    </comment>
    <comment authorId="0" ref="D828">
      <text>
        <t xml:space="preserve">Mr. or Ms.
Depending on Male or Female
Fill on your own. If unclear, attend class or watch the video</t>
      </text>
    </comment>
    <comment authorId="0" ref="E828">
      <text>
        <t xml:space="preserve">Salutation + Name
Fill on your own. If unclear, attend class or watch the video</t>
      </text>
    </comment>
    <comment authorId="0" ref="G828">
      <text>
        <t xml:space="preserve">Fill on your own. If unclear, attend class or watch the video</t>
      </text>
    </comment>
    <comment authorId="0" ref="J828">
      <text>
        <t xml:space="preserve">North and South Region -- Rs. 10,000
East and West Region -- Rs. 5,000
Fill on your own. If unclear, attend class or watch the video
</t>
      </text>
    </comment>
    <comment authorId="0" ref="D829">
      <text>
        <t xml:space="preserve">Mr. or Ms.
Depending on Male or Female
Fill on your own. If unclear, attend class or watch the video</t>
      </text>
    </comment>
    <comment authorId="0" ref="E829">
      <text>
        <t xml:space="preserve">Salutation + Name
Fill on your own. If unclear, attend class or watch the video</t>
      </text>
    </comment>
    <comment authorId="0" ref="G829">
      <text>
        <t xml:space="preserve">Fill on your own. If unclear, attend class or watch the video</t>
      </text>
    </comment>
    <comment authorId="0" ref="J829">
      <text>
        <t xml:space="preserve">North and South Region -- Rs. 10,000
East and West Region -- Rs. 5,000
Fill on your own. If unclear, attend class or watch the video
</t>
      </text>
    </comment>
    <comment authorId="0" ref="D830">
      <text>
        <t xml:space="preserve">Mr. or Ms.
Depending on Male or Female
Fill on your own. If unclear, attend class or watch the video</t>
      </text>
    </comment>
    <comment authorId="0" ref="E830">
      <text>
        <t xml:space="preserve">Salutation + Name
Fill on your own. If unclear, attend class or watch the video</t>
      </text>
    </comment>
    <comment authorId="0" ref="G830">
      <text>
        <t xml:space="preserve">Fill on your own. If unclear, attend class or watch the video</t>
      </text>
    </comment>
    <comment authorId="0" ref="J830">
      <text>
        <t xml:space="preserve">North and South Region -- Rs. 10,000
East and West Region -- Rs. 5,000
Fill on your own. If unclear, attend class or watch the video
</t>
      </text>
    </comment>
    <comment authorId="0" ref="D831">
      <text>
        <t xml:space="preserve">Mr. or Ms.
Depending on Male or Female
Fill on your own. If unclear, attend class or watch the video</t>
      </text>
    </comment>
    <comment authorId="0" ref="E831">
      <text>
        <t xml:space="preserve">Salutation + Name
Fill on your own. If unclear, attend class or watch the video</t>
      </text>
    </comment>
    <comment authorId="0" ref="G831">
      <text>
        <t xml:space="preserve">Fill on your own. If unclear, attend class or watch the video</t>
      </text>
    </comment>
    <comment authorId="0" ref="J831">
      <text>
        <t xml:space="preserve">North and South Region -- Rs. 10,000
East and West Region -- Rs. 5,000
Fill on your own. If unclear, attend class or watch the video
</t>
      </text>
    </comment>
    <comment authorId="0" ref="D832">
      <text>
        <t xml:space="preserve">Mr. or Ms.
Depending on Male or Female
Fill on your own. If unclear, attend class or watch the video</t>
      </text>
    </comment>
    <comment authorId="0" ref="E832">
      <text>
        <t xml:space="preserve">Salutation + Name
Fill on your own. If unclear, attend class or watch the video</t>
      </text>
    </comment>
    <comment authorId="0" ref="G832">
      <text>
        <t xml:space="preserve">Fill on your own. If unclear, attend class or watch the video</t>
      </text>
    </comment>
    <comment authorId="0" ref="J832">
      <text>
        <t xml:space="preserve">North and South Region -- Rs. 10,000
East and West Region -- Rs. 5,000
Fill on your own. If unclear, attend class or watch the video
</t>
      </text>
    </comment>
    <comment authorId="0" ref="D833">
      <text>
        <t xml:space="preserve">Mr. or Ms.
Depending on Male or Female
Fill on your own. If unclear, attend class or watch the video</t>
      </text>
    </comment>
    <comment authorId="0" ref="E833">
      <text>
        <t xml:space="preserve">Salutation + Name
Fill on your own. If unclear, attend class or watch the video</t>
      </text>
    </comment>
    <comment authorId="0" ref="G833">
      <text>
        <t xml:space="preserve">Fill on your own. If unclear, attend class or watch the video</t>
      </text>
    </comment>
    <comment authorId="0" ref="J833">
      <text>
        <t xml:space="preserve">North and South Region -- Rs. 10,000
East and West Region -- Rs. 5,000
Fill on your own. If unclear, attend class or watch the video
</t>
      </text>
    </comment>
    <comment authorId="0" ref="D834">
      <text>
        <t xml:space="preserve">Mr. or Ms.
Depending on Male or Female
Fill on your own. If unclear, attend class or watch the video</t>
      </text>
    </comment>
    <comment authorId="0" ref="E834">
      <text>
        <t xml:space="preserve">Salutation + Name
Fill on your own. If unclear, attend class or watch the video</t>
      </text>
    </comment>
    <comment authorId="0" ref="G834">
      <text>
        <t xml:space="preserve">Fill on your own. If unclear, attend class or watch the video</t>
      </text>
    </comment>
    <comment authorId="0" ref="J834">
      <text>
        <t xml:space="preserve">North and South Region -- Rs. 10,000
East and West Region -- Rs. 5,000
Fill on your own. If unclear, attend class or watch the video
</t>
      </text>
    </comment>
    <comment authorId="0" ref="D835">
      <text>
        <t xml:space="preserve">Mr. or Ms.
Depending on Male or Female
Fill on your own. If unclear, attend class or watch the video</t>
      </text>
    </comment>
    <comment authorId="0" ref="E835">
      <text>
        <t xml:space="preserve">Salutation + Name
Fill on your own. If unclear, attend class or watch the video</t>
      </text>
    </comment>
    <comment authorId="0" ref="G835">
      <text>
        <t xml:space="preserve">Fill on your own. If unclear, attend class or watch the video</t>
      </text>
    </comment>
    <comment authorId="0" ref="J835">
      <text>
        <t xml:space="preserve">North and South Region -- Rs. 10,000
East and West Region -- Rs. 5,000
Fill on your own. If unclear, attend class or watch the video
</t>
      </text>
    </comment>
    <comment authorId="0" ref="D836">
      <text>
        <t xml:space="preserve">Mr. or Ms.
Depending on Male or Female
Fill on your own. If unclear, attend class or watch the video</t>
      </text>
    </comment>
    <comment authorId="0" ref="E836">
      <text>
        <t xml:space="preserve">Salutation + Name
Fill on your own. If unclear, attend class or watch the video</t>
      </text>
    </comment>
    <comment authorId="0" ref="G836">
      <text>
        <t xml:space="preserve">Fill on your own. If unclear, attend class or watch the video</t>
      </text>
    </comment>
    <comment authorId="0" ref="J836">
      <text>
        <t xml:space="preserve">North and South Region -- Rs. 10,000
East and West Region -- Rs. 5,000
Fill on your own. If unclear, attend class or watch the video
</t>
      </text>
    </comment>
    <comment authorId="0" ref="D837">
      <text>
        <t xml:space="preserve">Mr. or Ms.
Depending on Male or Female
Fill on your own. If unclear, attend class or watch the video</t>
      </text>
    </comment>
    <comment authorId="0" ref="E837">
      <text>
        <t xml:space="preserve">Salutation + Name
Fill on your own. If unclear, attend class or watch the video</t>
      </text>
    </comment>
    <comment authorId="0" ref="G837">
      <text>
        <t xml:space="preserve">Fill on your own. If unclear, attend class or watch the video</t>
      </text>
    </comment>
    <comment authorId="0" ref="J837">
      <text>
        <t xml:space="preserve">North and South Region -- Rs. 10,000
East and West Region -- Rs. 5,000
Fill on your own. If unclear, attend class or watch the video
</t>
      </text>
    </comment>
    <comment authorId="0" ref="D838">
      <text>
        <t xml:space="preserve">Mr. or Ms.
Depending on Male or Female
Fill on your own. If unclear, attend class or watch the video</t>
      </text>
    </comment>
    <comment authorId="0" ref="E838">
      <text>
        <t xml:space="preserve">Salutation + Name
Fill on your own. If unclear, attend class or watch the video</t>
      </text>
    </comment>
    <comment authorId="0" ref="G838">
      <text>
        <t xml:space="preserve">Fill on your own. If unclear, attend class or watch the video</t>
      </text>
    </comment>
    <comment authorId="0" ref="J838">
      <text>
        <t xml:space="preserve">North and South Region -- Rs. 10,000
East and West Region -- Rs. 5,000
Fill on your own. If unclear, attend class or watch the video
</t>
      </text>
    </comment>
    <comment authorId="0" ref="D839">
      <text>
        <t xml:space="preserve">Mr. or Ms.
Depending on Male or Female
Fill on your own. If unclear, attend class or watch the video</t>
      </text>
    </comment>
    <comment authorId="0" ref="E839">
      <text>
        <t xml:space="preserve">Salutation + Name
Fill on your own. If unclear, attend class or watch the video</t>
      </text>
    </comment>
    <comment authorId="0" ref="G839">
      <text>
        <t xml:space="preserve">Fill on your own. If unclear, attend class or watch the video</t>
      </text>
    </comment>
    <comment authorId="0" ref="J839">
      <text>
        <t xml:space="preserve">North and South Region -- Rs. 10,000
East and West Region -- Rs. 5,000
Fill on your own. If unclear, attend class or watch the video
</t>
      </text>
    </comment>
    <comment authorId="0" ref="D840">
      <text>
        <t xml:space="preserve">Mr. or Ms.
Depending on Male or Female
Fill on your own. If unclear, attend class or watch the video</t>
      </text>
    </comment>
    <comment authorId="0" ref="E840">
      <text>
        <t xml:space="preserve">Salutation + Name
Fill on your own. If unclear, attend class or watch the video</t>
      </text>
    </comment>
    <comment authorId="0" ref="G840">
      <text>
        <t xml:space="preserve">Fill on your own. If unclear, attend class or watch the video</t>
      </text>
    </comment>
    <comment authorId="0" ref="J840">
      <text>
        <t xml:space="preserve">North and South Region -- Rs. 10,000
East and West Region -- Rs. 5,000
Fill on your own. If unclear, attend class or watch the video
</t>
      </text>
    </comment>
    <comment authorId="0" ref="D841">
      <text>
        <t xml:space="preserve">Mr. or Ms.
Depending on Male or Female
Fill on your own. If unclear, attend class or watch the video</t>
      </text>
    </comment>
    <comment authorId="0" ref="E841">
      <text>
        <t xml:space="preserve">Salutation + Name
Fill on your own. If unclear, attend class or watch the video</t>
      </text>
    </comment>
    <comment authorId="0" ref="G841">
      <text>
        <t xml:space="preserve">Fill on your own. If unclear, attend class or watch the video</t>
      </text>
    </comment>
    <comment authorId="0" ref="J841">
      <text>
        <t xml:space="preserve">North and South Region -- Rs. 10,000
East and West Region -- Rs. 5,000
Fill on your own. If unclear, attend class or watch the video
</t>
      </text>
    </comment>
    <comment authorId="0" ref="D842">
      <text>
        <t xml:space="preserve">Mr. or Ms.
Depending on Male or Female
Fill on your own. If unclear, attend class or watch the video</t>
      </text>
    </comment>
    <comment authorId="0" ref="E842">
      <text>
        <t xml:space="preserve">Salutation + Name
Fill on your own. If unclear, attend class or watch the video</t>
      </text>
    </comment>
    <comment authorId="0" ref="G842">
      <text>
        <t xml:space="preserve">Fill on your own. If unclear, attend class or watch the video</t>
      </text>
    </comment>
    <comment authorId="0" ref="J842">
      <text>
        <t xml:space="preserve">North and South Region -- Rs. 10,000
East and West Region -- Rs. 5,000
Fill on your own. If unclear, attend class or watch the video
</t>
      </text>
    </comment>
    <comment authorId="0" ref="D843">
      <text>
        <t xml:space="preserve">Mr. or Ms.
Depending on Male or Female
Fill on your own. If unclear, attend class or watch the video</t>
      </text>
    </comment>
    <comment authorId="0" ref="E843">
      <text>
        <t xml:space="preserve">Salutation + Name
Fill on your own. If unclear, attend class or watch the video</t>
      </text>
    </comment>
    <comment authorId="0" ref="G843">
      <text>
        <t xml:space="preserve">Fill on your own. If unclear, attend class or watch the video</t>
      </text>
    </comment>
    <comment authorId="0" ref="J843">
      <text>
        <t xml:space="preserve">North and South Region -- Rs. 10,000
East and West Region -- Rs. 5,000
Fill on your own. If unclear, attend class or watch the video
</t>
      </text>
    </comment>
    <comment authorId="0" ref="D844">
      <text>
        <t xml:space="preserve">Mr. or Ms.
Depending on Male or Female
Fill on your own. If unclear, attend class or watch the video</t>
      </text>
    </comment>
    <comment authorId="0" ref="E844">
      <text>
        <t xml:space="preserve">Salutation + Name
Fill on your own. If unclear, attend class or watch the video</t>
      </text>
    </comment>
    <comment authorId="0" ref="G844">
      <text>
        <t xml:space="preserve">Fill on your own. If unclear, attend class or watch the video</t>
      </text>
    </comment>
    <comment authorId="0" ref="J844">
      <text>
        <t xml:space="preserve">North and South Region -- Rs. 10,000
East and West Region -- Rs. 5,000
Fill on your own. If unclear, attend class or watch the video
</t>
      </text>
    </comment>
    <comment authorId="0" ref="D845">
      <text>
        <t xml:space="preserve">Mr. or Ms.
Depending on Male or Female
Fill on your own. If unclear, attend class or watch the video</t>
      </text>
    </comment>
    <comment authorId="0" ref="E845">
      <text>
        <t xml:space="preserve">Salutation + Name
Fill on your own. If unclear, attend class or watch the video</t>
      </text>
    </comment>
    <comment authorId="0" ref="G845">
      <text>
        <t xml:space="preserve">Fill on your own. If unclear, attend class or watch the video</t>
      </text>
    </comment>
    <comment authorId="0" ref="J845">
      <text>
        <t xml:space="preserve">North and South Region -- Rs. 10,000
East and West Region -- Rs. 5,000
Fill on your own. If unclear, attend class or watch the video
</t>
      </text>
    </comment>
    <comment authorId="0" ref="D846">
      <text>
        <t xml:space="preserve">Mr. or Ms.
Depending on Male or Female
Fill on your own. If unclear, attend class or watch the video</t>
      </text>
    </comment>
    <comment authorId="0" ref="E846">
      <text>
        <t xml:space="preserve">Salutation + Name
Fill on your own. If unclear, attend class or watch the video</t>
      </text>
    </comment>
    <comment authorId="0" ref="G846">
      <text>
        <t xml:space="preserve">Fill on your own. If unclear, attend class or watch the video</t>
      </text>
    </comment>
    <comment authorId="0" ref="J846">
      <text>
        <t xml:space="preserve">North and South Region -- Rs. 10,000
East and West Region -- Rs. 5,000
Fill on your own. If unclear, attend class or watch the video
</t>
      </text>
    </comment>
    <comment authorId="0" ref="D847">
      <text>
        <t xml:space="preserve">Mr. or Ms.
Depending on Male or Female
Fill on your own. If unclear, attend class or watch the video</t>
      </text>
    </comment>
    <comment authorId="0" ref="E847">
      <text>
        <t xml:space="preserve">Salutation + Name
Fill on your own. If unclear, attend class or watch the video</t>
      </text>
    </comment>
    <comment authorId="0" ref="G847">
      <text>
        <t xml:space="preserve">Fill on your own. If unclear, attend class or watch the video</t>
      </text>
    </comment>
    <comment authorId="0" ref="J847">
      <text>
        <t xml:space="preserve">North and South Region -- Rs. 10,000
East and West Region -- Rs. 5,000
Fill on your own. If unclear, attend class or watch the video
</t>
      </text>
    </comment>
    <comment authorId="0" ref="D848">
      <text>
        <t xml:space="preserve">Mr. or Ms.
Depending on Male or Female
Fill on your own. If unclear, attend class or watch the video</t>
      </text>
    </comment>
    <comment authorId="0" ref="E848">
      <text>
        <t xml:space="preserve">Salutation + Name
Fill on your own. If unclear, attend class or watch the video</t>
      </text>
    </comment>
    <comment authorId="0" ref="G848">
      <text>
        <t xml:space="preserve">Fill on your own. If unclear, attend class or watch the video</t>
      </text>
    </comment>
    <comment authorId="0" ref="J848">
      <text>
        <t xml:space="preserve">North and South Region -- Rs. 10,000
East and West Region -- Rs. 5,000
Fill on your own. If unclear, attend class or watch the video
</t>
      </text>
    </comment>
    <comment authorId="0" ref="D849">
      <text>
        <t xml:space="preserve">Mr. or Ms.
Depending on Male or Female
Fill on your own. If unclear, attend class or watch the video</t>
      </text>
    </comment>
    <comment authorId="0" ref="E849">
      <text>
        <t xml:space="preserve">Salutation + Name
Fill on your own. If unclear, attend class or watch the video</t>
      </text>
    </comment>
    <comment authorId="0" ref="G849">
      <text>
        <t xml:space="preserve">Fill on your own. If unclear, attend class or watch the video</t>
      </text>
    </comment>
    <comment authorId="0" ref="J849">
      <text>
        <t xml:space="preserve">North and South Region -- Rs. 10,000
East and West Region -- Rs. 5,000
Fill on your own. If unclear, attend class or watch the video
</t>
      </text>
    </comment>
    <comment authorId="0" ref="D850">
      <text>
        <t xml:space="preserve">Mr. or Ms.
Depending on Male or Female
Fill on your own. If unclear, attend class or watch the video</t>
      </text>
    </comment>
    <comment authorId="0" ref="E850">
      <text>
        <t xml:space="preserve">Salutation + Name
Fill on your own. If unclear, attend class or watch the video</t>
      </text>
    </comment>
    <comment authorId="0" ref="G850">
      <text>
        <t xml:space="preserve">Fill on your own. If unclear, attend class or watch the video</t>
      </text>
    </comment>
    <comment authorId="0" ref="J850">
      <text>
        <t xml:space="preserve">North and South Region -- Rs. 10,000
East and West Region -- Rs. 5,000
Fill on your own. If unclear, attend class or watch the video
</t>
      </text>
    </comment>
    <comment authorId="0" ref="D851">
      <text>
        <t xml:space="preserve">Mr. or Ms.
Depending on Male or Female
Fill on your own. If unclear, attend class or watch the video</t>
      </text>
    </comment>
    <comment authorId="0" ref="E851">
      <text>
        <t xml:space="preserve">Salutation + Name
Fill on your own. If unclear, attend class or watch the video</t>
      </text>
    </comment>
    <comment authorId="0" ref="G851">
      <text>
        <t xml:space="preserve">Fill on your own. If unclear, attend class or watch the video</t>
      </text>
    </comment>
    <comment authorId="0" ref="J851">
      <text>
        <t xml:space="preserve">North and South Region -- Rs. 10,000
East and West Region -- Rs. 5,000
Fill on your own. If unclear, attend class or watch the video
</t>
      </text>
    </comment>
    <comment authorId="0" ref="D852">
      <text>
        <t xml:space="preserve">Mr. or Ms.
Depending on Male or Female
Fill on your own. If unclear, attend class or watch the video</t>
      </text>
    </comment>
    <comment authorId="0" ref="E852">
      <text>
        <t xml:space="preserve">Salutation + Name
Fill on your own. If unclear, attend class or watch the video</t>
      </text>
    </comment>
    <comment authorId="0" ref="G852">
      <text>
        <t xml:space="preserve">Fill on your own. If unclear, attend class or watch the video</t>
      </text>
    </comment>
    <comment authorId="0" ref="J852">
      <text>
        <t xml:space="preserve">North and South Region -- Rs. 10,000
East and West Region -- Rs. 5,000
Fill on your own. If unclear, attend class or watch the video
</t>
      </text>
    </comment>
    <comment authorId="0" ref="D853">
      <text>
        <t xml:space="preserve">Mr. or Ms.
Depending on Male or Female
Fill on your own. If unclear, attend class or watch the video</t>
      </text>
    </comment>
    <comment authorId="0" ref="E853">
      <text>
        <t xml:space="preserve">Salutation + Name
Fill on your own. If unclear, attend class or watch the video</t>
      </text>
    </comment>
    <comment authorId="0" ref="G853">
      <text>
        <t xml:space="preserve">Fill on your own. If unclear, attend class or watch the video</t>
      </text>
    </comment>
    <comment authorId="0" ref="J853">
      <text>
        <t xml:space="preserve">North and South Region -- Rs. 10,000
East and West Region -- Rs. 5,000
Fill on your own. If unclear, attend class or watch the video
</t>
      </text>
    </comment>
    <comment authorId="0" ref="D854">
      <text>
        <t xml:space="preserve">Mr. or Ms.
Depending on Male or Female
Fill on your own. If unclear, attend class or watch the video</t>
      </text>
    </comment>
    <comment authorId="0" ref="E854">
      <text>
        <t xml:space="preserve">Salutation + Name
Fill on your own. If unclear, attend class or watch the video</t>
      </text>
    </comment>
    <comment authorId="0" ref="G854">
      <text>
        <t xml:space="preserve">Fill on your own. If unclear, attend class or watch the video</t>
      </text>
    </comment>
    <comment authorId="0" ref="J854">
      <text>
        <t xml:space="preserve">North and South Region -- Rs. 10,000
East and West Region -- Rs. 5,000
Fill on your own. If unclear, attend class or watch the video
</t>
      </text>
    </comment>
    <comment authorId="0" ref="D855">
      <text>
        <t xml:space="preserve">Mr. or Ms.
Depending on Male or Female
Fill on your own. If unclear, attend class or watch the video</t>
      </text>
    </comment>
    <comment authorId="0" ref="E855">
      <text>
        <t xml:space="preserve">Salutation + Name
Fill on your own. If unclear, attend class or watch the video</t>
      </text>
    </comment>
    <comment authorId="0" ref="G855">
      <text>
        <t xml:space="preserve">Fill on your own. If unclear, attend class or watch the video</t>
      </text>
    </comment>
    <comment authorId="0" ref="J855">
      <text>
        <t xml:space="preserve">North and South Region -- Rs. 10,000
East and West Region -- Rs. 5,000
Fill on your own. If unclear, attend class or watch the video
</t>
      </text>
    </comment>
    <comment authorId="0" ref="D856">
      <text>
        <t xml:space="preserve">Mr. or Ms.
Depending on Male or Female
Fill on your own. If unclear, attend class or watch the video</t>
      </text>
    </comment>
    <comment authorId="0" ref="E856">
      <text>
        <t xml:space="preserve">Salutation + Name
Fill on your own. If unclear, attend class or watch the video</t>
      </text>
    </comment>
    <comment authorId="0" ref="G856">
      <text>
        <t xml:space="preserve">Fill on your own. If unclear, attend class or watch the video</t>
      </text>
    </comment>
    <comment authorId="0" ref="J856">
      <text>
        <t xml:space="preserve">North and South Region -- Rs. 10,000
East and West Region -- Rs. 5,000
Fill on your own. If unclear, attend class or watch the video
</t>
      </text>
    </comment>
    <comment authorId="0" ref="D857">
      <text>
        <t xml:space="preserve">Mr. or Ms.
Depending on Male or Female
Fill on your own. If unclear, attend class or watch the video</t>
      </text>
    </comment>
    <comment authorId="0" ref="E857">
      <text>
        <t xml:space="preserve">Salutation + Name
Fill on your own. If unclear, attend class or watch the video</t>
      </text>
    </comment>
    <comment authorId="0" ref="G857">
      <text>
        <t xml:space="preserve">Fill on your own. If unclear, attend class or watch the video</t>
      </text>
    </comment>
    <comment authorId="0" ref="J857">
      <text>
        <t xml:space="preserve">North and South Region -- Rs. 10,000
East and West Region -- Rs. 5,000
Fill on your own. If unclear, attend class or watch the video
</t>
      </text>
    </comment>
    <comment authorId="0" ref="D858">
      <text>
        <t xml:space="preserve">Mr. or Ms.
Depending on Male or Female
Fill on your own. If unclear, attend class or watch the video</t>
      </text>
    </comment>
    <comment authorId="0" ref="E858">
      <text>
        <t xml:space="preserve">Salutation + Name
Fill on your own. If unclear, attend class or watch the video</t>
      </text>
    </comment>
    <comment authorId="0" ref="G858">
      <text>
        <t xml:space="preserve">Fill on your own. If unclear, attend class or watch the video</t>
      </text>
    </comment>
    <comment authorId="0" ref="J858">
      <text>
        <t xml:space="preserve">North and South Region -- Rs. 10,000
East and West Region -- Rs. 5,000
Fill on your own. If unclear, attend class or watch the video
</t>
      </text>
    </comment>
    <comment authorId="0" ref="D859">
      <text>
        <t xml:space="preserve">Mr. or Ms.
Depending on Male or Female
Fill on your own. If unclear, attend class or watch the video</t>
      </text>
    </comment>
    <comment authorId="0" ref="E859">
      <text>
        <t xml:space="preserve">Salutation + Name
Fill on your own. If unclear, attend class or watch the video</t>
      </text>
    </comment>
    <comment authorId="0" ref="G859">
      <text>
        <t xml:space="preserve">Fill on your own. If unclear, attend class or watch the video</t>
      </text>
    </comment>
    <comment authorId="0" ref="J859">
      <text>
        <t xml:space="preserve">North and South Region -- Rs. 10,000
East and West Region -- Rs. 5,000
Fill on your own. If unclear, attend class or watch the video
</t>
      </text>
    </comment>
    <comment authorId="0" ref="D860">
      <text>
        <t xml:space="preserve">Mr. or Ms.
Depending on Male or Female
Fill on your own. If unclear, attend class or watch the video</t>
      </text>
    </comment>
    <comment authorId="0" ref="E860">
      <text>
        <t xml:space="preserve">Salutation + Name
Fill on your own. If unclear, attend class or watch the video</t>
      </text>
    </comment>
    <comment authorId="0" ref="G860">
      <text>
        <t xml:space="preserve">Fill on your own. If unclear, attend class or watch the video</t>
      </text>
    </comment>
    <comment authorId="0" ref="J860">
      <text>
        <t xml:space="preserve">North and South Region -- Rs. 10,000
East and West Region -- Rs. 5,000
Fill on your own. If unclear, attend class or watch the video
</t>
      </text>
    </comment>
    <comment authorId="0" ref="D861">
      <text>
        <t xml:space="preserve">Mr. or Ms.
Depending on Male or Female
Fill on your own. If unclear, attend class or watch the video</t>
      </text>
    </comment>
    <comment authorId="0" ref="E861">
      <text>
        <t xml:space="preserve">Salutation + Name
Fill on your own. If unclear, attend class or watch the video</t>
      </text>
    </comment>
    <comment authorId="0" ref="G861">
      <text>
        <t xml:space="preserve">Fill on your own. If unclear, attend class or watch the video</t>
      </text>
    </comment>
    <comment authorId="0" ref="J861">
      <text>
        <t xml:space="preserve">North and South Region -- Rs. 10,000
East and West Region -- Rs. 5,000
Fill on your own. If unclear, attend class or watch the video
</t>
      </text>
    </comment>
    <comment authorId="0" ref="D862">
      <text>
        <t xml:space="preserve">Mr. or Ms.
Depending on Male or Female
Fill on your own. If unclear, attend class or watch the video</t>
      </text>
    </comment>
    <comment authorId="0" ref="E862">
      <text>
        <t xml:space="preserve">Salutation + Name
Fill on your own. If unclear, attend class or watch the video</t>
      </text>
    </comment>
    <comment authorId="0" ref="G862">
      <text>
        <t xml:space="preserve">Fill on your own. If unclear, attend class or watch the video</t>
      </text>
    </comment>
    <comment authorId="0" ref="J862">
      <text>
        <t xml:space="preserve">North and South Region -- Rs. 10,000
East and West Region -- Rs. 5,000
Fill on your own. If unclear, attend class or watch the video
</t>
      </text>
    </comment>
    <comment authorId="0" ref="D863">
      <text>
        <t xml:space="preserve">Mr. or Ms.
Depending on Male or Female
Fill on your own. If unclear, attend class or watch the video</t>
      </text>
    </comment>
    <comment authorId="0" ref="E863">
      <text>
        <t xml:space="preserve">Salutation + Name
Fill on your own. If unclear, attend class or watch the video</t>
      </text>
    </comment>
    <comment authorId="0" ref="G863">
      <text>
        <t xml:space="preserve">Fill on your own. If unclear, attend class or watch the video</t>
      </text>
    </comment>
    <comment authorId="0" ref="J863">
      <text>
        <t xml:space="preserve">North and South Region -- Rs. 10,000
East and West Region -- Rs. 5,000
Fill on your own. If unclear, attend class or watch the video
</t>
      </text>
    </comment>
    <comment authorId="0" ref="D864">
      <text>
        <t xml:space="preserve">Mr. or Ms.
Depending on Male or Female
Fill on your own. If unclear, attend class or watch the video</t>
      </text>
    </comment>
    <comment authorId="0" ref="E864">
      <text>
        <t xml:space="preserve">Salutation + Name
Fill on your own. If unclear, attend class or watch the video</t>
      </text>
    </comment>
    <comment authorId="0" ref="G864">
      <text>
        <t xml:space="preserve">Fill on your own. If unclear, attend class or watch the video</t>
      </text>
    </comment>
    <comment authorId="0" ref="J864">
      <text>
        <t xml:space="preserve">North and South Region -- Rs. 10,000
East and West Region -- Rs. 5,000
Fill on your own. If unclear, attend class or watch the video
</t>
      </text>
    </comment>
    <comment authorId="0" ref="D865">
      <text>
        <t xml:space="preserve">Mr. or Ms.
Depending on Male or Female
Fill on your own. If unclear, attend class or watch the video</t>
      </text>
    </comment>
    <comment authorId="0" ref="E865">
      <text>
        <t xml:space="preserve">Salutation + Name
Fill on your own. If unclear, attend class or watch the video</t>
      </text>
    </comment>
    <comment authorId="0" ref="G865">
      <text>
        <t xml:space="preserve">Fill on your own. If unclear, attend class or watch the video</t>
      </text>
    </comment>
    <comment authorId="0" ref="J865">
      <text>
        <t xml:space="preserve">North and South Region -- Rs. 10,000
East and West Region -- Rs. 5,000
Fill on your own. If unclear, attend class or watch the video
</t>
      </text>
    </comment>
    <comment authorId="0" ref="D866">
      <text>
        <t xml:space="preserve">Mr. or Ms.
Depending on Male or Female
Fill on your own. If unclear, attend class or watch the video</t>
      </text>
    </comment>
    <comment authorId="0" ref="E866">
      <text>
        <t xml:space="preserve">Salutation + Name
Fill on your own. If unclear, attend class or watch the video</t>
      </text>
    </comment>
    <comment authorId="0" ref="G866">
      <text>
        <t xml:space="preserve">Fill on your own. If unclear, attend class or watch the video</t>
      </text>
    </comment>
    <comment authorId="0" ref="J866">
      <text>
        <t xml:space="preserve">North and South Region -- Rs. 10,000
East and West Region -- Rs. 5,000
Fill on your own. If unclear, attend class or watch the video
</t>
      </text>
    </comment>
    <comment authorId="0" ref="D867">
      <text>
        <t xml:space="preserve">Mr. or Ms.
Depending on Male or Female
Fill on your own. If unclear, attend class or watch the video</t>
      </text>
    </comment>
    <comment authorId="0" ref="E867">
      <text>
        <t xml:space="preserve">Salutation + Name
Fill on your own. If unclear, attend class or watch the video</t>
      </text>
    </comment>
    <comment authorId="0" ref="G867">
      <text>
        <t xml:space="preserve">Fill on your own. If unclear, attend class or watch the video</t>
      </text>
    </comment>
    <comment authorId="0" ref="J867">
      <text>
        <t xml:space="preserve">North and South Region -- Rs. 10,000
East and West Region -- Rs. 5,000
Fill on your own. If unclear, attend class or watch the video
</t>
      </text>
    </comment>
    <comment authorId="0" ref="D868">
      <text>
        <t xml:space="preserve">Mr. or Ms.
Depending on Male or Female
Fill on your own. If unclear, attend class or watch the video</t>
      </text>
    </comment>
    <comment authorId="0" ref="E868">
      <text>
        <t xml:space="preserve">Salutation + Name
Fill on your own. If unclear, attend class or watch the video</t>
      </text>
    </comment>
    <comment authorId="0" ref="G868">
      <text>
        <t xml:space="preserve">Fill on your own. If unclear, attend class or watch the video</t>
      </text>
    </comment>
    <comment authorId="0" ref="J868">
      <text>
        <t xml:space="preserve">North and South Region -- Rs. 10,000
East and West Region -- Rs. 5,000
Fill on your own. If unclear, attend class or watch the video
</t>
      </text>
    </comment>
    <comment authorId="0" ref="D869">
      <text>
        <t xml:space="preserve">Mr. or Ms.
Depending on Male or Female
Fill on your own. If unclear, attend class or watch the video</t>
      </text>
    </comment>
    <comment authorId="0" ref="E869">
      <text>
        <t xml:space="preserve">Salutation + Name
Fill on your own. If unclear, attend class or watch the video</t>
      </text>
    </comment>
    <comment authorId="0" ref="G869">
      <text>
        <t xml:space="preserve">Fill on your own. If unclear, attend class or watch the video</t>
      </text>
    </comment>
    <comment authorId="0" ref="J869">
      <text>
        <t xml:space="preserve">North and South Region -- Rs. 10,000
East and West Region -- Rs. 5,000
Fill on your own. If unclear, attend class or watch the video
</t>
      </text>
    </comment>
    <comment authorId="0" ref="D870">
      <text>
        <t xml:space="preserve">Mr. or Ms.
Depending on Male or Female
Fill on your own. If unclear, attend class or watch the video</t>
      </text>
    </comment>
    <comment authorId="0" ref="E870">
      <text>
        <t xml:space="preserve">Salutation + Name
Fill on your own. If unclear, attend class or watch the video</t>
      </text>
    </comment>
    <comment authorId="0" ref="G870">
      <text>
        <t xml:space="preserve">Fill on your own. If unclear, attend class or watch the video</t>
      </text>
    </comment>
    <comment authorId="0" ref="J870">
      <text>
        <t xml:space="preserve">North and South Region -- Rs. 10,000
East and West Region -- Rs. 5,000
Fill on your own. If unclear, attend class or watch the video
</t>
      </text>
    </comment>
    <comment authorId="0" ref="D871">
      <text>
        <t xml:space="preserve">Mr. or Ms.
Depending on Male or Female
Fill on your own. If unclear, attend class or watch the video</t>
      </text>
    </comment>
    <comment authorId="0" ref="E871">
      <text>
        <t xml:space="preserve">Salutation + Name
Fill on your own. If unclear, attend class or watch the video</t>
      </text>
    </comment>
    <comment authorId="0" ref="G871">
      <text>
        <t xml:space="preserve">Fill on your own. If unclear, attend class or watch the video</t>
      </text>
    </comment>
    <comment authorId="0" ref="J871">
      <text>
        <t xml:space="preserve">North and South Region -- Rs. 10,000
East and West Region -- Rs. 5,000
Fill on your own. If unclear, attend class or watch the video
</t>
      </text>
    </comment>
    <comment authorId="0" ref="D872">
      <text>
        <t xml:space="preserve">Mr. or Ms.
Depending on Male or Female
Fill on your own. If unclear, attend class or watch the video</t>
      </text>
    </comment>
    <comment authorId="0" ref="E872">
      <text>
        <t xml:space="preserve">Salutation + Name
Fill on your own. If unclear, attend class or watch the video</t>
      </text>
    </comment>
    <comment authorId="0" ref="G872">
      <text>
        <t xml:space="preserve">Fill on your own. If unclear, attend class or watch the video</t>
      </text>
    </comment>
    <comment authorId="0" ref="J872">
      <text>
        <t xml:space="preserve">North and South Region -- Rs. 10,000
East and West Region -- Rs. 5,000
Fill on your own. If unclear, attend class or watch the video
</t>
      </text>
    </comment>
    <comment authorId="0" ref="D873">
      <text>
        <t xml:space="preserve">Mr. or Ms.
Depending on Male or Female
Fill on your own. If unclear, attend class or watch the video</t>
      </text>
    </comment>
    <comment authorId="0" ref="E873">
      <text>
        <t xml:space="preserve">Salutation + Name
Fill on your own. If unclear, attend class or watch the video</t>
      </text>
    </comment>
    <comment authorId="0" ref="G873">
      <text>
        <t xml:space="preserve">Fill on your own. If unclear, attend class or watch the video</t>
      </text>
    </comment>
    <comment authorId="0" ref="J873">
      <text>
        <t xml:space="preserve">North and South Region -- Rs. 10,000
East and West Region -- Rs. 5,000
Fill on your own. If unclear, attend class or watch the video
</t>
      </text>
    </comment>
    <comment authorId="0" ref="D874">
      <text>
        <t xml:space="preserve">Mr. or Ms.
Depending on Male or Female
Fill on your own. If unclear, attend class or watch the video</t>
      </text>
    </comment>
    <comment authorId="0" ref="E874">
      <text>
        <t xml:space="preserve">Salutation + Name
Fill on your own. If unclear, attend class or watch the video</t>
      </text>
    </comment>
    <comment authorId="0" ref="G874">
      <text>
        <t xml:space="preserve">Fill on your own. If unclear, attend class or watch the video</t>
      </text>
    </comment>
    <comment authorId="0" ref="J874">
      <text>
        <t xml:space="preserve">North and South Region -- Rs. 10,000
East and West Region -- Rs. 5,000
Fill on your own. If unclear, attend class or watch the video
</t>
      </text>
    </comment>
    <comment authorId="0" ref="D875">
      <text>
        <t xml:space="preserve">Mr. or Ms.
Depending on Male or Female
Fill on your own. If unclear, attend class or watch the video</t>
      </text>
    </comment>
    <comment authorId="0" ref="E875">
      <text>
        <t xml:space="preserve">Salutation + Name
Fill on your own. If unclear, attend class or watch the video</t>
      </text>
    </comment>
    <comment authorId="0" ref="G875">
      <text>
        <t xml:space="preserve">Fill on your own. If unclear, attend class or watch the video</t>
      </text>
    </comment>
    <comment authorId="0" ref="J875">
      <text>
        <t xml:space="preserve">North and South Region -- Rs. 10,000
East and West Region -- Rs. 5,000
Fill on your own. If unclear, attend class or watch the video
</t>
      </text>
    </comment>
    <comment authorId="0" ref="D876">
      <text>
        <t xml:space="preserve">Mr. or Ms.
Depending on Male or Female
Fill on your own. If unclear, attend class or watch the video</t>
      </text>
    </comment>
    <comment authorId="0" ref="E876">
      <text>
        <t xml:space="preserve">Salutation + Name
Fill on your own. If unclear, attend class or watch the video</t>
      </text>
    </comment>
    <comment authorId="0" ref="G876">
      <text>
        <t xml:space="preserve">Fill on your own. If unclear, attend class or watch the video</t>
      </text>
    </comment>
    <comment authorId="0" ref="J876">
      <text>
        <t xml:space="preserve">North and South Region -- Rs. 10,000
East and West Region -- Rs. 5,000
Fill on your own. If unclear, attend class or watch the video
</t>
      </text>
    </comment>
    <comment authorId="0" ref="D877">
      <text>
        <t xml:space="preserve">Mr. or Ms.
Depending on Male or Female
Fill on your own. If unclear, attend class or watch the video</t>
      </text>
    </comment>
    <comment authorId="0" ref="E877">
      <text>
        <t xml:space="preserve">Salutation + Name
Fill on your own. If unclear, attend class or watch the video</t>
      </text>
    </comment>
    <comment authorId="0" ref="G877">
      <text>
        <t xml:space="preserve">Fill on your own. If unclear, attend class or watch the video</t>
      </text>
    </comment>
    <comment authorId="0" ref="J877">
      <text>
        <t xml:space="preserve">North and South Region -- Rs. 10,000
East and West Region -- Rs. 5,000
Fill on your own. If unclear, attend class or watch the video
</t>
      </text>
    </comment>
    <comment authorId="0" ref="D878">
      <text>
        <t xml:space="preserve">Mr. or Ms.
Depending on Male or Female
Fill on your own. If unclear, attend class or watch the video</t>
      </text>
    </comment>
    <comment authorId="0" ref="E878">
      <text>
        <t xml:space="preserve">Salutation + Name
Fill on your own. If unclear, attend class or watch the video</t>
      </text>
    </comment>
    <comment authorId="0" ref="G878">
      <text>
        <t xml:space="preserve">Fill on your own. If unclear, attend class or watch the video</t>
      </text>
    </comment>
    <comment authorId="0" ref="J878">
      <text>
        <t xml:space="preserve">North and South Region -- Rs. 10,000
East and West Region -- Rs. 5,000
Fill on your own. If unclear, attend class or watch the video
</t>
      </text>
    </comment>
    <comment authorId="0" ref="D879">
      <text>
        <t xml:space="preserve">Mr. or Ms.
Depending on Male or Female
Fill on your own. If unclear, attend class or watch the video</t>
      </text>
    </comment>
    <comment authorId="0" ref="E879">
      <text>
        <t xml:space="preserve">Salutation + Name
Fill on your own. If unclear, attend class or watch the video</t>
      </text>
    </comment>
    <comment authorId="0" ref="G879">
      <text>
        <t xml:space="preserve">Fill on your own. If unclear, attend class or watch the video</t>
      </text>
    </comment>
    <comment authorId="0" ref="J879">
      <text>
        <t xml:space="preserve">North and South Region -- Rs. 10,000
East and West Region -- Rs. 5,000
Fill on your own. If unclear, attend class or watch the video
</t>
      </text>
    </comment>
    <comment authorId="0" ref="D880">
      <text>
        <t xml:space="preserve">Mr. or Ms.
Depending on Male or Female
Fill on your own. If unclear, attend class or watch the video</t>
      </text>
    </comment>
    <comment authorId="0" ref="E880">
      <text>
        <t xml:space="preserve">Salutation + Name
Fill on your own. If unclear, attend class or watch the video</t>
      </text>
    </comment>
    <comment authorId="0" ref="G880">
      <text>
        <t xml:space="preserve">Fill on your own. If unclear, attend class or watch the video</t>
      </text>
    </comment>
    <comment authorId="0" ref="J880">
      <text>
        <t xml:space="preserve">North and South Region -- Rs. 10,000
East and West Region -- Rs. 5,000
Fill on your own. If unclear, attend class or watch the video
</t>
      </text>
    </comment>
    <comment authorId="0" ref="D881">
      <text>
        <t xml:space="preserve">Mr. or Ms.
Depending on Male or Female
Fill on your own. If unclear, attend class or watch the video</t>
      </text>
    </comment>
    <comment authorId="0" ref="E881">
      <text>
        <t xml:space="preserve">Salutation + Name
Fill on your own. If unclear, attend class or watch the video</t>
      </text>
    </comment>
    <comment authorId="0" ref="G881">
      <text>
        <t xml:space="preserve">Fill on your own. If unclear, attend class or watch the video</t>
      </text>
    </comment>
    <comment authorId="0" ref="J881">
      <text>
        <t xml:space="preserve">North and South Region -- Rs. 10,000
East and West Region -- Rs. 5,000
Fill on your own. If unclear, attend class or watch the video
</t>
      </text>
    </comment>
    <comment authorId="0" ref="D882">
      <text>
        <t xml:space="preserve">Mr. or Ms.
Depending on Male or Female
Fill on your own. If unclear, attend class or watch the video</t>
      </text>
    </comment>
    <comment authorId="0" ref="E882">
      <text>
        <t xml:space="preserve">Salutation + Name
Fill on your own. If unclear, attend class or watch the video</t>
      </text>
    </comment>
    <comment authorId="0" ref="G882">
      <text>
        <t xml:space="preserve">Fill on your own. If unclear, attend class or watch the video</t>
      </text>
    </comment>
    <comment authorId="0" ref="J882">
      <text>
        <t xml:space="preserve">North and South Region -- Rs. 10,000
East and West Region -- Rs. 5,000
Fill on your own. If unclear, attend class or watch the video
</t>
      </text>
    </comment>
    <comment authorId="0" ref="D883">
      <text>
        <t xml:space="preserve">Mr. or Ms.
Depending on Male or Female
Fill on your own. If unclear, attend class or watch the video</t>
      </text>
    </comment>
    <comment authorId="0" ref="E883">
      <text>
        <t xml:space="preserve">Salutation + Name
Fill on your own. If unclear, attend class or watch the video</t>
      </text>
    </comment>
    <comment authorId="0" ref="G883">
      <text>
        <t xml:space="preserve">Fill on your own. If unclear, attend class or watch the video</t>
      </text>
    </comment>
    <comment authorId="0" ref="J883">
      <text>
        <t xml:space="preserve">North and South Region -- Rs. 10,000
East and West Region -- Rs. 5,000
Fill on your own. If unclear, attend class or watch the video
</t>
      </text>
    </comment>
    <comment authorId="0" ref="D884">
      <text>
        <t xml:space="preserve">Mr. or Ms.
Depending on Male or Female
Fill on your own. If unclear, attend class or watch the video</t>
      </text>
    </comment>
    <comment authorId="0" ref="E884">
      <text>
        <t xml:space="preserve">Salutation + Name
Fill on your own. If unclear, attend class or watch the video</t>
      </text>
    </comment>
    <comment authorId="0" ref="G884">
      <text>
        <t xml:space="preserve">Fill on your own. If unclear, attend class or watch the video</t>
      </text>
    </comment>
    <comment authorId="0" ref="J884">
      <text>
        <t xml:space="preserve">North and South Region -- Rs. 10,000
East and West Region -- Rs. 5,000
Fill on your own. If unclear, attend class or watch the video
</t>
      </text>
    </comment>
    <comment authorId="0" ref="D885">
      <text>
        <t xml:space="preserve">Mr. or Ms.
Depending on Male or Female
Fill on your own. If unclear, attend class or watch the video</t>
      </text>
    </comment>
    <comment authorId="0" ref="E885">
      <text>
        <t xml:space="preserve">Salutation + Name
Fill on your own. If unclear, attend class or watch the video</t>
      </text>
    </comment>
    <comment authorId="0" ref="G885">
      <text>
        <t xml:space="preserve">Fill on your own. If unclear, attend class or watch the video</t>
      </text>
    </comment>
    <comment authorId="0" ref="J885">
      <text>
        <t xml:space="preserve">North and South Region -- Rs. 10,000
East and West Region -- Rs. 5,000
Fill on your own. If unclear, attend class or watch the video
</t>
      </text>
    </comment>
    <comment authorId="0" ref="D886">
      <text>
        <t xml:space="preserve">Mr. or Ms.
Depending on Male or Female
Fill on your own. If unclear, attend class or watch the video</t>
      </text>
    </comment>
    <comment authorId="0" ref="E886">
      <text>
        <t xml:space="preserve">Salutation + Name
Fill on your own. If unclear, attend class or watch the video</t>
      </text>
    </comment>
    <comment authorId="0" ref="G886">
      <text>
        <t xml:space="preserve">Fill on your own. If unclear, attend class or watch the video</t>
      </text>
    </comment>
    <comment authorId="0" ref="J886">
      <text>
        <t xml:space="preserve">North and South Region -- Rs. 10,000
East and West Region -- Rs. 5,000
Fill on your own. If unclear, attend class or watch the video
</t>
      </text>
    </comment>
    <comment authorId="0" ref="D887">
      <text>
        <t xml:space="preserve">Mr. or Ms.
Depending on Male or Female
Fill on your own. If unclear, attend class or watch the video</t>
      </text>
    </comment>
    <comment authorId="0" ref="E887">
      <text>
        <t xml:space="preserve">Salutation + Name
Fill on your own. If unclear, attend class or watch the video</t>
      </text>
    </comment>
    <comment authorId="0" ref="G887">
      <text>
        <t xml:space="preserve">Fill on your own. If unclear, attend class or watch the video</t>
      </text>
    </comment>
    <comment authorId="0" ref="J887">
      <text>
        <t xml:space="preserve">North and South Region -- Rs. 10,000
East and West Region -- Rs. 5,000
Fill on your own. If unclear, attend class or watch the video
</t>
      </text>
    </comment>
    <comment authorId="0" ref="D888">
      <text>
        <t xml:space="preserve">Mr. or Ms.
Depending on Male or Female
Fill on your own. If unclear, attend class or watch the video</t>
      </text>
    </comment>
    <comment authorId="0" ref="E888">
      <text>
        <t xml:space="preserve">Salutation + Name
Fill on your own. If unclear, attend class or watch the video</t>
      </text>
    </comment>
    <comment authorId="0" ref="G888">
      <text>
        <t xml:space="preserve">Fill on your own. If unclear, attend class or watch the video</t>
      </text>
    </comment>
    <comment authorId="0" ref="J888">
      <text>
        <t xml:space="preserve">North and South Region -- Rs. 10,000
East and West Region -- Rs. 5,000
Fill on your own. If unclear, attend class or watch the video
</t>
      </text>
    </comment>
    <comment authorId="0" ref="D889">
      <text>
        <t xml:space="preserve">Mr. or Ms.
Depending on Male or Female
Fill on your own. If unclear, attend class or watch the video</t>
      </text>
    </comment>
    <comment authorId="0" ref="E889">
      <text>
        <t xml:space="preserve">Salutation + Name
Fill on your own. If unclear, attend class or watch the video</t>
      </text>
    </comment>
    <comment authorId="0" ref="G889">
      <text>
        <t xml:space="preserve">Fill on your own. If unclear, attend class or watch the video</t>
      </text>
    </comment>
    <comment authorId="0" ref="J889">
      <text>
        <t xml:space="preserve">North and South Region -- Rs. 10,000
East and West Region -- Rs. 5,000
Fill on your own. If unclear, attend class or watch the video
</t>
      </text>
    </comment>
    <comment authorId="0" ref="D890">
      <text>
        <t xml:space="preserve">Mr. or Ms.
Depending on Male or Female
Fill on your own. If unclear, attend class or watch the video</t>
      </text>
    </comment>
    <comment authorId="0" ref="E890">
      <text>
        <t xml:space="preserve">Salutation + Name
Fill on your own. If unclear, attend class or watch the video</t>
      </text>
    </comment>
    <comment authorId="0" ref="G890">
      <text>
        <t xml:space="preserve">Fill on your own. If unclear, attend class or watch the video</t>
      </text>
    </comment>
    <comment authorId="0" ref="J890">
      <text>
        <t xml:space="preserve">North and South Region -- Rs. 10,000
East and West Region -- Rs. 5,000
Fill on your own. If unclear, attend class or watch the video
</t>
      </text>
    </comment>
    <comment authorId="0" ref="D891">
      <text>
        <t xml:space="preserve">Mr. or Ms.
Depending on Male or Female
Fill on your own. If unclear, attend class or watch the video</t>
      </text>
    </comment>
    <comment authorId="0" ref="E891">
      <text>
        <t xml:space="preserve">Salutation + Name
Fill on your own. If unclear, attend class or watch the video</t>
      </text>
    </comment>
    <comment authorId="0" ref="G891">
      <text>
        <t xml:space="preserve">Fill on your own. If unclear, attend class or watch the video</t>
      </text>
    </comment>
    <comment authorId="0" ref="J891">
      <text>
        <t xml:space="preserve">North and South Region -- Rs. 10,000
East and West Region -- Rs. 5,000
Fill on your own. If unclear, attend class or watch the video
</t>
      </text>
    </comment>
    <comment authorId="0" ref="D892">
      <text>
        <t xml:space="preserve">Mr. or Ms.
Depending on Male or Female
Fill on your own. If unclear, attend class or watch the video</t>
      </text>
    </comment>
    <comment authorId="0" ref="E892">
      <text>
        <t xml:space="preserve">Salutation + Name
Fill on your own. If unclear, attend class or watch the video</t>
      </text>
    </comment>
    <comment authorId="0" ref="G892">
      <text>
        <t xml:space="preserve">Fill on your own. If unclear, attend class or watch the video</t>
      </text>
    </comment>
    <comment authorId="0" ref="J892">
      <text>
        <t xml:space="preserve">North and South Region -- Rs. 10,000
East and West Region -- Rs. 5,000
Fill on your own. If unclear, attend class or watch the video
</t>
      </text>
    </comment>
    <comment authorId="0" ref="D893">
      <text>
        <t xml:space="preserve">Mr. or Ms.
Depending on Male or Female
Fill on your own. If unclear, attend class or watch the video</t>
      </text>
    </comment>
    <comment authorId="0" ref="E893">
      <text>
        <t xml:space="preserve">Salutation + Name
Fill on your own. If unclear, attend class or watch the video</t>
      </text>
    </comment>
    <comment authorId="0" ref="G893">
      <text>
        <t xml:space="preserve">Fill on your own. If unclear, attend class or watch the video</t>
      </text>
    </comment>
    <comment authorId="0" ref="J893">
      <text>
        <t xml:space="preserve">North and South Region -- Rs. 10,000
East and West Region -- Rs. 5,000
Fill on your own. If unclear, attend class or watch the video
</t>
      </text>
    </comment>
    <comment authorId="0" ref="D894">
      <text>
        <t xml:space="preserve">Mr. or Ms.
Depending on Male or Female
Fill on your own. If unclear, attend class or watch the video</t>
      </text>
    </comment>
    <comment authorId="0" ref="E894">
      <text>
        <t xml:space="preserve">Salutation + Name
Fill on your own. If unclear, attend class or watch the video</t>
      </text>
    </comment>
    <comment authorId="0" ref="G894">
      <text>
        <t xml:space="preserve">Fill on your own. If unclear, attend class or watch the video</t>
      </text>
    </comment>
    <comment authorId="0" ref="J894">
      <text>
        <t xml:space="preserve">North and South Region -- Rs. 10,000
East and West Region -- Rs. 5,000
Fill on your own. If unclear, attend class or watch the video
</t>
      </text>
    </comment>
    <comment authorId="0" ref="D895">
      <text>
        <t xml:space="preserve">Mr. or Ms.
Depending on Male or Female
Fill on your own. If unclear, attend class or watch the video</t>
      </text>
    </comment>
    <comment authorId="0" ref="E895">
      <text>
        <t xml:space="preserve">Salutation + Name
Fill on your own. If unclear, attend class or watch the video</t>
      </text>
    </comment>
    <comment authorId="0" ref="G895">
      <text>
        <t xml:space="preserve">Fill on your own. If unclear, attend class or watch the video</t>
      </text>
    </comment>
    <comment authorId="0" ref="J895">
      <text>
        <t xml:space="preserve">North and South Region -- Rs. 10,000
East and West Region -- Rs. 5,000
Fill on your own. If unclear, attend class or watch the video
</t>
      </text>
    </comment>
    <comment authorId="0" ref="D896">
      <text>
        <t xml:space="preserve">Mr. or Ms.
Depending on Male or Female
Fill on your own. If unclear, attend class or watch the video</t>
      </text>
    </comment>
    <comment authorId="0" ref="E896">
      <text>
        <t xml:space="preserve">Salutation + Name
Fill on your own. If unclear, attend class or watch the video</t>
      </text>
    </comment>
    <comment authorId="0" ref="G896">
      <text>
        <t xml:space="preserve">Fill on your own. If unclear, attend class or watch the video</t>
      </text>
    </comment>
    <comment authorId="0" ref="J896">
      <text>
        <t xml:space="preserve">North and South Region -- Rs. 10,000
East and West Region -- Rs. 5,000
Fill on your own. If unclear, attend class or watch the video
</t>
      </text>
    </comment>
    <comment authorId="0" ref="D897">
      <text>
        <t xml:space="preserve">Mr. or Ms.
Depending on Male or Female
Fill on your own. If unclear, attend class or watch the video</t>
      </text>
    </comment>
    <comment authorId="0" ref="E897">
      <text>
        <t xml:space="preserve">Salutation + Name
Fill on your own. If unclear, attend class or watch the video</t>
      </text>
    </comment>
    <comment authorId="0" ref="G897">
      <text>
        <t xml:space="preserve">Fill on your own. If unclear, attend class or watch the video</t>
      </text>
    </comment>
    <comment authorId="0" ref="J897">
      <text>
        <t xml:space="preserve">North and South Region -- Rs. 10,000
East and West Region -- Rs. 5,000
Fill on your own. If unclear, attend class or watch the video
</t>
      </text>
    </comment>
    <comment authorId="0" ref="D898">
      <text>
        <t xml:space="preserve">Mr. or Ms.
Depending on Male or Female
Fill on your own. If unclear, attend class or watch the video</t>
      </text>
    </comment>
    <comment authorId="0" ref="E898">
      <text>
        <t xml:space="preserve">Salutation + Name
Fill on your own. If unclear, attend class or watch the video</t>
      </text>
    </comment>
    <comment authorId="0" ref="G898">
      <text>
        <t xml:space="preserve">Fill on your own. If unclear, attend class or watch the video</t>
      </text>
    </comment>
    <comment authorId="0" ref="J898">
      <text>
        <t xml:space="preserve">North and South Region -- Rs. 10,000
East and West Region -- Rs. 5,000
Fill on your own. If unclear, attend class or watch the video
</t>
      </text>
    </comment>
    <comment authorId="0" ref="D899">
      <text>
        <t xml:space="preserve">Mr. or Ms.
Depending on Male or Female
Fill on your own. If unclear, attend class or watch the video</t>
      </text>
    </comment>
    <comment authorId="0" ref="E899">
      <text>
        <t xml:space="preserve">Salutation + Name
Fill on your own. If unclear, attend class or watch the video</t>
      </text>
    </comment>
    <comment authorId="0" ref="G899">
      <text>
        <t xml:space="preserve">Fill on your own. If unclear, attend class or watch the video</t>
      </text>
    </comment>
    <comment authorId="0" ref="J899">
      <text>
        <t xml:space="preserve">North and South Region -- Rs. 10,000
East and West Region -- Rs. 5,000
Fill on your own. If unclear, attend class or watch the video
</t>
      </text>
    </comment>
    <comment authorId="0" ref="D900">
      <text>
        <t xml:space="preserve">Mr. or Ms.
Depending on Male or Female
Fill on your own. If unclear, attend class or watch the video</t>
      </text>
    </comment>
    <comment authorId="0" ref="E900">
      <text>
        <t xml:space="preserve">Salutation + Name
Fill on your own. If unclear, attend class or watch the video</t>
      </text>
    </comment>
    <comment authorId="0" ref="G900">
      <text>
        <t xml:space="preserve">Fill on your own. If unclear, attend class or watch the video</t>
      </text>
    </comment>
    <comment authorId="0" ref="J900">
      <text>
        <t xml:space="preserve">North and South Region -- Rs. 10,000
East and West Region -- Rs. 5,000
Fill on your own. If unclear, attend class or watch the video
</t>
      </text>
    </comment>
    <comment authorId="0" ref="D901">
      <text>
        <t xml:space="preserve">Mr. or Ms.
Depending on Male or Female
Fill on your own. If unclear, attend class or watch the video</t>
      </text>
    </comment>
    <comment authorId="0" ref="E901">
      <text>
        <t xml:space="preserve">Salutation + Name
Fill on your own. If unclear, attend class or watch the video</t>
      </text>
    </comment>
    <comment authorId="0" ref="G901">
      <text>
        <t xml:space="preserve">Fill on your own. If unclear, attend class or watch the video</t>
      </text>
    </comment>
    <comment authorId="0" ref="J901">
      <text>
        <t xml:space="preserve">North and South Region -- Rs. 10,000
East and West Region -- Rs. 5,000
Fill on your own. If unclear, attend class or watch the video
</t>
      </text>
    </comment>
    <comment authorId="0" ref="D902">
      <text>
        <t xml:space="preserve">Mr. or Ms.
Depending on Male or Female
Fill on your own. If unclear, attend class or watch the video</t>
      </text>
    </comment>
    <comment authorId="0" ref="E902">
      <text>
        <t xml:space="preserve">Salutation + Name
Fill on your own. If unclear, attend class or watch the video</t>
      </text>
    </comment>
    <comment authorId="0" ref="G902">
      <text>
        <t xml:space="preserve">Fill on your own. If unclear, attend class or watch the video</t>
      </text>
    </comment>
    <comment authorId="0" ref="J902">
      <text>
        <t xml:space="preserve">North and South Region -- Rs. 10,000
East and West Region -- Rs. 5,000
Fill on your own. If unclear, attend class or watch the video
</t>
      </text>
    </comment>
    <comment authorId="0" ref="D903">
      <text>
        <t xml:space="preserve">Mr. or Ms.
Depending on Male or Female
Fill on your own. If unclear, attend class or watch the video</t>
      </text>
    </comment>
    <comment authorId="0" ref="E903">
      <text>
        <t xml:space="preserve">Salutation + Name
Fill on your own. If unclear, attend class or watch the video</t>
      </text>
    </comment>
    <comment authorId="0" ref="G903">
      <text>
        <t xml:space="preserve">Fill on your own. If unclear, attend class or watch the video</t>
      </text>
    </comment>
    <comment authorId="0" ref="J903">
      <text>
        <t xml:space="preserve">North and South Region -- Rs. 10,000
East and West Region -- Rs. 5,000
Fill on your own. If unclear, attend class or watch the video
</t>
      </text>
    </comment>
    <comment authorId="0" ref="D904">
      <text>
        <t xml:space="preserve">Mr. or Ms.
Depending on Male or Female
Fill on your own. If unclear, attend class or watch the video</t>
      </text>
    </comment>
    <comment authorId="0" ref="E904">
      <text>
        <t xml:space="preserve">Salutation + Name
Fill on your own. If unclear, attend class or watch the video</t>
      </text>
    </comment>
    <comment authorId="0" ref="G904">
      <text>
        <t xml:space="preserve">Fill on your own. If unclear, attend class or watch the video</t>
      </text>
    </comment>
    <comment authorId="0" ref="J904">
      <text>
        <t xml:space="preserve">North and South Region -- Rs. 10,000
East and West Region -- Rs. 5,000
Fill on your own. If unclear, attend class or watch the video
</t>
      </text>
    </comment>
    <comment authorId="0" ref="D905">
      <text>
        <t xml:space="preserve">Mr. or Ms.
Depending on Male or Female
Fill on your own. If unclear, attend class or watch the video</t>
      </text>
    </comment>
    <comment authorId="0" ref="E905">
      <text>
        <t xml:space="preserve">Salutation + Name
Fill on your own. If unclear, attend class or watch the video</t>
      </text>
    </comment>
    <comment authorId="0" ref="G905">
      <text>
        <t xml:space="preserve">Fill on your own. If unclear, attend class or watch the video</t>
      </text>
    </comment>
    <comment authorId="0" ref="J905">
      <text>
        <t xml:space="preserve">North and South Region -- Rs. 10,000
East and West Region -- Rs. 5,000
Fill on your own. If unclear, attend class or watch the video
</t>
      </text>
    </comment>
    <comment authorId="0" ref="D906">
      <text>
        <t xml:space="preserve">Mr. or Ms.
Depending on Male or Female
Fill on your own. If unclear, attend class or watch the video</t>
      </text>
    </comment>
    <comment authorId="0" ref="E906">
      <text>
        <t xml:space="preserve">Salutation + Name
Fill on your own. If unclear, attend class or watch the video</t>
      </text>
    </comment>
    <comment authorId="0" ref="G906">
      <text>
        <t xml:space="preserve">Fill on your own. If unclear, attend class or watch the video</t>
      </text>
    </comment>
    <comment authorId="0" ref="J906">
      <text>
        <t xml:space="preserve">North and South Region -- Rs. 10,000
East and West Region -- Rs. 5,000
Fill on your own. If unclear, attend class or watch the video
</t>
      </text>
    </comment>
    <comment authorId="0" ref="D907">
      <text>
        <t xml:space="preserve">Mr. or Ms.
Depending on Male or Female
Fill on your own. If unclear, attend class or watch the video</t>
      </text>
    </comment>
    <comment authorId="0" ref="E907">
      <text>
        <t xml:space="preserve">Salutation + Name
Fill on your own. If unclear, attend class or watch the video</t>
      </text>
    </comment>
    <comment authorId="0" ref="G907">
      <text>
        <t xml:space="preserve">Fill on your own. If unclear, attend class or watch the video</t>
      </text>
    </comment>
    <comment authorId="0" ref="J907">
      <text>
        <t xml:space="preserve">North and South Region -- Rs. 10,000
East and West Region -- Rs. 5,000
Fill on your own. If unclear, attend class or watch the video
</t>
      </text>
    </comment>
    <comment authorId="0" ref="D908">
      <text>
        <t xml:space="preserve">Mr. or Ms.
Depending on Male or Female
Fill on your own. If unclear, attend class or watch the video</t>
      </text>
    </comment>
    <comment authorId="0" ref="E908">
      <text>
        <t xml:space="preserve">Salutation + Name
Fill on your own. If unclear, attend class or watch the video</t>
      </text>
    </comment>
    <comment authorId="0" ref="G908">
      <text>
        <t xml:space="preserve">Fill on your own. If unclear, attend class or watch the video</t>
      </text>
    </comment>
    <comment authorId="0" ref="J908">
      <text>
        <t xml:space="preserve">North and South Region -- Rs. 10,000
East and West Region -- Rs. 5,000
Fill on your own. If unclear, attend class or watch the video
</t>
      </text>
    </comment>
    <comment authorId="0" ref="D909">
      <text>
        <t xml:space="preserve">Mr. or Ms.
Depending on Male or Female
Fill on your own. If unclear, attend class or watch the video</t>
      </text>
    </comment>
    <comment authorId="0" ref="E909">
      <text>
        <t xml:space="preserve">Salutation + Name
Fill on your own. If unclear, attend class or watch the video</t>
      </text>
    </comment>
    <comment authorId="0" ref="G909">
      <text>
        <t xml:space="preserve">Fill on your own. If unclear, attend class or watch the video</t>
      </text>
    </comment>
    <comment authorId="0" ref="J909">
      <text>
        <t xml:space="preserve">North and South Region -- Rs. 10,000
East and West Region -- Rs. 5,000
Fill on your own. If unclear, attend class or watch the video
</t>
      </text>
    </comment>
    <comment authorId="0" ref="D910">
      <text>
        <t xml:space="preserve">Mr. or Ms.
Depending on Male or Female
Fill on your own. If unclear, attend class or watch the video</t>
      </text>
    </comment>
    <comment authorId="0" ref="E910">
      <text>
        <t xml:space="preserve">Salutation + Name
Fill on your own. If unclear, attend class or watch the video</t>
      </text>
    </comment>
    <comment authorId="0" ref="G910">
      <text>
        <t xml:space="preserve">Fill on your own. If unclear, attend class or watch the video</t>
      </text>
    </comment>
    <comment authorId="0" ref="J910">
      <text>
        <t xml:space="preserve">North and South Region -- Rs. 10,000
East and West Region -- Rs. 5,000
Fill on your own. If unclear, attend class or watch the video
</t>
      </text>
    </comment>
    <comment authorId="0" ref="D911">
      <text>
        <t xml:space="preserve">Mr. or Ms.
Depending on Male or Female
Fill on your own. If unclear, attend class or watch the video</t>
      </text>
    </comment>
    <comment authorId="0" ref="E911">
      <text>
        <t xml:space="preserve">Salutation + Name
Fill on your own. If unclear, attend class or watch the video</t>
      </text>
    </comment>
    <comment authorId="0" ref="G911">
      <text>
        <t xml:space="preserve">Fill on your own. If unclear, attend class or watch the video</t>
      </text>
    </comment>
    <comment authorId="0" ref="J911">
      <text>
        <t xml:space="preserve">North and South Region -- Rs. 10,000
East and West Region -- Rs. 5,000
Fill on your own. If unclear, attend class or watch the video
</t>
      </text>
    </comment>
    <comment authorId="0" ref="D912">
      <text>
        <t xml:space="preserve">Mr. or Ms.
Depending on Male or Female
Fill on your own. If unclear, attend class or watch the video</t>
      </text>
    </comment>
    <comment authorId="0" ref="E912">
      <text>
        <t xml:space="preserve">Salutation + Name
Fill on your own. If unclear, attend class or watch the video</t>
      </text>
    </comment>
    <comment authorId="0" ref="G912">
      <text>
        <t xml:space="preserve">Fill on your own. If unclear, attend class or watch the video</t>
      </text>
    </comment>
    <comment authorId="0" ref="J912">
      <text>
        <t xml:space="preserve">North and South Region -- Rs. 10,000
East and West Region -- Rs. 5,000
Fill on your own. If unclear, attend class or watch the video
</t>
      </text>
    </comment>
    <comment authorId="0" ref="D913">
      <text>
        <t xml:space="preserve">Mr. or Ms.
Depending on Male or Female
Fill on your own. If unclear, attend class or watch the video</t>
      </text>
    </comment>
    <comment authorId="0" ref="E913">
      <text>
        <t xml:space="preserve">Salutation + Name
Fill on your own. If unclear, attend class or watch the video</t>
      </text>
    </comment>
    <comment authorId="0" ref="G913">
      <text>
        <t xml:space="preserve">Fill on your own. If unclear, attend class or watch the video</t>
      </text>
    </comment>
    <comment authorId="0" ref="J913">
      <text>
        <t xml:space="preserve">North and South Region -- Rs. 10,000
East and West Region -- Rs. 5,000
Fill on your own. If unclear, attend class or watch the video
</t>
      </text>
    </comment>
    <comment authorId="0" ref="D914">
      <text>
        <t xml:space="preserve">Mr. or Ms.
Depending on Male or Female
Fill on your own. If unclear, attend class or watch the video</t>
      </text>
    </comment>
    <comment authorId="0" ref="E914">
      <text>
        <t xml:space="preserve">Salutation + Name
Fill on your own. If unclear, attend class or watch the video</t>
      </text>
    </comment>
    <comment authorId="0" ref="G914">
      <text>
        <t xml:space="preserve">Fill on your own. If unclear, attend class or watch the video</t>
      </text>
    </comment>
    <comment authorId="0" ref="J914">
      <text>
        <t xml:space="preserve">North and South Region -- Rs. 10,000
East and West Region -- Rs. 5,000
Fill on your own. If unclear, attend class or watch the video
</t>
      </text>
    </comment>
    <comment authorId="0" ref="D915">
      <text>
        <t xml:space="preserve">Mr. or Ms.
Depending on Male or Female
Fill on your own. If unclear, attend class or watch the video</t>
      </text>
    </comment>
    <comment authorId="0" ref="E915">
      <text>
        <t xml:space="preserve">Salutation + Name
Fill on your own. If unclear, attend class or watch the video</t>
      </text>
    </comment>
    <comment authorId="0" ref="G915">
      <text>
        <t xml:space="preserve">Fill on your own. If unclear, attend class or watch the video</t>
      </text>
    </comment>
    <comment authorId="0" ref="J915">
      <text>
        <t xml:space="preserve">North and South Region -- Rs. 10,000
East and West Region -- Rs. 5,000
Fill on your own. If unclear, attend class or watch the video
</t>
      </text>
    </comment>
    <comment authorId="0" ref="D916">
      <text>
        <t xml:space="preserve">Mr. or Ms.
Depending on Male or Female
Fill on your own. If unclear, attend class or watch the video</t>
      </text>
    </comment>
    <comment authorId="0" ref="E916">
      <text>
        <t xml:space="preserve">Salutation + Name
Fill on your own. If unclear, attend class or watch the video</t>
      </text>
    </comment>
    <comment authorId="0" ref="G916">
      <text>
        <t xml:space="preserve">Fill on your own. If unclear, attend class or watch the video</t>
      </text>
    </comment>
    <comment authorId="0" ref="J916">
      <text>
        <t xml:space="preserve">North and South Region -- Rs. 10,000
East and West Region -- Rs. 5,000
Fill on your own. If unclear, attend class or watch the video
</t>
      </text>
    </comment>
    <comment authorId="0" ref="D917">
      <text>
        <t xml:space="preserve">Mr. or Ms.
Depending on Male or Female
Fill on your own. If unclear, attend class or watch the video</t>
      </text>
    </comment>
    <comment authorId="0" ref="E917">
      <text>
        <t xml:space="preserve">Salutation + Name
Fill on your own. If unclear, attend class or watch the video</t>
      </text>
    </comment>
    <comment authorId="0" ref="G917">
      <text>
        <t xml:space="preserve">Fill on your own. If unclear, attend class or watch the video</t>
      </text>
    </comment>
    <comment authorId="0" ref="J917">
      <text>
        <t xml:space="preserve">North and South Region -- Rs. 10,000
East and West Region -- Rs. 5,000
Fill on your own. If unclear, attend class or watch the video
</t>
      </text>
    </comment>
    <comment authorId="0" ref="D918">
      <text>
        <t xml:space="preserve">Mr. or Ms.
Depending on Male or Female
Fill on your own. If unclear, attend class or watch the video</t>
      </text>
    </comment>
    <comment authorId="0" ref="E918">
      <text>
        <t xml:space="preserve">Salutation + Name
Fill on your own. If unclear, attend class or watch the video</t>
      </text>
    </comment>
    <comment authorId="0" ref="G918">
      <text>
        <t xml:space="preserve">Fill on your own. If unclear, attend class or watch the video</t>
      </text>
    </comment>
    <comment authorId="0" ref="J918">
      <text>
        <t xml:space="preserve">North and South Region -- Rs. 10,000
East and West Region -- Rs. 5,000
Fill on your own. If unclear, attend class or watch the video
</t>
      </text>
    </comment>
    <comment authorId="0" ref="D919">
      <text>
        <t xml:space="preserve">Mr. or Ms.
Depending on Male or Female
Fill on your own. If unclear, attend class or watch the video</t>
      </text>
    </comment>
    <comment authorId="0" ref="E919">
      <text>
        <t xml:space="preserve">Salutation + Name
Fill on your own. If unclear, attend class or watch the video</t>
      </text>
    </comment>
    <comment authorId="0" ref="G919">
      <text>
        <t xml:space="preserve">Fill on your own. If unclear, attend class or watch the video</t>
      </text>
    </comment>
    <comment authorId="0" ref="J919">
      <text>
        <t xml:space="preserve">North and South Region -- Rs. 10,000
East and West Region -- Rs. 5,000
Fill on your own. If unclear, attend class or watch the video
</t>
      </text>
    </comment>
    <comment authorId="0" ref="D920">
      <text>
        <t xml:space="preserve">Mr. or Ms.
Depending on Male or Female
Fill on your own. If unclear, attend class or watch the video</t>
      </text>
    </comment>
    <comment authorId="0" ref="E920">
      <text>
        <t xml:space="preserve">Salutation + Name
Fill on your own. If unclear, attend class or watch the video</t>
      </text>
    </comment>
    <comment authorId="0" ref="G920">
      <text>
        <t xml:space="preserve">Fill on your own. If unclear, attend class or watch the video</t>
      </text>
    </comment>
    <comment authorId="0" ref="J920">
      <text>
        <t xml:space="preserve">North and South Region -- Rs. 10,000
East and West Region -- Rs. 5,000
Fill on your own. If unclear, attend class or watch the video
</t>
      </text>
    </comment>
    <comment authorId="0" ref="D921">
      <text>
        <t xml:space="preserve">Mr. or Ms.
Depending on Male or Female
Fill on your own. If unclear, attend class or watch the video</t>
      </text>
    </comment>
    <comment authorId="0" ref="E921">
      <text>
        <t xml:space="preserve">Salutation + Name
Fill on your own. If unclear, attend class or watch the video</t>
      </text>
    </comment>
    <comment authorId="0" ref="G921">
      <text>
        <t xml:space="preserve">Fill on your own. If unclear, attend class or watch the video</t>
      </text>
    </comment>
    <comment authorId="0" ref="J921">
      <text>
        <t xml:space="preserve">North and South Region -- Rs. 10,000
East and West Region -- Rs. 5,000
Fill on your own. If unclear, attend class or watch the video
</t>
      </text>
    </comment>
    <comment authorId="0" ref="D922">
      <text>
        <t xml:space="preserve">Mr. or Ms.
Depending on Male or Female
Fill on your own. If unclear, attend class or watch the video</t>
      </text>
    </comment>
    <comment authorId="0" ref="E922">
      <text>
        <t xml:space="preserve">Salutation + Name
Fill on your own. If unclear, attend class or watch the video</t>
      </text>
    </comment>
    <comment authorId="0" ref="G922">
      <text>
        <t xml:space="preserve">Fill on your own. If unclear, attend class or watch the video</t>
      </text>
    </comment>
    <comment authorId="0" ref="J922">
      <text>
        <t xml:space="preserve">North and South Region -- Rs. 10,000
East and West Region -- Rs. 5,000
Fill on your own. If unclear, attend class or watch the video
</t>
      </text>
    </comment>
    <comment authorId="0" ref="D923">
      <text>
        <t xml:space="preserve">Mr. or Ms.
Depending on Male or Female
Fill on your own. If unclear, attend class or watch the video</t>
      </text>
    </comment>
    <comment authorId="0" ref="E923">
      <text>
        <t xml:space="preserve">Salutation + Name
Fill on your own. If unclear, attend class or watch the video</t>
      </text>
    </comment>
    <comment authorId="0" ref="G923">
      <text>
        <t xml:space="preserve">Fill on your own. If unclear, attend class or watch the video</t>
      </text>
    </comment>
    <comment authorId="0" ref="J923">
      <text>
        <t xml:space="preserve">North and South Region -- Rs. 10,000
East and West Region -- Rs. 5,000
Fill on your own. If unclear, attend class or watch the video
</t>
      </text>
    </comment>
    <comment authorId="0" ref="D924">
      <text>
        <t xml:space="preserve">Mr. or Ms.
Depending on Male or Female
Fill on your own. If unclear, attend class or watch the video</t>
      </text>
    </comment>
    <comment authorId="0" ref="E924">
      <text>
        <t xml:space="preserve">Salutation + Name
Fill on your own. If unclear, attend class or watch the video</t>
      </text>
    </comment>
    <comment authorId="0" ref="G924">
      <text>
        <t xml:space="preserve">Fill on your own. If unclear, attend class or watch the video</t>
      </text>
    </comment>
    <comment authorId="0" ref="J924">
      <text>
        <t xml:space="preserve">North and South Region -- Rs. 10,000
East and West Region -- Rs. 5,000
Fill on your own. If unclear, attend class or watch the video
</t>
      </text>
    </comment>
    <comment authorId="0" ref="D925">
      <text>
        <t xml:space="preserve">Mr. or Ms.
Depending on Male or Female
Fill on your own. If unclear, attend class or watch the video</t>
      </text>
    </comment>
    <comment authorId="0" ref="E925">
      <text>
        <t xml:space="preserve">Salutation + Name
Fill on your own. If unclear, attend class or watch the video</t>
      </text>
    </comment>
    <comment authorId="0" ref="G925">
      <text>
        <t xml:space="preserve">Fill on your own. If unclear, attend class or watch the video</t>
      </text>
    </comment>
    <comment authorId="0" ref="J925">
      <text>
        <t xml:space="preserve">North and South Region -- Rs. 10,000
East and West Region -- Rs. 5,000
Fill on your own. If unclear, attend class or watch the video
</t>
      </text>
    </comment>
    <comment authorId="0" ref="D926">
      <text>
        <t xml:space="preserve">Mr. or Ms.
Depending on Male or Female
Fill on your own. If unclear, attend class or watch the video</t>
      </text>
    </comment>
    <comment authorId="0" ref="E926">
      <text>
        <t xml:space="preserve">Salutation + Name
Fill on your own. If unclear, attend class or watch the video</t>
      </text>
    </comment>
    <comment authorId="0" ref="G926">
      <text>
        <t xml:space="preserve">Fill on your own. If unclear, attend class or watch the video</t>
      </text>
    </comment>
    <comment authorId="0" ref="J926">
      <text>
        <t xml:space="preserve">North and South Region -- Rs. 10,000
East and West Region -- Rs. 5,000
Fill on your own. If unclear, attend class or watch the video
</t>
      </text>
    </comment>
    <comment authorId="0" ref="D927">
      <text>
        <t xml:space="preserve">Mr. or Ms.
Depending on Male or Female
Fill on your own. If unclear, attend class or watch the video</t>
      </text>
    </comment>
    <comment authorId="0" ref="E927">
      <text>
        <t xml:space="preserve">Salutation + Name
Fill on your own. If unclear, attend class or watch the video</t>
      </text>
    </comment>
    <comment authorId="0" ref="G927">
      <text>
        <t xml:space="preserve">Fill on your own. If unclear, attend class or watch the video</t>
      </text>
    </comment>
    <comment authorId="0" ref="J927">
      <text>
        <t xml:space="preserve">North and South Region -- Rs. 10,000
East and West Region -- Rs. 5,000
Fill on your own. If unclear, attend class or watch the video
</t>
      </text>
    </comment>
    <comment authorId="0" ref="D928">
      <text>
        <t xml:space="preserve">Mr. or Ms.
Depending on Male or Female
Fill on your own. If unclear, attend class or watch the video</t>
      </text>
    </comment>
    <comment authorId="0" ref="E928">
      <text>
        <t xml:space="preserve">Salutation + Name
Fill on your own. If unclear, attend class or watch the video</t>
      </text>
    </comment>
    <comment authorId="0" ref="G928">
      <text>
        <t xml:space="preserve">Fill on your own. If unclear, attend class or watch the video</t>
      </text>
    </comment>
    <comment authorId="0" ref="J928">
      <text>
        <t xml:space="preserve">North and South Region -- Rs. 10,000
East and West Region -- Rs. 5,000
Fill on your own. If unclear, attend class or watch the video
</t>
      </text>
    </comment>
    <comment authorId="0" ref="D929">
      <text>
        <t xml:space="preserve">Mr. or Ms.
Depending on Male or Female
Fill on your own. If unclear, attend class or watch the video</t>
      </text>
    </comment>
    <comment authorId="0" ref="E929">
      <text>
        <t xml:space="preserve">Salutation + Name
Fill on your own. If unclear, attend class or watch the video</t>
      </text>
    </comment>
    <comment authorId="0" ref="G929">
      <text>
        <t xml:space="preserve">Fill on your own. If unclear, attend class or watch the video</t>
      </text>
    </comment>
    <comment authorId="0" ref="J929">
      <text>
        <t xml:space="preserve">North and South Region -- Rs. 10,000
East and West Region -- Rs. 5,000
Fill on your own. If unclear, attend class or watch the video
</t>
      </text>
    </comment>
    <comment authorId="0" ref="D930">
      <text>
        <t xml:space="preserve">Mr. or Ms.
Depending on Male or Female
Fill on your own. If unclear, attend class or watch the video</t>
      </text>
    </comment>
    <comment authorId="0" ref="E930">
      <text>
        <t xml:space="preserve">Salutation + Name
Fill on your own. If unclear, attend class or watch the video</t>
      </text>
    </comment>
    <comment authorId="0" ref="G930">
      <text>
        <t xml:space="preserve">Fill on your own. If unclear, attend class or watch the video</t>
      </text>
    </comment>
    <comment authorId="0" ref="J930">
      <text>
        <t xml:space="preserve">North and South Region -- Rs. 10,000
East and West Region -- Rs. 5,000
Fill on your own. If unclear, attend class or watch the video
</t>
      </text>
    </comment>
    <comment authorId="0" ref="D931">
      <text>
        <t xml:space="preserve">Mr. or Ms.
Depending on Male or Female
Fill on your own. If unclear, attend class or watch the video</t>
      </text>
    </comment>
    <comment authorId="0" ref="E931">
      <text>
        <t xml:space="preserve">Salutation + Name
Fill on your own. If unclear, attend class or watch the video</t>
      </text>
    </comment>
    <comment authorId="0" ref="G931">
      <text>
        <t xml:space="preserve">Fill on your own. If unclear, attend class or watch the video</t>
      </text>
    </comment>
    <comment authorId="0" ref="J931">
      <text>
        <t xml:space="preserve">North and South Region -- Rs. 10,000
East and West Region -- Rs. 5,000
Fill on your own. If unclear, attend class or watch the video
</t>
      </text>
    </comment>
    <comment authorId="0" ref="D932">
      <text>
        <t xml:space="preserve">Mr. or Ms.
Depending on Male or Female
Fill on your own. If unclear, attend class or watch the video</t>
      </text>
    </comment>
    <comment authorId="0" ref="E932">
      <text>
        <t xml:space="preserve">Salutation + Name
Fill on your own. If unclear, attend class or watch the video</t>
      </text>
    </comment>
    <comment authorId="0" ref="G932">
      <text>
        <t xml:space="preserve">Fill on your own. If unclear, attend class or watch the video</t>
      </text>
    </comment>
    <comment authorId="0" ref="J932">
      <text>
        <t xml:space="preserve">North and South Region -- Rs. 10,000
East and West Region -- Rs. 5,000
Fill on your own. If unclear, attend class or watch the video
</t>
      </text>
    </comment>
    <comment authorId="0" ref="D933">
      <text>
        <t xml:space="preserve">Mr. or Ms.
Depending on Male or Female
Fill on your own. If unclear, attend class or watch the video</t>
      </text>
    </comment>
    <comment authorId="0" ref="E933">
      <text>
        <t xml:space="preserve">Salutation + Name
Fill on your own. If unclear, attend class or watch the video</t>
      </text>
    </comment>
    <comment authorId="0" ref="G933">
      <text>
        <t xml:space="preserve">Fill on your own. If unclear, attend class or watch the video</t>
      </text>
    </comment>
    <comment authorId="0" ref="J933">
      <text>
        <t xml:space="preserve">North and South Region -- Rs. 10,000
East and West Region -- Rs. 5,000
Fill on your own. If unclear, attend class or watch the video
</t>
      </text>
    </comment>
    <comment authorId="0" ref="D934">
      <text>
        <t xml:space="preserve">Mr. or Ms.
Depending on Male or Female
Fill on your own. If unclear, attend class or watch the video</t>
      </text>
    </comment>
    <comment authorId="0" ref="E934">
      <text>
        <t xml:space="preserve">Salutation + Name
Fill on your own. If unclear, attend class or watch the video</t>
      </text>
    </comment>
    <comment authorId="0" ref="G934">
      <text>
        <t xml:space="preserve">Fill on your own. If unclear, attend class or watch the video</t>
      </text>
    </comment>
    <comment authorId="0" ref="J934">
      <text>
        <t xml:space="preserve">North and South Region -- Rs. 10,000
East and West Region -- Rs. 5,000
Fill on your own. If unclear, attend class or watch the video
</t>
      </text>
    </comment>
    <comment authorId="0" ref="D935">
      <text>
        <t xml:space="preserve">Mr. or Ms.
Depending on Male or Female
Fill on your own. If unclear, attend class or watch the video</t>
      </text>
    </comment>
    <comment authorId="0" ref="E935">
      <text>
        <t xml:space="preserve">Salutation + Name
Fill on your own. If unclear, attend class or watch the video</t>
      </text>
    </comment>
    <comment authorId="0" ref="G935">
      <text>
        <t xml:space="preserve">Fill on your own. If unclear, attend class or watch the video</t>
      </text>
    </comment>
    <comment authorId="0" ref="J935">
      <text>
        <t xml:space="preserve">North and South Region -- Rs. 10,000
East and West Region -- Rs. 5,000
Fill on your own. If unclear, attend class or watch the video
</t>
      </text>
    </comment>
    <comment authorId="0" ref="D936">
      <text>
        <t xml:space="preserve">Mr. or Ms.
Depending on Male or Female
Fill on your own. If unclear, attend class or watch the video</t>
      </text>
    </comment>
    <comment authorId="0" ref="E936">
      <text>
        <t xml:space="preserve">Salutation + Name
Fill on your own. If unclear, attend class or watch the video</t>
      </text>
    </comment>
    <comment authorId="0" ref="G936">
      <text>
        <t xml:space="preserve">Fill on your own. If unclear, attend class or watch the video</t>
      </text>
    </comment>
    <comment authorId="0" ref="J936">
      <text>
        <t xml:space="preserve">North and South Region -- Rs. 10,000
East and West Region -- Rs. 5,000
Fill on your own. If unclear, attend class or watch the video
</t>
      </text>
    </comment>
    <comment authorId="0" ref="D937">
      <text>
        <t xml:space="preserve">Mr. or Ms.
Depending on Male or Female
Fill on your own. If unclear, attend class or watch the video</t>
      </text>
    </comment>
    <comment authorId="0" ref="E937">
      <text>
        <t xml:space="preserve">Salutation + Name
Fill on your own. If unclear, attend class or watch the video</t>
      </text>
    </comment>
    <comment authorId="0" ref="G937">
      <text>
        <t xml:space="preserve">Fill on your own. If unclear, attend class or watch the video</t>
      </text>
    </comment>
    <comment authorId="0" ref="J937">
      <text>
        <t xml:space="preserve">North and South Region -- Rs. 10,000
East and West Region -- Rs. 5,000
Fill on your own. If unclear, attend class or watch the video
</t>
      </text>
    </comment>
    <comment authorId="0" ref="D938">
      <text>
        <t xml:space="preserve">Mr. or Ms.
Depending on Male or Female
Fill on your own. If unclear, attend class or watch the video</t>
      </text>
    </comment>
    <comment authorId="0" ref="E938">
      <text>
        <t xml:space="preserve">Salutation + Name
Fill on your own. If unclear, attend class or watch the video</t>
      </text>
    </comment>
    <comment authorId="0" ref="G938">
      <text>
        <t xml:space="preserve">Fill on your own. If unclear, attend class or watch the video</t>
      </text>
    </comment>
    <comment authorId="0" ref="J938">
      <text>
        <t xml:space="preserve">North and South Region -- Rs. 10,000
East and West Region -- Rs. 5,000
Fill on your own. If unclear, attend class or watch the video
</t>
      </text>
    </comment>
    <comment authorId="0" ref="D939">
      <text>
        <t xml:space="preserve">Mr. or Ms.
Depending on Male or Female
Fill on your own. If unclear, attend class or watch the video</t>
      </text>
    </comment>
    <comment authorId="0" ref="E939">
      <text>
        <t xml:space="preserve">Salutation + Name
Fill on your own. If unclear, attend class or watch the video</t>
      </text>
    </comment>
    <comment authorId="0" ref="G939">
      <text>
        <t xml:space="preserve">Fill on your own. If unclear, attend class or watch the video</t>
      </text>
    </comment>
    <comment authorId="0" ref="J939">
      <text>
        <t xml:space="preserve">North and South Region -- Rs. 10,000
East and West Region -- Rs. 5,000
Fill on your own. If unclear, attend class or watch the video
</t>
      </text>
    </comment>
    <comment authorId="0" ref="D940">
      <text>
        <t xml:space="preserve">Mr. or Ms.
Depending on Male or Female
Fill on your own. If unclear, attend class or watch the video</t>
      </text>
    </comment>
    <comment authorId="0" ref="E940">
      <text>
        <t xml:space="preserve">Salutation + Name
Fill on your own. If unclear, attend class or watch the video</t>
      </text>
    </comment>
    <comment authorId="0" ref="G940">
      <text>
        <t xml:space="preserve">Fill on your own. If unclear, attend class or watch the video</t>
      </text>
    </comment>
    <comment authorId="0" ref="J940">
      <text>
        <t xml:space="preserve">North and South Region -- Rs. 10,000
East and West Region -- Rs. 5,000
Fill on your own. If unclear, attend class or watch the video
</t>
      </text>
    </comment>
    <comment authorId="0" ref="D941">
      <text>
        <t xml:space="preserve">Mr. or Ms.
Depending on Male or Female
Fill on your own. If unclear, attend class or watch the video</t>
      </text>
    </comment>
    <comment authorId="0" ref="E941">
      <text>
        <t xml:space="preserve">Salutation + Name
Fill on your own. If unclear, attend class or watch the video</t>
      </text>
    </comment>
    <comment authorId="0" ref="G941">
      <text>
        <t xml:space="preserve">Fill on your own. If unclear, attend class or watch the video</t>
      </text>
    </comment>
    <comment authorId="0" ref="J941">
      <text>
        <t xml:space="preserve">North and South Region -- Rs. 10,000
East and West Region -- Rs. 5,000
Fill on your own. If unclear, attend class or watch the video
</t>
      </text>
    </comment>
    <comment authorId="0" ref="D942">
      <text>
        <t xml:space="preserve">Mr. or Ms.
Depending on Male or Female
Fill on your own. If unclear, attend class or watch the video</t>
      </text>
    </comment>
    <comment authorId="0" ref="E942">
      <text>
        <t xml:space="preserve">Salutation + Name
Fill on your own. If unclear, attend class or watch the video</t>
      </text>
    </comment>
    <comment authorId="0" ref="G942">
      <text>
        <t xml:space="preserve">Fill on your own. If unclear, attend class or watch the video</t>
      </text>
    </comment>
    <comment authorId="0" ref="J942">
      <text>
        <t xml:space="preserve">North and South Region -- Rs. 10,000
East and West Region -- Rs. 5,000
Fill on your own. If unclear, attend class or watch the video
</t>
      </text>
    </comment>
    <comment authorId="0" ref="D943">
      <text>
        <t xml:space="preserve">Mr. or Ms.
Depending on Male or Female
Fill on your own. If unclear, attend class or watch the video</t>
      </text>
    </comment>
    <comment authorId="0" ref="E943">
      <text>
        <t xml:space="preserve">Salutation + Name
Fill on your own. If unclear, attend class or watch the video</t>
      </text>
    </comment>
    <comment authorId="0" ref="G943">
      <text>
        <t xml:space="preserve">Fill on your own. If unclear, attend class or watch the video</t>
      </text>
    </comment>
    <comment authorId="0" ref="J943">
      <text>
        <t xml:space="preserve">North and South Region -- Rs. 10,000
East and West Region -- Rs. 5,000
Fill on your own. If unclear, attend class or watch the video
</t>
      </text>
    </comment>
    <comment authorId="0" ref="D944">
      <text>
        <t xml:space="preserve">Mr. or Ms.
Depending on Male or Female
Fill on your own. If unclear, attend class or watch the video</t>
      </text>
    </comment>
    <comment authorId="0" ref="E944">
      <text>
        <t xml:space="preserve">Salutation + Name
Fill on your own. If unclear, attend class or watch the video</t>
      </text>
    </comment>
    <comment authorId="0" ref="G944">
      <text>
        <t xml:space="preserve">Fill on your own. If unclear, attend class or watch the video</t>
      </text>
    </comment>
    <comment authorId="0" ref="J944">
      <text>
        <t xml:space="preserve">North and South Region -- Rs. 10,000
East and West Region -- Rs. 5,000
Fill on your own. If unclear, attend class or watch the video
</t>
      </text>
    </comment>
    <comment authorId="0" ref="D945">
      <text>
        <t xml:space="preserve">Mr. or Ms.
Depending on Male or Female
Fill on your own. If unclear, attend class or watch the video</t>
      </text>
    </comment>
    <comment authorId="0" ref="E945">
      <text>
        <t xml:space="preserve">Salutation + Name
Fill on your own. If unclear, attend class or watch the video</t>
      </text>
    </comment>
    <comment authorId="0" ref="G945">
      <text>
        <t xml:space="preserve">Fill on your own. If unclear, attend class or watch the video</t>
      </text>
    </comment>
    <comment authorId="0" ref="J945">
      <text>
        <t xml:space="preserve">North and South Region -- Rs. 10,000
East and West Region -- Rs. 5,000
Fill on your own. If unclear, attend class or watch the video
</t>
      </text>
    </comment>
    <comment authorId="0" ref="D946">
      <text>
        <t xml:space="preserve">Mr. or Ms.
Depending on Male or Female
Fill on your own. If unclear, attend class or watch the video</t>
      </text>
    </comment>
    <comment authorId="0" ref="E946">
      <text>
        <t xml:space="preserve">Salutation + Name
Fill on your own. If unclear, attend class or watch the video</t>
      </text>
    </comment>
    <comment authorId="0" ref="G946">
      <text>
        <t xml:space="preserve">Fill on your own. If unclear, attend class or watch the video</t>
      </text>
    </comment>
    <comment authorId="0" ref="J946">
      <text>
        <t xml:space="preserve">North and South Region -- Rs. 10,000
East and West Region -- Rs. 5,000
Fill on your own. If unclear, attend class or watch the video
</t>
      </text>
    </comment>
    <comment authorId="0" ref="D947">
      <text>
        <t xml:space="preserve">Mr. or Ms.
Depending on Male or Female
Fill on your own. If unclear, attend class or watch the video</t>
      </text>
    </comment>
    <comment authorId="0" ref="E947">
      <text>
        <t xml:space="preserve">Salutation + Name
Fill on your own. If unclear, attend class or watch the video</t>
      </text>
    </comment>
    <comment authorId="0" ref="G947">
      <text>
        <t xml:space="preserve">Fill on your own. If unclear, attend class or watch the video</t>
      </text>
    </comment>
    <comment authorId="0" ref="J947">
      <text>
        <t xml:space="preserve">North and South Region -- Rs. 10,000
East and West Region -- Rs. 5,000
Fill on your own. If unclear, attend class or watch the video
</t>
      </text>
    </comment>
    <comment authorId="0" ref="D948">
      <text>
        <t xml:space="preserve">Mr. or Ms.
Depending on Male or Female
Fill on your own. If unclear, attend class or watch the video</t>
      </text>
    </comment>
    <comment authorId="0" ref="E948">
      <text>
        <t xml:space="preserve">Salutation + Name
Fill on your own. If unclear, attend class or watch the video</t>
      </text>
    </comment>
    <comment authorId="0" ref="G948">
      <text>
        <t xml:space="preserve">Fill on your own. If unclear, attend class or watch the video</t>
      </text>
    </comment>
    <comment authorId="0" ref="J948">
      <text>
        <t xml:space="preserve">North and South Region -- Rs. 10,000
East and West Region -- Rs. 5,000
Fill on your own. If unclear, attend class or watch the video
</t>
      </text>
    </comment>
    <comment authorId="0" ref="D949">
      <text>
        <t xml:space="preserve">Mr. or Ms.
Depending on Male or Female
Fill on your own. If unclear, attend class or watch the video</t>
      </text>
    </comment>
    <comment authorId="0" ref="E949">
      <text>
        <t xml:space="preserve">Salutation + Name
Fill on your own. If unclear, attend class or watch the video</t>
      </text>
    </comment>
    <comment authorId="0" ref="G949">
      <text>
        <t xml:space="preserve">Fill on your own. If unclear, attend class or watch the video</t>
      </text>
    </comment>
    <comment authorId="0" ref="J949">
      <text>
        <t xml:space="preserve">North and South Region -- Rs. 10,000
East and West Region -- Rs. 5,000
Fill on your own. If unclear, attend class or watch the video
</t>
      </text>
    </comment>
    <comment authorId="0" ref="D950">
      <text>
        <t xml:space="preserve">Mr. or Ms.
Depending on Male or Female
Fill on your own. If unclear, attend class or watch the video</t>
      </text>
    </comment>
    <comment authorId="0" ref="E950">
      <text>
        <t xml:space="preserve">Salutation + Name
Fill on your own. If unclear, attend class or watch the video</t>
      </text>
    </comment>
    <comment authorId="0" ref="G950">
      <text>
        <t xml:space="preserve">Fill on your own. If unclear, attend class or watch the video</t>
      </text>
    </comment>
    <comment authorId="0" ref="J950">
      <text>
        <t xml:space="preserve">North and South Region -- Rs. 10,000
East and West Region -- Rs. 5,000
Fill on your own. If unclear, attend class or watch the video
</t>
      </text>
    </comment>
    <comment authorId="0" ref="D951">
      <text>
        <t xml:space="preserve">Mr. or Ms.
Depending on Male or Female
Fill on your own. If unclear, attend class or watch the video</t>
      </text>
    </comment>
    <comment authorId="0" ref="E951">
      <text>
        <t xml:space="preserve">Salutation + Name
Fill on your own. If unclear, attend class or watch the video</t>
      </text>
    </comment>
    <comment authorId="0" ref="G951">
      <text>
        <t xml:space="preserve">Fill on your own. If unclear, attend class or watch the video</t>
      </text>
    </comment>
    <comment authorId="0" ref="J951">
      <text>
        <t xml:space="preserve">North and South Region -- Rs. 10,000
East and West Region -- Rs. 5,000
Fill on your own. If unclear, attend class or watch the video
</t>
      </text>
    </comment>
    <comment authorId="0" ref="D952">
      <text>
        <t xml:space="preserve">Mr. or Ms.
Depending on Male or Female
Fill on your own. If unclear, attend class or watch the video</t>
      </text>
    </comment>
    <comment authorId="0" ref="E952">
      <text>
        <t xml:space="preserve">Salutation + Name
Fill on your own. If unclear, attend class or watch the video</t>
      </text>
    </comment>
    <comment authorId="0" ref="G952">
      <text>
        <t xml:space="preserve">Fill on your own. If unclear, attend class or watch the video</t>
      </text>
    </comment>
    <comment authorId="0" ref="J952">
      <text>
        <t xml:space="preserve">North and South Region -- Rs. 10,000
East and West Region -- Rs. 5,000
Fill on your own. If unclear, attend class or watch the video
</t>
      </text>
    </comment>
    <comment authorId="0" ref="D953">
      <text>
        <t xml:space="preserve">Mr. or Ms.
Depending on Male or Female
Fill on your own. If unclear, attend class or watch the video</t>
      </text>
    </comment>
    <comment authorId="0" ref="E953">
      <text>
        <t xml:space="preserve">Salutation + Name
Fill on your own. If unclear, attend class or watch the video</t>
      </text>
    </comment>
    <comment authorId="0" ref="G953">
      <text>
        <t xml:space="preserve">Fill on your own. If unclear, attend class or watch the video</t>
      </text>
    </comment>
    <comment authorId="0" ref="J953">
      <text>
        <t xml:space="preserve">North and South Region -- Rs. 10,000
East and West Region -- Rs. 5,000
Fill on your own. If unclear, attend class or watch the video
</t>
      </text>
    </comment>
    <comment authorId="0" ref="D954">
      <text>
        <t xml:space="preserve">Mr. or Ms.
Depending on Male or Female
Fill on your own. If unclear, attend class or watch the video</t>
      </text>
    </comment>
    <comment authorId="0" ref="E954">
      <text>
        <t xml:space="preserve">Salutation + Name
Fill on your own. If unclear, attend class or watch the video</t>
      </text>
    </comment>
    <comment authorId="0" ref="G954">
      <text>
        <t xml:space="preserve">Fill on your own. If unclear, attend class or watch the video</t>
      </text>
    </comment>
    <comment authorId="0" ref="J954">
      <text>
        <t xml:space="preserve">North and South Region -- Rs. 10,000
East and West Region -- Rs. 5,000
Fill on your own. If unclear, attend class or watch the video
</t>
      </text>
    </comment>
    <comment authorId="0" ref="D955">
      <text>
        <t xml:space="preserve">Mr. or Ms.
Depending on Male or Female
Fill on your own. If unclear, attend class or watch the video</t>
      </text>
    </comment>
    <comment authorId="0" ref="E955">
      <text>
        <t xml:space="preserve">Salutation + Name
Fill on your own. If unclear, attend class or watch the video</t>
      </text>
    </comment>
    <comment authorId="0" ref="G955">
      <text>
        <t xml:space="preserve">Fill on your own. If unclear, attend class or watch the video</t>
      </text>
    </comment>
    <comment authorId="0" ref="J955">
      <text>
        <t xml:space="preserve">North and South Region -- Rs. 10,000
East and West Region -- Rs. 5,000
Fill on your own. If unclear, attend class or watch the video
</t>
      </text>
    </comment>
    <comment authorId="0" ref="D956">
      <text>
        <t xml:space="preserve">Mr. or Ms.
Depending on Male or Female
Fill on your own. If unclear, attend class or watch the video</t>
      </text>
    </comment>
    <comment authorId="0" ref="E956">
      <text>
        <t xml:space="preserve">Salutation + Name
Fill on your own. If unclear, attend class or watch the video</t>
      </text>
    </comment>
    <comment authorId="0" ref="G956">
      <text>
        <t xml:space="preserve">Fill on your own. If unclear, attend class or watch the video</t>
      </text>
    </comment>
    <comment authorId="0" ref="J956">
      <text>
        <t xml:space="preserve">North and South Region -- Rs. 10,000
East and West Region -- Rs. 5,000
Fill on your own. If unclear, attend class or watch the video
</t>
      </text>
    </comment>
    <comment authorId="0" ref="D957">
      <text>
        <t xml:space="preserve">Mr. or Ms.
Depending on Male or Female
Fill on your own. If unclear, attend class or watch the video</t>
      </text>
    </comment>
    <comment authorId="0" ref="E957">
      <text>
        <t xml:space="preserve">Salutation + Name
Fill on your own. If unclear, attend class or watch the video</t>
      </text>
    </comment>
    <comment authorId="0" ref="G957">
      <text>
        <t xml:space="preserve">Fill on your own. If unclear, attend class or watch the video</t>
      </text>
    </comment>
    <comment authorId="0" ref="J957">
      <text>
        <t xml:space="preserve">North and South Region -- Rs. 10,000
East and West Region -- Rs. 5,000
Fill on your own. If unclear, attend class or watch the video
</t>
      </text>
    </comment>
    <comment authorId="0" ref="D958">
      <text>
        <t xml:space="preserve">Mr. or Ms.
Depending on Male or Female
Fill on your own. If unclear, attend class or watch the video</t>
      </text>
    </comment>
    <comment authorId="0" ref="E958">
      <text>
        <t xml:space="preserve">Salutation + Name
Fill on your own. If unclear, attend class or watch the video</t>
      </text>
    </comment>
    <comment authorId="0" ref="G958">
      <text>
        <t xml:space="preserve">Fill on your own. If unclear, attend class or watch the video</t>
      </text>
    </comment>
    <comment authorId="0" ref="J958">
      <text>
        <t xml:space="preserve">North and South Region -- Rs. 10,000
East and West Region -- Rs. 5,000
Fill on your own. If unclear, attend class or watch the video
</t>
      </text>
    </comment>
    <comment authorId="0" ref="D959">
      <text>
        <t xml:space="preserve">Mr. or Ms.
Depending on Male or Female
Fill on your own. If unclear, attend class or watch the video</t>
      </text>
    </comment>
    <comment authorId="0" ref="E959">
      <text>
        <t xml:space="preserve">Salutation + Name
Fill on your own. If unclear, attend class or watch the video</t>
      </text>
    </comment>
    <comment authorId="0" ref="G959">
      <text>
        <t xml:space="preserve">Fill on your own. If unclear, attend class or watch the video</t>
      </text>
    </comment>
    <comment authorId="0" ref="J959">
      <text>
        <t xml:space="preserve">North and South Region -- Rs. 10,000
East and West Region -- Rs. 5,000
Fill on your own. If unclear, attend class or watch the video
</t>
      </text>
    </comment>
    <comment authorId="0" ref="D960">
      <text>
        <t xml:space="preserve">Mr. or Ms.
Depending on Male or Female
Fill on your own. If unclear, attend class or watch the video</t>
      </text>
    </comment>
    <comment authorId="0" ref="E960">
      <text>
        <t xml:space="preserve">Salutation + Name
Fill on your own. If unclear, attend class or watch the video</t>
      </text>
    </comment>
    <comment authorId="0" ref="G960">
      <text>
        <t xml:space="preserve">Fill on your own. If unclear, attend class or watch the video</t>
      </text>
    </comment>
    <comment authorId="0" ref="J960">
      <text>
        <t xml:space="preserve">North and South Region -- Rs. 10,000
East and West Region -- Rs. 5,000
Fill on your own. If unclear, attend class or watch the video
</t>
      </text>
    </comment>
    <comment authorId="0" ref="D961">
      <text>
        <t xml:space="preserve">Mr. or Ms.
Depending on Male or Female
Fill on your own. If unclear, attend class or watch the video</t>
      </text>
    </comment>
    <comment authorId="0" ref="E961">
      <text>
        <t xml:space="preserve">Salutation + Name
Fill on your own. If unclear, attend class or watch the video</t>
      </text>
    </comment>
    <comment authorId="0" ref="G961">
      <text>
        <t xml:space="preserve">Fill on your own. If unclear, attend class or watch the video</t>
      </text>
    </comment>
    <comment authorId="0" ref="J961">
      <text>
        <t xml:space="preserve">North and South Region -- Rs. 10,000
East and West Region -- Rs. 5,000
Fill on your own. If unclear, attend class or watch the video
</t>
      </text>
    </comment>
    <comment authorId="0" ref="D962">
      <text>
        <t xml:space="preserve">Mr. or Ms.
Depending on Male or Female
Fill on your own. If unclear, attend class or watch the video</t>
      </text>
    </comment>
    <comment authorId="0" ref="E962">
      <text>
        <t xml:space="preserve">Salutation + Name
Fill on your own. If unclear, attend class or watch the video</t>
      </text>
    </comment>
    <comment authorId="0" ref="G962">
      <text>
        <t xml:space="preserve">Fill on your own. If unclear, attend class or watch the video</t>
      </text>
    </comment>
    <comment authorId="0" ref="J962">
      <text>
        <t xml:space="preserve">North and South Region -- Rs. 10,000
East and West Region -- Rs. 5,000
Fill on your own. If unclear, attend class or watch the video
</t>
      </text>
    </comment>
    <comment authorId="0" ref="D963">
      <text>
        <t xml:space="preserve">Mr. or Ms.
Depending on Male or Female
Fill on your own. If unclear, attend class or watch the video</t>
      </text>
    </comment>
    <comment authorId="0" ref="E963">
      <text>
        <t xml:space="preserve">Salutation + Name
Fill on your own. If unclear, attend class or watch the video</t>
      </text>
    </comment>
    <comment authorId="0" ref="G963">
      <text>
        <t xml:space="preserve">Fill on your own. If unclear, attend class or watch the video</t>
      </text>
    </comment>
    <comment authorId="0" ref="J963">
      <text>
        <t xml:space="preserve">North and South Region -- Rs. 10,000
East and West Region -- Rs. 5,000
Fill on your own. If unclear, attend class or watch the video
</t>
      </text>
    </comment>
    <comment authorId="0" ref="D964">
      <text>
        <t xml:space="preserve">Mr. or Ms.
Depending on Male or Female
Fill on your own. If unclear, attend class or watch the video</t>
      </text>
    </comment>
    <comment authorId="0" ref="E964">
      <text>
        <t xml:space="preserve">Salutation + Name
Fill on your own. If unclear, attend class or watch the video</t>
      </text>
    </comment>
    <comment authorId="0" ref="G964">
      <text>
        <t xml:space="preserve">Fill on your own. If unclear, attend class or watch the video</t>
      </text>
    </comment>
    <comment authorId="0" ref="J964">
      <text>
        <t xml:space="preserve">North and South Region -- Rs. 10,000
East and West Region -- Rs. 5,000
Fill on your own. If unclear, attend class or watch the video
</t>
      </text>
    </comment>
    <comment authorId="0" ref="D965">
      <text>
        <t xml:space="preserve">Mr. or Ms.
Depending on Male or Female
Fill on your own. If unclear, attend class or watch the video</t>
      </text>
    </comment>
    <comment authorId="0" ref="E965">
      <text>
        <t xml:space="preserve">Salutation + Name
Fill on your own. If unclear, attend class or watch the video</t>
      </text>
    </comment>
    <comment authorId="0" ref="G965">
      <text>
        <t xml:space="preserve">Fill on your own. If unclear, attend class or watch the video</t>
      </text>
    </comment>
    <comment authorId="0" ref="J965">
      <text>
        <t xml:space="preserve">North and South Region -- Rs. 10,000
East and West Region -- Rs. 5,000
Fill on your own. If unclear, attend class or watch the video
</t>
      </text>
    </comment>
    <comment authorId="0" ref="D966">
      <text>
        <t xml:space="preserve">Mr. or Ms.
Depending on Male or Female
Fill on your own. If unclear, attend class or watch the video</t>
      </text>
    </comment>
    <comment authorId="0" ref="E966">
      <text>
        <t xml:space="preserve">Salutation + Name
Fill on your own. If unclear, attend class or watch the video</t>
      </text>
    </comment>
    <comment authorId="0" ref="G966">
      <text>
        <t xml:space="preserve">Fill on your own. If unclear, attend class or watch the video</t>
      </text>
    </comment>
    <comment authorId="0" ref="J966">
      <text>
        <t xml:space="preserve">North and South Region -- Rs. 10,000
East and West Region -- Rs. 5,000
Fill on your own. If unclear, attend class or watch the video
</t>
      </text>
    </comment>
    <comment authorId="0" ref="D967">
      <text>
        <t xml:space="preserve">Mr. or Ms.
Depending on Male or Female
Fill on your own. If unclear, attend class or watch the video</t>
      </text>
    </comment>
    <comment authorId="0" ref="E967">
      <text>
        <t xml:space="preserve">Salutation + Name
Fill on your own. If unclear, attend class or watch the video</t>
      </text>
    </comment>
    <comment authorId="0" ref="G967">
      <text>
        <t xml:space="preserve">Fill on your own. If unclear, attend class or watch the video</t>
      </text>
    </comment>
    <comment authorId="0" ref="J967">
      <text>
        <t xml:space="preserve">North and South Region -- Rs. 10,000
East and West Region -- Rs. 5,000
Fill on your own. If unclear, attend class or watch the video
</t>
      </text>
    </comment>
    <comment authorId="0" ref="D968">
      <text>
        <t xml:space="preserve">Mr. or Ms.
Depending on Male or Female
Fill on your own. If unclear, attend class or watch the video</t>
      </text>
    </comment>
    <comment authorId="0" ref="E968">
      <text>
        <t xml:space="preserve">Salutation + Name
Fill on your own. If unclear, attend class or watch the video</t>
      </text>
    </comment>
    <comment authorId="0" ref="G968">
      <text>
        <t xml:space="preserve">Fill on your own. If unclear, attend class or watch the video</t>
      </text>
    </comment>
    <comment authorId="0" ref="J968">
      <text>
        <t xml:space="preserve">North and South Region -- Rs. 10,000
East and West Region -- Rs. 5,000
Fill on your own. If unclear, attend class or watch the video
</t>
      </text>
    </comment>
    <comment authorId="0" ref="D969">
      <text>
        <t xml:space="preserve">Mr. or Ms.
Depending on Male or Female
Fill on your own. If unclear, attend class or watch the video</t>
      </text>
    </comment>
    <comment authorId="0" ref="E969">
      <text>
        <t xml:space="preserve">Salutation + Name
Fill on your own. If unclear, attend class or watch the video</t>
      </text>
    </comment>
    <comment authorId="0" ref="G969">
      <text>
        <t xml:space="preserve">Fill on your own. If unclear, attend class or watch the video</t>
      </text>
    </comment>
    <comment authorId="0" ref="J969">
      <text>
        <t xml:space="preserve">North and South Region -- Rs. 10,000
East and West Region -- Rs. 5,000
Fill on your own. If unclear, attend class or watch the video
</t>
      </text>
    </comment>
    <comment authorId="0" ref="D970">
      <text>
        <t xml:space="preserve">Mr. or Ms.
Depending on Male or Female
Fill on your own. If unclear, attend class or watch the video</t>
      </text>
    </comment>
    <comment authorId="0" ref="E970">
      <text>
        <t xml:space="preserve">Salutation + Name
Fill on your own. If unclear, attend class or watch the video</t>
      </text>
    </comment>
    <comment authorId="0" ref="G970">
      <text>
        <t xml:space="preserve">Fill on your own. If unclear, attend class or watch the video</t>
      </text>
    </comment>
    <comment authorId="0" ref="J970">
      <text>
        <t xml:space="preserve">North and South Region -- Rs. 10,000
East and West Region -- Rs. 5,000
Fill on your own. If unclear, attend class or watch the video
</t>
      </text>
    </comment>
    <comment authorId="0" ref="D971">
      <text>
        <t xml:space="preserve">Mr. or Ms.
Depending on Male or Female
Fill on your own. If unclear, attend class or watch the video</t>
      </text>
    </comment>
    <comment authorId="0" ref="E971">
      <text>
        <t xml:space="preserve">Salutation + Name
Fill on your own. If unclear, attend class or watch the video</t>
      </text>
    </comment>
    <comment authorId="0" ref="G971">
      <text>
        <t xml:space="preserve">Fill on your own. If unclear, attend class or watch the video</t>
      </text>
    </comment>
    <comment authorId="0" ref="J971">
      <text>
        <t xml:space="preserve">North and South Region -- Rs. 10,000
East and West Region -- Rs. 5,000
Fill on your own. If unclear, attend class or watch the video
</t>
      </text>
    </comment>
    <comment authorId="0" ref="D972">
      <text>
        <t xml:space="preserve">Mr. or Ms.
Depending on Male or Female
Fill on your own. If unclear, attend class or watch the video</t>
      </text>
    </comment>
    <comment authorId="0" ref="E972">
      <text>
        <t xml:space="preserve">Salutation + Name
Fill on your own. If unclear, attend class or watch the video</t>
      </text>
    </comment>
    <comment authorId="0" ref="G972">
      <text>
        <t xml:space="preserve">Fill on your own. If unclear, attend class or watch the video</t>
      </text>
    </comment>
    <comment authorId="0" ref="J972">
      <text>
        <t xml:space="preserve">North and South Region -- Rs. 10,000
East and West Region -- Rs. 5,000
Fill on your own. If unclear, attend class or watch the video
</t>
      </text>
    </comment>
    <comment authorId="0" ref="D973">
      <text>
        <t xml:space="preserve">Mr. or Ms.
Depending on Male or Female
Fill on your own. If unclear, attend class or watch the video</t>
      </text>
    </comment>
    <comment authorId="0" ref="E973">
      <text>
        <t xml:space="preserve">Salutation + Name
Fill on your own. If unclear, attend class or watch the video</t>
      </text>
    </comment>
    <comment authorId="0" ref="G973">
      <text>
        <t xml:space="preserve">Fill on your own. If unclear, attend class or watch the video</t>
      </text>
    </comment>
    <comment authorId="0" ref="J973">
      <text>
        <t xml:space="preserve">North and South Region -- Rs. 10,000
East and West Region -- Rs. 5,000
Fill on your own. If unclear, attend class or watch the video
</t>
      </text>
    </comment>
    <comment authorId="0" ref="D974">
      <text>
        <t xml:space="preserve">Mr. or Ms.
Depending on Male or Female
Fill on your own. If unclear, attend class or watch the video</t>
      </text>
    </comment>
    <comment authorId="0" ref="E974">
      <text>
        <t xml:space="preserve">Salutation + Name
Fill on your own. If unclear, attend class or watch the video</t>
      </text>
    </comment>
    <comment authorId="0" ref="G974">
      <text>
        <t xml:space="preserve">Fill on your own. If unclear, attend class or watch the video</t>
      </text>
    </comment>
    <comment authorId="0" ref="J974">
      <text>
        <t xml:space="preserve">North and South Region -- Rs. 10,000
East and West Region -- Rs. 5,000
Fill on your own. If unclear, attend class or watch the video
</t>
      </text>
    </comment>
    <comment authorId="0" ref="D975">
      <text>
        <t xml:space="preserve">Mr. or Ms.
Depending on Male or Female
Fill on your own. If unclear, attend class or watch the video</t>
      </text>
    </comment>
    <comment authorId="0" ref="E975">
      <text>
        <t xml:space="preserve">Salutation + Name
Fill on your own. If unclear, attend class or watch the video</t>
      </text>
    </comment>
    <comment authorId="0" ref="G975">
      <text>
        <t xml:space="preserve">Fill on your own. If unclear, attend class or watch the video</t>
      </text>
    </comment>
    <comment authorId="0" ref="J975">
      <text>
        <t xml:space="preserve">North and South Region -- Rs. 10,000
East and West Region -- Rs. 5,000
Fill on your own. If unclear, attend class or watch the video
</t>
      </text>
    </comment>
    <comment authorId="0" ref="D976">
      <text>
        <t xml:space="preserve">Mr. or Ms.
Depending on Male or Female
Fill on your own. If unclear, attend class or watch the video</t>
      </text>
    </comment>
    <comment authorId="0" ref="E976">
      <text>
        <t xml:space="preserve">Salutation + Name
Fill on your own. If unclear, attend class or watch the video</t>
      </text>
    </comment>
    <comment authorId="0" ref="G976">
      <text>
        <t xml:space="preserve">Fill on your own. If unclear, attend class or watch the video</t>
      </text>
    </comment>
    <comment authorId="0" ref="J976">
      <text>
        <t xml:space="preserve">North and South Region -- Rs. 10,000
East and West Region -- Rs. 5,000
Fill on your own. If unclear, attend class or watch the video
</t>
      </text>
    </comment>
    <comment authorId="0" ref="D977">
      <text>
        <t xml:space="preserve">Mr. or Ms.
Depending on Male or Female
Fill on your own. If unclear, attend class or watch the video</t>
      </text>
    </comment>
    <comment authorId="0" ref="E977">
      <text>
        <t xml:space="preserve">Salutation + Name
Fill on your own. If unclear, attend class or watch the video</t>
      </text>
    </comment>
    <comment authorId="0" ref="G977">
      <text>
        <t xml:space="preserve">Fill on your own. If unclear, attend class or watch the video</t>
      </text>
    </comment>
    <comment authorId="0" ref="J977">
      <text>
        <t xml:space="preserve">North and South Region -- Rs. 10,000
East and West Region -- Rs. 5,000
Fill on your own. If unclear, attend class or watch the video
</t>
      </text>
    </comment>
    <comment authorId="0" ref="D978">
      <text>
        <t xml:space="preserve">Mr. or Ms.
Depending on Male or Female
Fill on your own. If unclear, attend class or watch the video</t>
      </text>
    </comment>
    <comment authorId="0" ref="E978">
      <text>
        <t xml:space="preserve">Salutation + Name
Fill on your own. If unclear, attend class or watch the video</t>
      </text>
    </comment>
    <comment authorId="0" ref="G978">
      <text>
        <t xml:space="preserve">Fill on your own. If unclear, attend class or watch the video</t>
      </text>
    </comment>
    <comment authorId="0" ref="J978">
      <text>
        <t xml:space="preserve">North and South Region -- Rs. 10,000
East and West Region -- Rs. 5,000
Fill on your own. If unclear, attend class or watch the video
</t>
      </text>
    </comment>
    <comment authorId="0" ref="D979">
      <text>
        <t xml:space="preserve">Mr. or Ms.
Depending on Male or Female
Fill on your own. If unclear, attend class or watch the video</t>
      </text>
    </comment>
    <comment authorId="0" ref="E979">
      <text>
        <t xml:space="preserve">Salutation + Name
Fill on your own. If unclear, attend class or watch the video</t>
      </text>
    </comment>
    <comment authorId="0" ref="G979">
      <text>
        <t xml:space="preserve">Fill on your own. If unclear, attend class or watch the video</t>
      </text>
    </comment>
    <comment authorId="0" ref="J979">
      <text>
        <t xml:space="preserve">North and South Region -- Rs. 10,000
East and West Region -- Rs. 5,000
Fill on your own. If unclear, attend class or watch the video
</t>
      </text>
    </comment>
    <comment authorId="0" ref="D980">
      <text>
        <t xml:space="preserve">Mr. or Ms.
Depending on Male or Female
Fill on your own. If unclear, attend class or watch the video</t>
      </text>
    </comment>
    <comment authorId="0" ref="E980">
      <text>
        <t xml:space="preserve">Salutation + Name
Fill on your own. If unclear, attend class or watch the video</t>
      </text>
    </comment>
    <comment authorId="0" ref="G980">
      <text>
        <t xml:space="preserve">Fill on your own. If unclear, attend class or watch the video</t>
      </text>
    </comment>
    <comment authorId="0" ref="J980">
      <text>
        <t xml:space="preserve">North and South Region -- Rs. 10,000
East and West Region -- Rs. 5,000
Fill on your own. If unclear, attend class or watch the video
</t>
      </text>
    </comment>
    <comment authorId="0" ref="D981">
      <text>
        <t xml:space="preserve">Mr. or Ms.
Depending on Male or Female
Fill on your own. If unclear, attend class or watch the video</t>
      </text>
    </comment>
    <comment authorId="0" ref="E981">
      <text>
        <t xml:space="preserve">Salutation + Name
Fill on your own. If unclear, attend class or watch the video</t>
      </text>
    </comment>
    <comment authorId="0" ref="G981">
      <text>
        <t xml:space="preserve">Fill on your own. If unclear, attend class or watch the video</t>
      </text>
    </comment>
    <comment authorId="0" ref="J981">
      <text>
        <t xml:space="preserve">North and South Region -- Rs. 10,000
East and West Region -- Rs. 5,000
Fill on your own. If unclear, attend class or watch the video
</t>
      </text>
    </comment>
    <comment authorId="0" ref="D982">
      <text>
        <t xml:space="preserve">Mr. or Ms.
Depending on Male or Female
Fill on your own. If unclear, attend class or watch the video</t>
      </text>
    </comment>
    <comment authorId="0" ref="E982">
      <text>
        <t xml:space="preserve">Salutation + Name
Fill on your own. If unclear, attend class or watch the video</t>
      </text>
    </comment>
    <comment authorId="0" ref="G982">
      <text>
        <t xml:space="preserve">Fill on your own. If unclear, attend class or watch the video</t>
      </text>
    </comment>
    <comment authorId="0" ref="J982">
      <text>
        <t xml:space="preserve">North and South Region -- Rs. 10,000
East and West Region -- Rs. 5,000
Fill on your own. If unclear, attend class or watch the video
</t>
      </text>
    </comment>
    <comment authorId="0" ref="D983">
      <text>
        <t xml:space="preserve">Mr. or Ms.
Depending on Male or Female
Fill on your own. If unclear, attend class or watch the video</t>
      </text>
    </comment>
    <comment authorId="0" ref="E983">
      <text>
        <t xml:space="preserve">Salutation + Name
Fill on your own. If unclear, attend class or watch the video</t>
      </text>
    </comment>
    <comment authorId="0" ref="G983">
      <text>
        <t xml:space="preserve">Fill on your own. If unclear, attend class or watch the video</t>
      </text>
    </comment>
    <comment authorId="0" ref="J983">
      <text>
        <t xml:space="preserve">North and South Region -- Rs. 10,000
East and West Region -- Rs. 5,000
Fill on your own. If unclear, attend class or watch the video
</t>
      </text>
    </comment>
    <comment authorId="0" ref="D984">
      <text>
        <t xml:space="preserve">Mr. or Ms.
Depending on Male or Female
Fill on your own. If unclear, attend class or watch the video</t>
      </text>
    </comment>
    <comment authorId="0" ref="E984">
      <text>
        <t xml:space="preserve">Salutation + Name
Fill on your own. If unclear, attend class or watch the video</t>
      </text>
    </comment>
    <comment authorId="0" ref="G984">
      <text>
        <t xml:space="preserve">Fill on your own. If unclear, attend class or watch the video</t>
      </text>
    </comment>
    <comment authorId="0" ref="J984">
      <text>
        <t xml:space="preserve">North and South Region -- Rs. 10,000
East and West Region -- Rs. 5,000
Fill on your own. If unclear, attend class or watch the video
</t>
      </text>
    </comment>
    <comment authorId="0" ref="D985">
      <text>
        <t xml:space="preserve">Mr. or Ms.
Depending on Male or Female
Fill on your own. If unclear, attend class or watch the video</t>
      </text>
    </comment>
    <comment authorId="0" ref="E985">
      <text>
        <t xml:space="preserve">Salutation + Name
Fill on your own. If unclear, attend class or watch the video</t>
      </text>
    </comment>
    <comment authorId="0" ref="G985">
      <text>
        <t xml:space="preserve">Fill on your own. If unclear, attend class or watch the video</t>
      </text>
    </comment>
    <comment authorId="0" ref="J985">
      <text>
        <t xml:space="preserve">North and South Region -- Rs. 10,000
East and West Region -- Rs. 5,000
Fill on your own. If unclear, attend class or watch the video
</t>
      </text>
    </comment>
    <comment authorId="0" ref="D986">
      <text>
        <t xml:space="preserve">Mr. or Ms.
Depending on Male or Female
Fill on your own. If unclear, attend class or watch the video</t>
      </text>
    </comment>
    <comment authorId="0" ref="E986">
      <text>
        <t xml:space="preserve">Salutation + Name
Fill on your own. If unclear, attend class or watch the video</t>
      </text>
    </comment>
    <comment authorId="0" ref="G986">
      <text>
        <t xml:space="preserve">Fill on your own. If unclear, attend class or watch the video</t>
      </text>
    </comment>
    <comment authorId="0" ref="J986">
      <text>
        <t xml:space="preserve">North and South Region -- Rs. 10,000
East and West Region -- Rs. 5,000
Fill on your own. If unclear, attend class or watch the video
</t>
      </text>
    </comment>
    <comment authorId="0" ref="D987">
      <text>
        <t xml:space="preserve">Mr. or Ms.
Depending on Male or Female
Fill on your own. If unclear, attend class or watch the video</t>
      </text>
    </comment>
    <comment authorId="0" ref="E987">
      <text>
        <t xml:space="preserve">Salutation + Name
Fill on your own. If unclear, attend class or watch the video</t>
      </text>
    </comment>
    <comment authorId="0" ref="G987">
      <text>
        <t xml:space="preserve">Fill on your own. If unclear, attend class or watch the video</t>
      </text>
    </comment>
    <comment authorId="0" ref="J987">
      <text>
        <t xml:space="preserve">North and South Region -- Rs. 10,000
East and West Region -- Rs. 5,000
Fill on your own. If unclear, attend class or watch the video
</t>
      </text>
    </comment>
    <comment authorId="0" ref="D988">
      <text>
        <t xml:space="preserve">Mr. or Ms.
Depending on Male or Female
Fill on your own. If unclear, attend class or watch the video</t>
      </text>
    </comment>
    <comment authorId="0" ref="E988">
      <text>
        <t xml:space="preserve">Salutation + Name
Fill on your own. If unclear, attend class or watch the video</t>
      </text>
    </comment>
    <comment authorId="0" ref="G988">
      <text>
        <t xml:space="preserve">Fill on your own. If unclear, attend class or watch the video</t>
      </text>
    </comment>
    <comment authorId="0" ref="J988">
      <text>
        <t xml:space="preserve">North and South Region -- Rs. 10,000
East and West Region -- Rs. 5,000
Fill on your own. If unclear, attend class or watch the video
</t>
      </text>
    </comment>
    <comment authorId="0" ref="D989">
      <text>
        <t xml:space="preserve">Mr. or Ms.
Depending on Male or Female
Fill on your own. If unclear, attend class or watch the video</t>
      </text>
    </comment>
    <comment authorId="0" ref="E989">
      <text>
        <t xml:space="preserve">Salutation + Name
Fill on your own. If unclear, attend class or watch the video</t>
      </text>
    </comment>
    <comment authorId="0" ref="G989">
      <text>
        <t xml:space="preserve">Fill on your own. If unclear, attend class or watch the video</t>
      </text>
    </comment>
    <comment authorId="0" ref="J989">
      <text>
        <t xml:space="preserve">North and South Region -- Rs. 10,000
East and West Region -- Rs. 5,000
Fill on your own. If unclear, attend class or watch the video
</t>
      </text>
    </comment>
    <comment authorId="0" ref="D990">
      <text>
        <t xml:space="preserve">Mr. or Ms.
Depending on Male or Female
Fill on your own. If unclear, attend class or watch the video</t>
      </text>
    </comment>
    <comment authorId="0" ref="E990">
      <text>
        <t xml:space="preserve">Salutation + Name
Fill on your own. If unclear, attend class or watch the video</t>
      </text>
    </comment>
    <comment authorId="0" ref="G990">
      <text>
        <t xml:space="preserve">Fill on your own. If unclear, attend class or watch the video</t>
      </text>
    </comment>
    <comment authorId="0" ref="J990">
      <text>
        <t xml:space="preserve">North and South Region -- Rs. 10,000
East and West Region -- Rs. 5,000
Fill on your own. If unclear, attend class or watch the video
</t>
      </text>
    </comment>
    <comment authorId="0" ref="D991">
      <text>
        <t xml:space="preserve">Mr. or Ms.
Depending on Male or Female
Fill on your own. If unclear, attend class or watch the video</t>
      </text>
    </comment>
    <comment authorId="0" ref="E991">
      <text>
        <t xml:space="preserve">Salutation + Name
Fill on your own. If unclear, attend class or watch the video</t>
      </text>
    </comment>
    <comment authorId="0" ref="G991">
      <text>
        <t xml:space="preserve">Fill on your own. If unclear, attend class or watch the video</t>
      </text>
    </comment>
    <comment authorId="0" ref="J991">
      <text>
        <t xml:space="preserve">North and South Region -- Rs. 10,000
East and West Region -- Rs. 5,000
Fill on your own. If unclear, attend class or watch the video
</t>
      </text>
    </comment>
    <comment authorId="0" ref="D992">
      <text>
        <t xml:space="preserve">Mr. or Ms.
Depending on Male or Female
Fill on your own. If unclear, attend class or watch the video</t>
      </text>
    </comment>
    <comment authorId="0" ref="E992">
      <text>
        <t xml:space="preserve">Salutation + Name
Fill on your own. If unclear, attend class or watch the video</t>
      </text>
    </comment>
    <comment authorId="0" ref="G992">
      <text>
        <t xml:space="preserve">Fill on your own. If unclear, attend class or watch the video</t>
      </text>
    </comment>
    <comment authorId="0" ref="J992">
      <text>
        <t xml:space="preserve">North and South Region -- Rs. 10,000
East and West Region -- Rs. 5,000
Fill on your own. If unclear, attend class or watch the video
</t>
      </text>
    </comment>
    <comment authorId="0" ref="D993">
      <text>
        <t xml:space="preserve">Mr. or Ms.
Depending on Male or Female
Fill on your own. If unclear, attend class or watch the video</t>
      </text>
    </comment>
    <comment authorId="0" ref="E993">
      <text>
        <t xml:space="preserve">Salutation + Name
Fill on your own. If unclear, attend class or watch the video</t>
      </text>
    </comment>
    <comment authorId="0" ref="G993">
      <text>
        <t xml:space="preserve">Fill on your own. If unclear, attend class or watch the video</t>
      </text>
    </comment>
    <comment authorId="0" ref="J993">
      <text>
        <t xml:space="preserve">North and South Region -- Rs. 10,000
East and West Region -- Rs. 5,000
Fill on your own. If unclear, attend class or watch the video
</t>
      </text>
    </comment>
    <comment authorId="0" ref="D994">
      <text>
        <t xml:space="preserve">Mr. or Ms.
Depending on Male or Female
Fill on your own. If unclear, attend class or watch the video</t>
      </text>
    </comment>
    <comment authorId="0" ref="E994">
      <text>
        <t xml:space="preserve">Salutation + Name
Fill on your own. If unclear, attend class or watch the video</t>
      </text>
    </comment>
    <comment authorId="0" ref="G994">
      <text>
        <t xml:space="preserve">Fill on your own. If unclear, attend class or watch the video</t>
      </text>
    </comment>
    <comment authorId="0" ref="J994">
      <text>
        <t xml:space="preserve">North and South Region -- Rs. 10,000
East and West Region -- Rs. 5,000
Fill on your own. If unclear, attend class or watch the video
</t>
      </text>
    </comment>
    <comment authorId="0" ref="D995">
      <text>
        <t xml:space="preserve">Mr. or Ms.
Depending on Male or Female
Fill on your own. If unclear, attend class or watch the video</t>
      </text>
    </comment>
    <comment authorId="0" ref="E995">
      <text>
        <t xml:space="preserve">Salutation + Name
Fill on your own. If unclear, attend class or watch the video</t>
      </text>
    </comment>
    <comment authorId="0" ref="G995">
      <text>
        <t xml:space="preserve">Fill on your own. If unclear, attend class or watch the video</t>
      </text>
    </comment>
    <comment authorId="0" ref="J995">
      <text>
        <t xml:space="preserve">North and South Region -- Rs. 10,000
East and West Region -- Rs. 5,000
Fill on your own. If unclear, attend class or watch the video
</t>
      </text>
    </comment>
    <comment authorId="0" ref="D996">
      <text>
        <t xml:space="preserve">Mr. or Ms.
Depending on Male or Female
Fill on your own. If unclear, attend class or watch the video</t>
      </text>
    </comment>
    <comment authorId="0" ref="E996">
      <text>
        <t xml:space="preserve">Salutation + Name
Fill on your own. If unclear, attend class or watch the video</t>
      </text>
    </comment>
    <comment authorId="0" ref="G996">
      <text>
        <t xml:space="preserve">Fill on your own. If unclear, attend class or watch the video</t>
      </text>
    </comment>
    <comment authorId="0" ref="J996">
      <text>
        <t xml:space="preserve">North and South Region -- Rs. 10,000
East and West Region -- Rs. 5,000
Fill on your own. If unclear, attend class or watch the video
</t>
      </text>
    </comment>
    <comment authorId="0" ref="D997">
      <text>
        <t xml:space="preserve">Mr. or Ms.
Depending on Male or Female
Fill on your own. If unclear, attend class or watch the video</t>
      </text>
    </comment>
    <comment authorId="0" ref="E997">
      <text>
        <t xml:space="preserve">Salutation + Name
Fill on your own. If unclear, attend class or watch the video</t>
      </text>
    </comment>
    <comment authorId="0" ref="G997">
      <text>
        <t xml:space="preserve">Fill on your own. If unclear, attend class or watch the video</t>
      </text>
    </comment>
    <comment authorId="0" ref="J997">
      <text>
        <t xml:space="preserve">North and South Region -- Rs. 10,000
East and West Region -- Rs. 5,000
Fill on your own. If unclear, attend class or watch the video
</t>
      </text>
    </comment>
    <comment authorId="0" ref="D998">
      <text>
        <t xml:space="preserve">Mr. or Ms.
Depending on Male or Female
Fill on your own. If unclear, attend class or watch the video</t>
      </text>
    </comment>
    <comment authorId="0" ref="E998">
      <text>
        <t xml:space="preserve">Salutation + Name
Fill on your own. If unclear, attend class or watch the video</t>
      </text>
    </comment>
    <comment authorId="0" ref="G998">
      <text>
        <t xml:space="preserve">Fill on your own. If unclear, attend class or watch the video</t>
      </text>
    </comment>
    <comment authorId="0" ref="J998">
      <text>
        <t xml:space="preserve">North and South Region -- Rs. 10,000
East and West Region -- Rs. 5,000
Fill on your own. If unclear, attend class or watch the video
</t>
      </text>
    </comment>
    <comment authorId="0" ref="D999">
      <text>
        <t xml:space="preserve">Mr. or Ms.
Depending on Male or Female
Fill on your own. If unclear, attend class or watch the video</t>
      </text>
    </comment>
    <comment authorId="0" ref="E999">
      <text>
        <t xml:space="preserve">Salutation + Name
Fill on your own. If unclear, attend class or watch the video</t>
      </text>
    </comment>
    <comment authorId="0" ref="G999">
      <text>
        <t xml:space="preserve">Fill on your own. If unclear, attend class or watch the video</t>
      </text>
    </comment>
    <comment authorId="0" ref="J999">
      <text>
        <t xml:space="preserve">North and South Region -- Rs. 10,000
East and West Region -- Rs. 5,000
Fill on your own. If unclear, attend class or watch the video
</t>
      </text>
    </comment>
    <comment authorId="0" ref="D1000">
      <text>
        <t xml:space="preserve">Mr. or Ms.
Depending on Male or Female
Fill on your own. If unclear, attend class or watch the video</t>
      </text>
    </comment>
    <comment authorId="0" ref="E1000">
      <text>
        <t xml:space="preserve">Salutation + Name
Fill on your own. If unclear, attend class or watch the video</t>
      </text>
    </comment>
    <comment authorId="0" ref="G1000">
      <text>
        <t xml:space="preserve">Fill on your own. If unclear, attend class or watch the video</t>
      </text>
    </comment>
    <comment authorId="0" ref="J1000">
      <text>
        <t xml:space="preserve">North and South Region -- Rs. 10,000
East and West Region -- Rs. 5,000
Fill on your own. If unclear, attend class or watch the video
</t>
      </text>
    </comment>
    <comment authorId="0" ref="D1001">
      <text>
        <t xml:space="preserve">Mr. or Ms.
Depending on Male or Female
Fill on your own. If unclear, attend class or watch the video</t>
      </text>
    </comment>
    <comment authorId="0" ref="E1001">
      <text>
        <t xml:space="preserve">Salutation + Name
Fill on your own. If unclear, attend class or watch the video</t>
      </text>
    </comment>
    <comment authorId="0" ref="G1001">
      <text>
        <t xml:space="preserve">Fill on your own. If unclear, attend class or watch the video</t>
      </text>
    </comment>
    <comment authorId="0" ref="J1001">
      <text>
        <t xml:space="preserve">North and South Region -- Rs. 10,000
East and West Region -- Rs. 5,000
Fill on your own. If unclear, attend class or watch the video
</t>
      </text>
    </comment>
    <comment authorId="0" ref="D1002">
      <text>
        <t xml:space="preserve">Mr. or Ms.
Depending on Male or Female
Fill on your own. If unclear, attend class or watch the video</t>
      </text>
    </comment>
    <comment authorId="0" ref="E1002">
      <text>
        <t xml:space="preserve">Salutation + Name
Fill on your own. If unclear, attend class or watch the video</t>
      </text>
    </comment>
  </commentList>
</comments>
</file>

<file path=xl/sharedStrings.xml><?xml version="1.0" encoding="utf-8"?>
<sst xmlns="http://schemas.openxmlformats.org/spreadsheetml/2006/main" count="7378" uniqueCount="867">
  <si>
    <t>ID</t>
  </si>
  <si>
    <t>Names</t>
  </si>
  <si>
    <t>Gender</t>
  </si>
  <si>
    <t>Salutation</t>
  </si>
  <si>
    <t>Proper Name</t>
  </si>
  <si>
    <t>First Name</t>
  </si>
  <si>
    <t>Last Name</t>
  </si>
  <si>
    <t>Region</t>
  </si>
  <si>
    <t>PassingYear</t>
  </si>
  <si>
    <t>Price</t>
  </si>
  <si>
    <t>Payment Status</t>
  </si>
  <si>
    <t>TotalPoints</t>
  </si>
  <si>
    <t>Signup Device</t>
  </si>
  <si>
    <t>Streak</t>
  </si>
  <si>
    <t>Course Name</t>
  </si>
  <si>
    <t>DegreeCategories - DegreeCategoryId → Name</t>
  </si>
  <si>
    <t xml:space="preserve">Total Collected </t>
  </si>
  <si>
    <t>Aarav Dutta</t>
  </si>
  <si>
    <t>Male</t>
  </si>
  <si>
    <t>West</t>
  </si>
  <si>
    <t>Pending</t>
  </si>
  <si>
    <t>Mobile</t>
  </si>
  <si>
    <t>Competitive Coding</t>
  </si>
  <si>
    <t>BE / BTech - Non CS / IT</t>
  </si>
  <si>
    <t>Dev Joshi</t>
  </si>
  <si>
    <t>North</t>
  </si>
  <si>
    <t>Completed</t>
  </si>
  <si>
    <t>Kickstarting Web Dev</t>
  </si>
  <si>
    <t>BCA / MCA</t>
  </si>
  <si>
    <t>Manya Sharma</t>
  </si>
  <si>
    <t>Web</t>
  </si>
  <si>
    <t>BE / BTech - CS / IT</t>
  </si>
  <si>
    <t>Samarth Iyer</t>
  </si>
  <si>
    <t>South</t>
  </si>
  <si>
    <t>Mishka Jain</t>
  </si>
  <si>
    <t>Female</t>
  </si>
  <si>
    <t>Ira Naidu</t>
  </si>
  <si>
    <t>Payment in Process</t>
  </si>
  <si>
    <t>Non-Coding, Non Engineering</t>
  </si>
  <si>
    <t>SUMIFS(sum_range, criteria_range1, criterion1,</t>
  </si>
  <si>
    <t>Aaryan Sinha</t>
  </si>
  <si>
    <t>Data Structure and Algorithms</t>
  </si>
  <si>
    <t>criteria_range2, criterion2, ...)</t>
  </si>
  <si>
    <t>Arnav Nair</t>
  </si>
  <si>
    <t>Lavanya Pillai</t>
  </si>
  <si>
    <t>Aaryan Mehta</t>
  </si>
  <si>
    <t>East</t>
  </si>
  <si>
    <t>Diya Gupta</t>
  </si>
  <si>
    <t>Kian Mishra</t>
  </si>
  <si>
    <t>Ayaan Kapoor</t>
  </si>
  <si>
    <t>Manya Malik</t>
  </si>
  <si>
    <t>Laksh Dutta</t>
  </si>
  <si>
    <t>Aaradhya Sharma</t>
  </si>
  <si>
    <t>Ira Joshi</t>
  </si>
  <si>
    <t>Samarth Nair</t>
  </si>
  <si>
    <t>Sai Singh</t>
  </si>
  <si>
    <t>Dev Sharma</t>
  </si>
  <si>
    <t>Vihaan Pillai</t>
  </si>
  <si>
    <t>Manya Pillai</t>
  </si>
  <si>
    <t>Om Thakur</t>
  </si>
  <si>
    <t>Naira Rao</t>
  </si>
  <si>
    <t>Aarohi Reddy</t>
  </si>
  <si>
    <t>Anvi Verma</t>
  </si>
  <si>
    <t>Tara Sinha</t>
  </si>
  <si>
    <t>Vihaan Jain</t>
  </si>
  <si>
    <t>Diya Sharma</t>
  </si>
  <si>
    <t>Vivaan Reddy</t>
  </si>
  <si>
    <t>Saanvi Naidu</t>
  </si>
  <si>
    <t>Riddhi Malik</t>
  </si>
  <si>
    <t>Aaryan Bhatt</t>
  </si>
  <si>
    <t>Charvi Bhatt</t>
  </si>
  <si>
    <t>Aryan Nair</t>
  </si>
  <si>
    <t>Aaryan Kumar</t>
  </si>
  <si>
    <t>Samarth Kapoor</t>
  </si>
  <si>
    <t>Gauri Chopra</t>
  </si>
  <si>
    <t>Vivaan Singh</t>
  </si>
  <si>
    <t>Vanya Malik</t>
  </si>
  <si>
    <t>Ira Gupta</t>
  </si>
  <si>
    <t>Diploma</t>
  </si>
  <si>
    <t>Laksh Kulkarni</t>
  </si>
  <si>
    <t>Atharv Singh</t>
  </si>
  <si>
    <t>Saanvi Kulkarni</t>
  </si>
  <si>
    <t>Vanya Nair</t>
  </si>
  <si>
    <t>Aarohi Gupta</t>
  </si>
  <si>
    <t>Siya Jain</t>
  </si>
  <si>
    <t>Sai Malik</t>
  </si>
  <si>
    <t>Harsh Desai</t>
  </si>
  <si>
    <t>Om Reddy</t>
  </si>
  <si>
    <t>Diya Sinha</t>
  </si>
  <si>
    <t>Harsh Verma</t>
  </si>
  <si>
    <t>Mahira Gupta</t>
  </si>
  <si>
    <t>Prisha Reddy</t>
  </si>
  <si>
    <t>Naira Bhat</t>
  </si>
  <si>
    <t>Inaaya Mishra</t>
  </si>
  <si>
    <t>Kabir Thakur</t>
  </si>
  <si>
    <t>Gauri Patel</t>
  </si>
  <si>
    <t>Atharv Prasad</t>
  </si>
  <si>
    <t>Kabir Nair</t>
  </si>
  <si>
    <t>Kyra Verma</t>
  </si>
  <si>
    <t>Myra Dutta</t>
  </si>
  <si>
    <t>Samarth Jain</t>
  </si>
  <si>
    <t>Krishna Thakur</t>
  </si>
  <si>
    <t>Aarohi Sharma</t>
  </si>
  <si>
    <t>Anaya Singh</t>
  </si>
  <si>
    <t>Shaurya Pillai</t>
  </si>
  <si>
    <t>Aryan Reddy</t>
  </si>
  <si>
    <t>Vanya Bhatt</t>
  </si>
  <si>
    <t>Aarohi Malik</t>
  </si>
  <si>
    <t>Vihaan Kulkarni</t>
  </si>
  <si>
    <t>Vihaan Reddy</t>
  </si>
  <si>
    <t>Vihaan Rao</t>
  </si>
  <si>
    <t>Shaurya Mishra</t>
  </si>
  <si>
    <t>Vivaan Sharma</t>
  </si>
  <si>
    <t>Raghav Iyer</t>
  </si>
  <si>
    <t>Siya Desai</t>
  </si>
  <si>
    <t>Kian Agarwal</t>
  </si>
  <si>
    <t>Ira Thakur</t>
  </si>
  <si>
    <t>Aarohi Chopra</t>
  </si>
  <si>
    <t>Vivaan Patel</t>
  </si>
  <si>
    <t>Siya Joshi</t>
  </si>
  <si>
    <t>Siddharth Iyer</t>
  </si>
  <si>
    <t>Manya Desai</t>
  </si>
  <si>
    <t>Eva Sinha</t>
  </si>
  <si>
    <t>Aaryan Nair</t>
  </si>
  <si>
    <t>Avni Verma</t>
  </si>
  <si>
    <t>Raghav Patel</t>
  </si>
  <si>
    <t>Raghav Thakur</t>
  </si>
  <si>
    <t>Raghav Chowdhury</t>
  </si>
  <si>
    <t>Ira Kapoor</t>
  </si>
  <si>
    <t>Aditya Chowdhury</t>
  </si>
  <si>
    <t>Aditya Naidu</t>
  </si>
  <si>
    <t>Arjun Naidu</t>
  </si>
  <si>
    <t>Charvi Naidu</t>
  </si>
  <si>
    <t>Ira Sinha</t>
  </si>
  <si>
    <t>Rishi Verma</t>
  </si>
  <si>
    <t>Aditya Bhatt</t>
  </si>
  <si>
    <t>Dhanush Verma</t>
  </si>
  <si>
    <t>Shivansh Thakur</t>
  </si>
  <si>
    <t>Ayaan Reddy</t>
  </si>
  <si>
    <t>Raghav Kumar</t>
  </si>
  <si>
    <t>Aaryan Dutta</t>
  </si>
  <si>
    <t>Arjun Chowdhury</t>
  </si>
  <si>
    <t>Parth Kumar</t>
  </si>
  <si>
    <t>Raghav Reddy</t>
  </si>
  <si>
    <t>Raghav Bhat</t>
  </si>
  <si>
    <t>Saanvi Kumar</t>
  </si>
  <si>
    <t>Arnav Jain</t>
  </si>
  <si>
    <t>Arjun Mehta</t>
  </si>
  <si>
    <t>Kashvi Das</t>
  </si>
  <si>
    <t>Vanya Naidu</t>
  </si>
  <si>
    <t>Kyra Thakur</t>
  </si>
  <si>
    <t>Charvi Gupta</t>
  </si>
  <si>
    <t>Krishna Prasad</t>
  </si>
  <si>
    <t>Tablet</t>
  </si>
  <si>
    <t>Shaurya Verma</t>
  </si>
  <si>
    <t>Om Kulkarni</t>
  </si>
  <si>
    <t>Arnav Malik</t>
  </si>
  <si>
    <t>Dhanush Rao</t>
  </si>
  <si>
    <t>Krishna Kapoor</t>
  </si>
  <si>
    <t>Kashvi Verma</t>
  </si>
  <si>
    <t>Kian Sharma</t>
  </si>
  <si>
    <t>Navya Singh</t>
  </si>
  <si>
    <t>Sara Nair</t>
  </si>
  <si>
    <t>Gauri Joshi</t>
  </si>
  <si>
    <t>Riddhi Sinha</t>
  </si>
  <si>
    <t>Dev Kapoor</t>
  </si>
  <si>
    <t>Kian Sinha</t>
  </si>
  <si>
    <t>Aarohi Prasad</t>
  </si>
  <si>
    <t>Charvi Malik</t>
  </si>
  <si>
    <t>Avni Sinha</t>
  </si>
  <si>
    <t>Avni Agarwal</t>
  </si>
  <si>
    <t>Shivansh Jain</t>
  </si>
  <si>
    <t>Aryan Bhatt</t>
  </si>
  <si>
    <t>Ayaan Chowdhury</t>
  </si>
  <si>
    <t>Naira Singh</t>
  </si>
  <si>
    <t>Kyra Kumar</t>
  </si>
  <si>
    <t>Anvi Chopra</t>
  </si>
  <si>
    <t>Kyra Sinha</t>
  </si>
  <si>
    <t>Reyansh Reddy</t>
  </si>
  <si>
    <t>Avni Nair</t>
  </si>
  <si>
    <t>Lavanya Verma</t>
  </si>
  <si>
    <t>Myra Kulkarni</t>
  </si>
  <si>
    <t>Mishka Pillai</t>
  </si>
  <si>
    <t>Parth Rao</t>
  </si>
  <si>
    <t>Inaaya Reddy</t>
  </si>
  <si>
    <t>Vanya Gupta</t>
  </si>
  <si>
    <t>Lavanya Reddy</t>
  </si>
  <si>
    <t>Shivansh Bhat</t>
  </si>
  <si>
    <t>Shivansh Mishra</t>
  </si>
  <si>
    <t>Navya Iyer</t>
  </si>
  <si>
    <t>Ishaan Singh</t>
  </si>
  <si>
    <t>Krishna Desai</t>
  </si>
  <si>
    <t>Reyansh Jain</t>
  </si>
  <si>
    <t>Diya Desai</t>
  </si>
  <si>
    <t>Vanya Sinha</t>
  </si>
  <si>
    <t>Eva Chopra</t>
  </si>
  <si>
    <t>Aaradhya Pillai</t>
  </si>
  <si>
    <t>Riddhi Gupta</t>
  </si>
  <si>
    <t>Raghav Gupta</t>
  </si>
  <si>
    <t>Shaurya Bhatt</t>
  </si>
  <si>
    <t>Kyra Malik</t>
  </si>
  <si>
    <t>Mahira Agarwal</t>
  </si>
  <si>
    <t>Arnav Sharma</t>
  </si>
  <si>
    <t>Aryan Sharma</t>
  </si>
  <si>
    <t>Kashvi Patel</t>
  </si>
  <si>
    <t>Riddhi Kumar</t>
  </si>
  <si>
    <t>Eva Malik</t>
  </si>
  <si>
    <t>Tara Sharma</t>
  </si>
  <si>
    <t>Saanvi Bhat</t>
  </si>
  <si>
    <t>Shaurya Rao</t>
  </si>
  <si>
    <t>Parth Das</t>
  </si>
  <si>
    <t>Sara Chowdhury</t>
  </si>
  <si>
    <t>Avni Bhatt</t>
  </si>
  <si>
    <t>Manya Rao</t>
  </si>
  <si>
    <t>Vihaan Patel</t>
  </si>
  <si>
    <t>Rishi Agarwal</t>
  </si>
  <si>
    <t>Naira Reddy</t>
  </si>
  <si>
    <t>Charvi Chopra</t>
  </si>
  <si>
    <t>Kabir Agarwal</t>
  </si>
  <si>
    <t>Tara Patel</t>
  </si>
  <si>
    <t>Eva Verma</t>
  </si>
  <si>
    <t>Rishi Sinha</t>
  </si>
  <si>
    <t>Diya Rao</t>
  </si>
  <si>
    <t>Saanvi Dutta</t>
  </si>
  <si>
    <t>Riddhi Sharma</t>
  </si>
  <si>
    <t>Sai Jain</t>
  </si>
  <si>
    <t>Anvi Agarwal</t>
  </si>
  <si>
    <t>Prisha Mishra</t>
  </si>
  <si>
    <t>Anaya Patel</t>
  </si>
  <si>
    <t>Raghav Singh</t>
  </si>
  <si>
    <t>Aarav Mishra</t>
  </si>
  <si>
    <t>Shaurya Sharma</t>
  </si>
  <si>
    <t>Inaaya Nair</t>
  </si>
  <si>
    <t>Aarohi Mehta</t>
  </si>
  <si>
    <t>Tara Chopra</t>
  </si>
  <si>
    <t>Myra Agarwal</t>
  </si>
  <si>
    <t>Ayaan Singh</t>
  </si>
  <si>
    <t>Vihaan Malik</t>
  </si>
  <si>
    <t>Dhanush Singh</t>
  </si>
  <si>
    <t>Aarav Das</t>
  </si>
  <si>
    <t>Aaradhya Chowdhury</t>
  </si>
  <si>
    <t>Vihaan Sinha</t>
  </si>
  <si>
    <t>Shanaya Chowdhury</t>
  </si>
  <si>
    <t>Reyansh Patel</t>
  </si>
  <si>
    <t>Arjun Verma</t>
  </si>
  <si>
    <t>Anirudh Agarwal</t>
  </si>
  <si>
    <t>Saanvi Singh</t>
  </si>
  <si>
    <t>Sara Agarwal</t>
  </si>
  <si>
    <t>Ira Kulkarni</t>
  </si>
  <si>
    <t>Myra Bhat</t>
  </si>
  <si>
    <t>Diya Jain</t>
  </si>
  <si>
    <t>Shanaya Agarwal</t>
  </si>
  <si>
    <t>Rishi Rao</t>
  </si>
  <si>
    <t>Charvi Bhat</t>
  </si>
  <si>
    <t>Arnav Chowdhury</t>
  </si>
  <si>
    <t>Inaaya Das</t>
  </si>
  <si>
    <t>Atharv Iyer</t>
  </si>
  <si>
    <t>Harsh Kulkarni</t>
  </si>
  <si>
    <t>Ira Pillai</t>
  </si>
  <si>
    <t>Mishka Singh</t>
  </si>
  <si>
    <t>Anaya Thakur</t>
  </si>
  <si>
    <t>Ishaan Gupta</t>
  </si>
  <si>
    <t>Aadhya Naidu</t>
  </si>
  <si>
    <t>Aadhya Kapoor</t>
  </si>
  <si>
    <t>Anirudh Mehta</t>
  </si>
  <si>
    <t>Aadhya Das</t>
  </si>
  <si>
    <t>Yashvi Patel</t>
  </si>
  <si>
    <t>Reyansh Dutta</t>
  </si>
  <si>
    <t>Kian Rao</t>
  </si>
  <si>
    <t>Navya Mishra</t>
  </si>
  <si>
    <t>Naira Bhatt</t>
  </si>
  <si>
    <t>Vivaan Desai</t>
  </si>
  <si>
    <t>Kabir Mishra</t>
  </si>
  <si>
    <t>Kyra Sharma</t>
  </si>
  <si>
    <t>Ishaan Agarwal</t>
  </si>
  <si>
    <t>Shanaya Sinha</t>
  </si>
  <si>
    <t>Ira Bhat</t>
  </si>
  <si>
    <t>Avni Mishra</t>
  </si>
  <si>
    <t>Samarth Kulkarni</t>
  </si>
  <si>
    <t>Harsh Rao</t>
  </si>
  <si>
    <t>Vivaan Iyer</t>
  </si>
  <si>
    <t>Reyansh Sharma</t>
  </si>
  <si>
    <t>Gauri Thakur</t>
  </si>
  <si>
    <t>Charvi Kulkarni</t>
  </si>
  <si>
    <t>Mahira Chopra</t>
  </si>
  <si>
    <t>Raghav Pillai</t>
  </si>
  <si>
    <t>Shivansh Sinha</t>
  </si>
  <si>
    <t>Lavanya Bhatt</t>
  </si>
  <si>
    <t>Shanaya Kumar</t>
  </si>
  <si>
    <t>Ishaan Kulkarni</t>
  </si>
  <si>
    <t>Anvi Mehta</t>
  </si>
  <si>
    <t>Sai Kumar</t>
  </si>
  <si>
    <t>Prisha Chopra</t>
  </si>
  <si>
    <t>Aarav Chowdhury</t>
  </si>
  <si>
    <t>Anirudh Singh</t>
  </si>
  <si>
    <t>Rishi Malik</t>
  </si>
  <si>
    <t>Shaurya Singh</t>
  </si>
  <si>
    <t>Samarth Sinha</t>
  </si>
  <si>
    <t>Yashvi Verma</t>
  </si>
  <si>
    <t>Aadhya Pillai</t>
  </si>
  <si>
    <t>Vanya Desai</t>
  </si>
  <si>
    <t>Inaaya Gupta</t>
  </si>
  <si>
    <t>Sara Mehta</t>
  </si>
  <si>
    <t>Aadhya Dutta</t>
  </si>
  <si>
    <t>Ayaan Mehta</t>
  </si>
  <si>
    <t>Riddhi Rao</t>
  </si>
  <si>
    <t>Kabir Verma</t>
  </si>
  <si>
    <t>Aadhya Malik</t>
  </si>
  <si>
    <t>Arjun Chopra</t>
  </si>
  <si>
    <t>Sara Dutta</t>
  </si>
  <si>
    <t>Om Gupta</t>
  </si>
  <si>
    <t>Lavanya Bhat</t>
  </si>
  <si>
    <t>Anvi Iyer</t>
  </si>
  <si>
    <t>Aditya Patel</t>
  </si>
  <si>
    <t>Samarth Agarwal</t>
  </si>
  <si>
    <t>Sara Verma</t>
  </si>
  <si>
    <t>Siya Kapoor</t>
  </si>
  <si>
    <t>Naira Gupta</t>
  </si>
  <si>
    <t>Aadhya Sinha</t>
  </si>
  <si>
    <t>Diya Pillai</t>
  </si>
  <si>
    <t>Anvi Nair</t>
  </si>
  <si>
    <t>Vivaan Mishra</t>
  </si>
  <si>
    <t>Ayaan Malik</t>
  </si>
  <si>
    <t>Anvi Bhatt</t>
  </si>
  <si>
    <t>Samarth Patel</t>
  </si>
  <si>
    <t>Shanaya Pillai</t>
  </si>
  <si>
    <t>Mahira Sinha</t>
  </si>
  <si>
    <t>Samarth Dutta</t>
  </si>
  <si>
    <t>Shivansh Kumar</t>
  </si>
  <si>
    <t>Aaradhya Gupta</t>
  </si>
  <si>
    <t>Rudra Iyer</t>
  </si>
  <si>
    <t>Mishka Sinha</t>
  </si>
  <si>
    <t>Aditya Nair</t>
  </si>
  <si>
    <t>Samarth Rao</t>
  </si>
  <si>
    <t>Ira Rao</t>
  </si>
  <si>
    <t>Diya Mehta</t>
  </si>
  <si>
    <t>Shivansh Agarwal</t>
  </si>
  <si>
    <t>Ayaan Bhat</t>
  </si>
  <si>
    <t>Diya Prasad</t>
  </si>
  <si>
    <t>Anvi Dutta</t>
  </si>
  <si>
    <t>Dhanush Sinha</t>
  </si>
  <si>
    <t>Anaya Kumar</t>
  </si>
  <si>
    <t>Arnav Dutta</t>
  </si>
  <si>
    <t>Kian Bhatt</t>
  </si>
  <si>
    <t>Gauri Desai</t>
  </si>
  <si>
    <t>Eva Iyer</t>
  </si>
  <si>
    <t>Aarohi Pillai</t>
  </si>
  <si>
    <t>Om Rao</t>
  </si>
  <si>
    <t>Aryan Dutta</t>
  </si>
  <si>
    <t>Siya Malik</t>
  </si>
  <si>
    <t>Kian Kumar</t>
  </si>
  <si>
    <t>Reyansh Gupta</t>
  </si>
  <si>
    <t>Kyra Patel</t>
  </si>
  <si>
    <t>Dhanush Gupta</t>
  </si>
  <si>
    <t>Mishka Sharma</t>
  </si>
  <si>
    <t>Vivaan Agarwal</t>
  </si>
  <si>
    <t>Ayaan Verma</t>
  </si>
  <si>
    <t>Kian Dutta</t>
  </si>
  <si>
    <t>Shanaya Jain</t>
  </si>
  <si>
    <t>Dev Reddy</t>
  </si>
  <si>
    <t>Sara Chopra</t>
  </si>
  <si>
    <t>Mishka Nair</t>
  </si>
  <si>
    <t>Aadhya Verma</t>
  </si>
  <si>
    <t>Siya Chopra</t>
  </si>
  <si>
    <t>Vanya Jain</t>
  </si>
  <si>
    <t>Vanya Rao</t>
  </si>
  <si>
    <t>Aarohi Mishra</t>
  </si>
  <si>
    <t>Kabir Naidu</t>
  </si>
  <si>
    <t>Rishi Naidu</t>
  </si>
  <si>
    <t>Riddhi Bhat</t>
  </si>
  <si>
    <t>Atharv Bhatt</t>
  </si>
  <si>
    <t>Navya Bhat</t>
  </si>
  <si>
    <t>Kyra Agarwal</t>
  </si>
  <si>
    <t>Ira Dutta</t>
  </si>
  <si>
    <t>Tara Mehta</t>
  </si>
  <si>
    <t>Shaurya Naidu</t>
  </si>
  <si>
    <t>Siddharth Thakur</t>
  </si>
  <si>
    <t>Siya Bhatt</t>
  </si>
  <si>
    <t>Avni Reddy</t>
  </si>
  <si>
    <t>Shivansh Sharma</t>
  </si>
  <si>
    <t>Kashvi Naidu</t>
  </si>
  <si>
    <t>Krishna Iyer</t>
  </si>
  <si>
    <t>Siya Agarwal</t>
  </si>
  <si>
    <t>Arnav Patel</t>
  </si>
  <si>
    <t>Charvi Das</t>
  </si>
  <si>
    <t>Krishna Singh</t>
  </si>
  <si>
    <t>Siya Sharma</t>
  </si>
  <si>
    <t>Inaaya Sharma</t>
  </si>
  <si>
    <t>Reyansh Prasad</t>
  </si>
  <si>
    <t>Saanvi Patel</t>
  </si>
  <si>
    <t>Siya Das</t>
  </si>
  <si>
    <t>Aaradhya Prasad</t>
  </si>
  <si>
    <t>Siddharth Verma</t>
  </si>
  <si>
    <t>Rishi Mishra</t>
  </si>
  <si>
    <t>Krishna Sharma</t>
  </si>
  <si>
    <t>Rudra Jain</t>
  </si>
  <si>
    <t>Charvi Kapoor</t>
  </si>
  <si>
    <t>Ishaan Mehta</t>
  </si>
  <si>
    <t>Ishaan Bhat</t>
  </si>
  <si>
    <t>Myra Chowdhury</t>
  </si>
  <si>
    <t>Tara Naidu</t>
  </si>
  <si>
    <t>Kian Chopra</t>
  </si>
  <si>
    <t>Anvi Gupta</t>
  </si>
  <si>
    <t>Mishka Bhatt</t>
  </si>
  <si>
    <t>Parth Chopra</t>
  </si>
  <si>
    <t>Lavanya Jain</t>
  </si>
  <si>
    <t>Rishi Joshi</t>
  </si>
  <si>
    <t>Dev Sinha</t>
  </si>
  <si>
    <t>Diya Kulkarni</t>
  </si>
  <si>
    <t>Anaya Agarwal</t>
  </si>
  <si>
    <t>Kashvi Iyer</t>
  </si>
  <si>
    <t>Ishaan Joshi</t>
  </si>
  <si>
    <t>Aditya Chopra</t>
  </si>
  <si>
    <t>Aadhya Chowdhury</t>
  </si>
  <si>
    <t>Prisha Kumar</t>
  </si>
  <si>
    <t>Laksh Agarwal</t>
  </si>
  <si>
    <t>Aaryan Bhat</t>
  </si>
  <si>
    <t>Parth Desai</t>
  </si>
  <si>
    <t>Aadhya Thakur</t>
  </si>
  <si>
    <t>Aryan Kumar</t>
  </si>
  <si>
    <t>Anvi Prasad</t>
  </si>
  <si>
    <t>Gauri Malik</t>
  </si>
  <si>
    <t>Aarav Chopra</t>
  </si>
  <si>
    <t>Arnav Bhat</t>
  </si>
  <si>
    <t>Anvi Singh</t>
  </si>
  <si>
    <t>Ishaan Sharma</t>
  </si>
  <si>
    <t>Sai Pillai</t>
  </si>
  <si>
    <t>Inaaya Kulkarni</t>
  </si>
  <si>
    <t>Ishaan Kapoor</t>
  </si>
  <si>
    <t>Arnav Verma</t>
  </si>
  <si>
    <t>Diya Naidu</t>
  </si>
  <si>
    <t>Mahira Naidu</t>
  </si>
  <si>
    <t>Aarav Prasad</t>
  </si>
  <si>
    <t>Kyra Chopra</t>
  </si>
  <si>
    <t>Rishi Reddy</t>
  </si>
  <si>
    <t>Ira Patel</t>
  </si>
  <si>
    <t>Mahira Iyer</t>
  </si>
  <si>
    <t>Raghav Jain</t>
  </si>
  <si>
    <t>Siya Bhat</t>
  </si>
  <si>
    <t>Aarav Sinha</t>
  </si>
  <si>
    <t>Kabir Rao</t>
  </si>
  <si>
    <t>Arnav Mishra</t>
  </si>
  <si>
    <t>Kabir Patel</t>
  </si>
  <si>
    <t>Riddhi Prasad</t>
  </si>
  <si>
    <t>Ira Verma</t>
  </si>
  <si>
    <t>Inaaya Bhatt</t>
  </si>
  <si>
    <t>Laksh Das</t>
  </si>
  <si>
    <t>Navya Malik</t>
  </si>
  <si>
    <t>Lavanya Patel</t>
  </si>
  <si>
    <t>Anaya Sharma</t>
  </si>
  <si>
    <t>Mahira Chowdhury</t>
  </si>
  <si>
    <t>Siya Sinha</t>
  </si>
  <si>
    <t>Aaradhya Mehta</t>
  </si>
  <si>
    <t>Sara Das</t>
  </si>
  <si>
    <t>Ishaan Chopra</t>
  </si>
  <si>
    <t>Vivaan Bhatt</t>
  </si>
  <si>
    <t>Aadhya Bhatt</t>
  </si>
  <si>
    <t>Diya Agarwal</t>
  </si>
  <si>
    <t>Charvi Kumar</t>
  </si>
  <si>
    <t>Aaradhya Iyer</t>
  </si>
  <si>
    <t>Yashvi Singh</t>
  </si>
  <si>
    <t>Gauri Iyer</t>
  </si>
  <si>
    <t>Shivansh Rao</t>
  </si>
  <si>
    <t>Prisha Bhat</t>
  </si>
  <si>
    <t>Rudra Sharma</t>
  </si>
  <si>
    <t>Diya Mishra</t>
  </si>
  <si>
    <t>Naira Kulkarni</t>
  </si>
  <si>
    <t>Atharv Agarwal</t>
  </si>
  <si>
    <t>Ira Iyer</t>
  </si>
  <si>
    <t>Mahira Malik</t>
  </si>
  <si>
    <t>Avni Mehta</t>
  </si>
  <si>
    <t>Avni Sharma</t>
  </si>
  <si>
    <t>Sara Prasad</t>
  </si>
  <si>
    <t>Tara Dutta</t>
  </si>
  <si>
    <t>Dhanush Pillai</t>
  </si>
  <si>
    <t>Aryan Mehta</t>
  </si>
  <si>
    <t>Aaryan Desai</t>
  </si>
  <si>
    <t>Avni Kumar</t>
  </si>
  <si>
    <t>Anvi Chowdhury</t>
  </si>
  <si>
    <t>Sai Verma</t>
  </si>
  <si>
    <t>Arjun Gupta</t>
  </si>
  <si>
    <t>Shaurya Chopra</t>
  </si>
  <si>
    <t>Reyansh Naidu</t>
  </si>
  <si>
    <t>Ishaan Desai</t>
  </si>
  <si>
    <t>Siddharth Jain</t>
  </si>
  <si>
    <t>Reyansh Kapoor</t>
  </si>
  <si>
    <t>Aarav Malik</t>
  </si>
  <si>
    <t>Gauri Bhat</t>
  </si>
  <si>
    <t>Atharv Joshi</t>
  </si>
  <si>
    <t>Sara Kumar</t>
  </si>
  <si>
    <t>Riddhi Mishra</t>
  </si>
  <si>
    <t>Vanya Chowdhury</t>
  </si>
  <si>
    <t>Prisha Verma</t>
  </si>
  <si>
    <t>Rudra Verma</t>
  </si>
  <si>
    <t>Siddharth Gupta</t>
  </si>
  <si>
    <t>Eva Rao</t>
  </si>
  <si>
    <t>Aditya Kulkarni</t>
  </si>
  <si>
    <t>Aaradhya Das</t>
  </si>
  <si>
    <t>Sara Sharma</t>
  </si>
  <si>
    <t>Shivansh Naidu</t>
  </si>
  <si>
    <t>Siya Naidu</t>
  </si>
  <si>
    <t>Vivaan Chowdhury</t>
  </si>
  <si>
    <t>Avni Joshi</t>
  </si>
  <si>
    <t>Anvi Rao</t>
  </si>
  <si>
    <t>Reyansh Verma</t>
  </si>
  <si>
    <t>Reyansh Desai</t>
  </si>
  <si>
    <t>Rishi Kapoor</t>
  </si>
  <si>
    <t>Shaurya Kapoor</t>
  </si>
  <si>
    <t>Kabir Kapoor</t>
  </si>
  <si>
    <t>Charvi Jain</t>
  </si>
  <si>
    <t>Vihaan Mehta</t>
  </si>
  <si>
    <t>Sai Das</t>
  </si>
  <si>
    <t>Inaaya Prasad</t>
  </si>
  <si>
    <t>Dhanush Bhat</t>
  </si>
  <si>
    <t>Myra Sharma</t>
  </si>
  <si>
    <t>Vihaan Prasad</t>
  </si>
  <si>
    <t>Vivaan Sinha</t>
  </si>
  <si>
    <t>Siya Verma</t>
  </si>
  <si>
    <t>Om Malik</t>
  </si>
  <si>
    <t>Laksh Chopra</t>
  </si>
  <si>
    <t>Rishi Thakur</t>
  </si>
  <si>
    <t>Parth Bhat</t>
  </si>
  <si>
    <t>Lavanya Dutta</t>
  </si>
  <si>
    <t>Aadhya Desai</t>
  </si>
  <si>
    <t>Siddharth Bhat</t>
  </si>
  <si>
    <t>Aarohi Iyer</t>
  </si>
  <si>
    <t>Om Sinha</t>
  </si>
  <si>
    <t>Arjun Nair</t>
  </si>
  <si>
    <t>Rudra Nair</t>
  </si>
  <si>
    <t>Ira Sharma</t>
  </si>
  <si>
    <t>Vihaan Bhatt</t>
  </si>
  <si>
    <t>Raghav Dutta</t>
  </si>
  <si>
    <t>Aarav Patel</t>
  </si>
  <si>
    <t>Arnav Singh</t>
  </si>
  <si>
    <t>Ishaan Reddy</t>
  </si>
  <si>
    <t>Kabir Desai</t>
  </si>
  <si>
    <t>Anvi Patel</t>
  </si>
  <si>
    <t>Ishaan Pillai</t>
  </si>
  <si>
    <t>Siya Gupta</t>
  </si>
  <si>
    <t>Kyra Prasad</t>
  </si>
  <si>
    <t>Shaurya Agarwal</t>
  </si>
  <si>
    <t>Atharv Nair</t>
  </si>
  <si>
    <t>Aaryan Rao</t>
  </si>
  <si>
    <t>Naira Mehta</t>
  </si>
  <si>
    <t>Yashvi Naidu</t>
  </si>
  <si>
    <t>Rishi Kulkarni</t>
  </si>
  <si>
    <t>Dhanush Dutta</t>
  </si>
  <si>
    <t>Eva Bhat</t>
  </si>
  <si>
    <t>Kabir Reddy</t>
  </si>
  <si>
    <t>Krishna Patel</t>
  </si>
  <si>
    <t>Ira Desai</t>
  </si>
  <si>
    <t>Krishna Jain</t>
  </si>
  <si>
    <t>Krishna Agarwal</t>
  </si>
  <si>
    <t>Mishka Rao</t>
  </si>
  <si>
    <t>Avni Singh</t>
  </si>
  <si>
    <t>Arjun Thakur</t>
  </si>
  <si>
    <t>Shanaya Bhatt</t>
  </si>
  <si>
    <t>Aaradhya Thakur</t>
  </si>
  <si>
    <t>Aarav Kumar</t>
  </si>
  <si>
    <t>Inaaya Rao</t>
  </si>
  <si>
    <t>Myra Kumar</t>
  </si>
  <si>
    <t>Raghav Sinha</t>
  </si>
  <si>
    <t>Vanya Joshi</t>
  </si>
  <si>
    <t>Reyansh Pillai</t>
  </si>
  <si>
    <t>Siddharth Naidu</t>
  </si>
  <si>
    <t>Aaradhya Joshi</t>
  </si>
  <si>
    <t>Vivaan Rao</t>
  </si>
  <si>
    <t>Vanya Kapoor</t>
  </si>
  <si>
    <t>Sara Joshi</t>
  </si>
  <si>
    <t>Manya Mishra</t>
  </si>
  <si>
    <t>Vanya Verma</t>
  </si>
  <si>
    <t>Riddhi Iyer</t>
  </si>
  <si>
    <t>Sai Mishra</t>
  </si>
  <si>
    <t>Anvi Pillai</t>
  </si>
  <si>
    <t>Manya Kumar</t>
  </si>
  <si>
    <t>Manya Naidu</t>
  </si>
  <si>
    <t>Tara Rao</t>
  </si>
  <si>
    <t>Arnav Das</t>
  </si>
  <si>
    <t>Dev Kumar</t>
  </si>
  <si>
    <t>Tara Joshi</t>
  </si>
  <si>
    <t>Ayaan Prasad</t>
  </si>
  <si>
    <t>Rudra Patel</t>
  </si>
  <si>
    <t>Harsh Malik</t>
  </si>
  <si>
    <t>Arjun Rao</t>
  </si>
  <si>
    <t>Atharv Sharma</t>
  </si>
  <si>
    <t>Inaaya Pillai</t>
  </si>
  <si>
    <t>Kashvi Sinha</t>
  </si>
  <si>
    <t>Yashvi Kulkarni</t>
  </si>
  <si>
    <t>Siya Patel</t>
  </si>
  <si>
    <t>Rishi Das</t>
  </si>
  <si>
    <t>Rishi Dutta</t>
  </si>
  <si>
    <t>Samarth Pillai</t>
  </si>
  <si>
    <t>Ayaan Agarwal</t>
  </si>
  <si>
    <t>Lavanya Mishra</t>
  </si>
  <si>
    <t>Sara Mishra</t>
  </si>
  <si>
    <t>Naira Sinha</t>
  </si>
  <si>
    <t>Shivansh Mehta</t>
  </si>
  <si>
    <t>Inaaya Desai</t>
  </si>
  <si>
    <t>Aaryan Thakur</t>
  </si>
  <si>
    <t>Myra Bhatt</t>
  </si>
  <si>
    <t>Gauri Sinha</t>
  </si>
  <si>
    <t>Dev Verma</t>
  </si>
  <si>
    <t>Charvi Thakur</t>
  </si>
  <si>
    <t>Saanvi Chopra</t>
  </si>
  <si>
    <t>Yashvi Mishra</t>
  </si>
  <si>
    <t>Arjun Patel</t>
  </si>
  <si>
    <t>Saanvi Bhatt</t>
  </si>
  <si>
    <t>Yashvi Mehta</t>
  </si>
  <si>
    <t>Om Mehta</t>
  </si>
  <si>
    <t>Sara Pillai</t>
  </si>
  <si>
    <t>Sara Bhatt</t>
  </si>
  <si>
    <t>Sai Kapoor</t>
  </si>
  <si>
    <t>Atharv Bhat</t>
  </si>
  <si>
    <t>Dev Chowdhury</t>
  </si>
  <si>
    <t>Ayaan Joshi</t>
  </si>
  <si>
    <t>Samarth Malik</t>
  </si>
  <si>
    <t>Anirudh Bhat</t>
  </si>
  <si>
    <t>Prisha Naidu</t>
  </si>
  <si>
    <t>Aadhya Chopra</t>
  </si>
  <si>
    <t>Ayaan Dutta</t>
  </si>
  <si>
    <t>Lavanya Iyer</t>
  </si>
  <si>
    <t>Krishna Rao</t>
  </si>
  <si>
    <t>Anaya Chopra</t>
  </si>
  <si>
    <t>Aarav Bhat</t>
  </si>
  <si>
    <t>Yashvi Iyer</t>
  </si>
  <si>
    <t>Raghav Rao</t>
  </si>
  <si>
    <t>Charvi Joshi</t>
  </si>
  <si>
    <t>Naira Desai</t>
  </si>
  <si>
    <t>Naira Das</t>
  </si>
  <si>
    <t>Aaryan Verma</t>
  </si>
  <si>
    <t>Anvi Kulkarni</t>
  </si>
  <si>
    <t>Ayaan Naidu</t>
  </si>
  <si>
    <t>Lavanya Das</t>
  </si>
  <si>
    <t>Diya Joshi</t>
  </si>
  <si>
    <t>Harsh Prasad</t>
  </si>
  <si>
    <t>Om Patel</t>
  </si>
  <si>
    <t>Aarohi Joshi</t>
  </si>
  <si>
    <t>Anirudh Nair</t>
  </si>
  <si>
    <t>Samarth Desai</t>
  </si>
  <si>
    <t>Kabir Chowdhury</t>
  </si>
  <si>
    <t>Dhanush Iyer</t>
  </si>
  <si>
    <t>Anvi Mishra</t>
  </si>
  <si>
    <t>Aadhya Mehta</t>
  </si>
  <si>
    <t>Manya Nair</t>
  </si>
  <si>
    <t>Aarohi Sinha</t>
  </si>
  <si>
    <t>Gauri Jain</t>
  </si>
  <si>
    <t>Kyra Das</t>
  </si>
  <si>
    <t>Ayaan Thakur</t>
  </si>
  <si>
    <t>Harsh Sharma</t>
  </si>
  <si>
    <t>Reyansh Kulkarni</t>
  </si>
  <si>
    <t>Om Chowdhury</t>
  </si>
  <si>
    <t>Anaya Reddy</t>
  </si>
  <si>
    <t>Arnav Agarwal</t>
  </si>
  <si>
    <t>Laksh Bhat</t>
  </si>
  <si>
    <t>Vihaan Dutta</t>
  </si>
  <si>
    <t>Naira Naidu</t>
  </si>
  <si>
    <t>Arnav Kulkarni</t>
  </si>
  <si>
    <t>Mahira Rao</t>
  </si>
  <si>
    <t>Rudra Kulkarni</t>
  </si>
  <si>
    <t>Parth Sinha</t>
  </si>
  <si>
    <t>Krishna Malik</t>
  </si>
  <si>
    <t>Yashvi Prasad</t>
  </si>
  <si>
    <t>Shanaya Das</t>
  </si>
  <si>
    <t>Vihaan Mishra</t>
  </si>
  <si>
    <t>Vivaan Kulkarni</t>
  </si>
  <si>
    <t>Krishna Nair</t>
  </si>
  <si>
    <t>Om Chopra</t>
  </si>
  <si>
    <t>Rishi Desai</t>
  </si>
  <si>
    <t>Aarav Naidu</t>
  </si>
  <si>
    <t>Aaryan Kapoor</t>
  </si>
  <si>
    <t>Om Dutta</t>
  </si>
  <si>
    <t>Saanvi Malik</t>
  </si>
  <si>
    <t>Arjun Jain</t>
  </si>
  <si>
    <t>Parth Jain</t>
  </si>
  <si>
    <t>Rudra Kumar</t>
  </si>
  <si>
    <t>Kyra Iyer</t>
  </si>
  <si>
    <t>Rudra Chopra</t>
  </si>
  <si>
    <t>Arnav Rao</t>
  </si>
  <si>
    <t>Kian Mehta</t>
  </si>
  <si>
    <t>Myra Desai</t>
  </si>
  <si>
    <t>Aryan Das</t>
  </si>
  <si>
    <t>Vanya Pillai</t>
  </si>
  <si>
    <t>Siddharth Das</t>
  </si>
  <si>
    <t>Laksh Sharma</t>
  </si>
  <si>
    <t>Aditya Mishra</t>
  </si>
  <si>
    <t>Yashvi Dutta</t>
  </si>
  <si>
    <t>Parth Mishra</t>
  </si>
  <si>
    <t>Ayaan Rao</t>
  </si>
  <si>
    <t>Ishaan Prasad</t>
  </si>
  <si>
    <t>Reyansh Malik</t>
  </si>
  <si>
    <t>Shaurya Desai</t>
  </si>
  <si>
    <t>Aditya Jain</t>
  </si>
  <si>
    <t>Kashvi Dutta</t>
  </si>
  <si>
    <t>Siya Kulkarni</t>
  </si>
  <si>
    <t>Yashvi Sharma</t>
  </si>
  <si>
    <t>Eva Reddy</t>
  </si>
  <si>
    <t>Om Iyer</t>
  </si>
  <si>
    <t>Aarohi Agarwal</t>
  </si>
  <si>
    <t>Vanya Mehta</t>
  </si>
  <si>
    <t>Laksh Prasad</t>
  </si>
  <si>
    <t>Mahira Desai</t>
  </si>
  <si>
    <t>Aaradhya Bhat</t>
  </si>
  <si>
    <t>Anirudh Bhatt</t>
  </si>
  <si>
    <t>Manya Reddy</t>
  </si>
  <si>
    <t>Manya Thakur</t>
  </si>
  <si>
    <t>Kyra Nair</t>
  </si>
  <si>
    <t>Charvi Iyer</t>
  </si>
  <si>
    <t>Avni Das</t>
  </si>
  <si>
    <t>Parth Chowdhury</t>
  </si>
  <si>
    <t>Aditya Sinha</t>
  </si>
  <si>
    <t>Reyansh Nair</t>
  </si>
  <si>
    <t>Laksh Kapoor</t>
  </si>
  <si>
    <t>Anirudh Gupta</t>
  </si>
  <si>
    <t>Navya Kapoor</t>
  </si>
  <si>
    <t>Kashvi Mehta</t>
  </si>
  <si>
    <t>Sai Chowdhury</t>
  </si>
  <si>
    <t>Aaradhya Dutta</t>
  </si>
  <si>
    <t>Shaurya Kumar</t>
  </si>
  <si>
    <t>Charvi Agarwal</t>
  </si>
  <si>
    <t>Dev Prasad</t>
  </si>
  <si>
    <t>Aarav Iyer</t>
  </si>
  <si>
    <t>Aaradhya Chopra</t>
  </si>
  <si>
    <t>Sai Sharma</t>
  </si>
  <si>
    <t>Rudra Thakur</t>
  </si>
  <si>
    <t>Parth Patel</t>
  </si>
  <si>
    <t>Aaradhya Kumar</t>
  </si>
  <si>
    <t>Diya Bhatt</t>
  </si>
  <si>
    <t>Vivaan Mehta</t>
  </si>
  <si>
    <t>Eva Jain</t>
  </si>
  <si>
    <t>Charvi Nair</t>
  </si>
  <si>
    <t>Myra Rao</t>
  </si>
  <si>
    <t>Mishka Joshi</t>
  </si>
  <si>
    <t>Dhanush Nair</t>
  </si>
  <si>
    <t>Mahira Prasad</t>
  </si>
  <si>
    <t>Dev Nair</t>
  </si>
  <si>
    <t>Kashvi Bhatt</t>
  </si>
  <si>
    <t>Avni Chopra</t>
  </si>
  <si>
    <t>Prisha Prasad</t>
  </si>
  <si>
    <t>Siya Thakur</t>
  </si>
  <si>
    <t>Saanvi Joshi</t>
  </si>
  <si>
    <t>Ira Mishra</t>
  </si>
  <si>
    <t>Yashvi Thakur</t>
  </si>
  <si>
    <t>Riddhi Reddy</t>
  </si>
  <si>
    <t>Mishka Patel</t>
  </si>
  <si>
    <t>Krishna Reddy</t>
  </si>
  <si>
    <t>Charvi Mehta</t>
  </si>
  <si>
    <t>Anirudh Reddy</t>
  </si>
  <si>
    <t>Atharv Patel</t>
  </si>
  <si>
    <t>Sai Thakur</t>
  </si>
  <si>
    <t>Samarth Thakur</t>
  </si>
  <si>
    <t>Kabir Iyer</t>
  </si>
  <si>
    <t>Myra Malik</t>
  </si>
  <si>
    <t>Dev Gupta</t>
  </si>
  <si>
    <t>Avni Desai</t>
  </si>
  <si>
    <t>Kyra Bhat</t>
  </si>
  <si>
    <t>Reyansh Agarwal</t>
  </si>
  <si>
    <t>Tara Kumar</t>
  </si>
  <si>
    <t>Tara Gupta</t>
  </si>
  <si>
    <t>Aditya Verma</t>
  </si>
  <si>
    <t>Manya Agarwal</t>
  </si>
  <si>
    <t>Reyansh Bhatt</t>
  </si>
  <si>
    <t>Kian Bhat</t>
  </si>
  <si>
    <t>Saanvi Mishra</t>
  </si>
  <si>
    <t>Om Kumar</t>
  </si>
  <si>
    <t>Atharv Dutta</t>
  </si>
  <si>
    <t>Parth Agarwal</t>
  </si>
  <si>
    <t>Myra Joshi</t>
  </si>
  <si>
    <t>Inaaya Chopra</t>
  </si>
  <si>
    <t>Tara Singh</t>
  </si>
  <si>
    <t>Dev Naidu</t>
  </si>
  <si>
    <t>Aryan Patel</t>
  </si>
  <si>
    <t>Shanaya Mishra</t>
  </si>
  <si>
    <t>Mahira Singh</t>
  </si>
  <si>
    <t>Aaryan Malik</t>
  </si>
  <si>
    <t>Manya Bhat</t>
  </si>
  <si>
    <t>Om Das</t>
  </si>
  <si>
    <t>Kabir Bhat</t>
  </si>
  <si>
    <t>Kabir Mehta</t>
  </si>
  <si>
    <t>Diya Verma</t>
  </si>
  <si>
    <t>Naira Nair</t>
  </si>
  <si>
    <t>Shivansh Iyer</t>
  </si>
  <si>
    <t>Lavanya Kapoor</t>
  </si>
  <si>
    <t>Sai Desai</t>
  </si>
  <si>
    <t>Gauri Mehta</t>
  </si>
  <si>
    <t>Anirudh Sinha</t>
  </si>
  <si>
    <t>Eva Singh</t>
  </si>
  <si>
    <t>Kashvi Kulkarni</t>
  </si>
  <si>
    <t>Aaradhya Desai</t>
  </si>
  <si>
    <t>Dev Malik</t>
  </si>
  <si>
    <t>Prisha Pillai</t>
  </si>
  <si>
    <t>Aarohi Kapoor</t>
  </si>
  <si>
    <t>Ayaan Kumar</t>
  </si>
  <si>
    <t>Arnav Joshi</t>
  </si>
  <si>
    <t>Sai Sinha</t>
  </si>
  <si>
    <t>Arnav Desai</t>
  </si>
  <si>
    <t>Sara Singh</t>
  </si>
  <si>
    <t>Vihaan Singh</t>
  </si>
  <si>
    <t>Rudra Bhatt</t>
  </si>
  <si>
    <t>Saanvi Gupta</t>
  </si>
  <si>
    <t>Arjun Sinha</t>
  </si>
  <si>
    <t>Aditya Sharma</t>
  </si>
  <si>
    <t>Navya Mehta</t>
  </si>
  <si>
    <t>Om Desai</t>
  </si>
  <si>
    <t>Aryan Singh</t>
  </si>
  <si>
    <t>Reyansh Chowdhury</t>
  </si>
  <si>
    <t>Dev Mishra</t>
  </si>
  <si>
    <t>Vanya Sharma</t>
  </si>
  <si>
    <t>Sai Agarwal</t>
  </si>
  <si>
    <t>Saanvi Thakur</t>
  </si>
  <si>
    <t>Sai Patel</t>
  </si>
  <si>
    <t>Lowest Average Total Points</t>
  </si>
  <si>
    <t>Which region has the lowest user registrations'!B2=</t>
  </si>
  <si>
    <t xml:space="preserve">User ID </t>
  </si>
  <si>
    <t>Name</t>
  </si>
  <si>
    <t>Device</t>
  </si>
  <si>
    <t xml:space="preserve"> </t>
  </si>
  <si>
    <t xml:space="preserve">COUNT of User ID </t>
  </si>
  <si>
    <t>Grand Total</t>
  </si>
  <si>
    <t>AVERAGE of TotalPoints</t>
  </si>
  <si>
    <t>COUNTA of Course Name</t>
  </si>
  <si>
    <t>AVERAGE of Streak</t>
  </si>
  <si>
    <t>COUNTA of Payment Status</t>
  </si>
  <si>
    <t>Mahira</t>
  </si>
  <si>
    <t>Gupta</t>
  </si>
  <si>
    <t>Sara</t>
  </si>
  <si>
    <t>Nair</t>
  </si>
  <si>
    <t>Avni</t>
  </si>
  <si>
    <t>Bhatt</t>
  </si>
  <si>
    <t>Mishka</t>
  </si>
  <si>
    <t>Singh</t>
  </si>
  <si>
    <t>Samarth</t>
  </si>
  <si>
    <t>Kulkarni</t>
  </si>
  <si>
    <t>Shaurya</t>
  </si>
  <si>
    <t>Kian</t>
  </si>
  <si>
    <t>Chopra</t>
  </si>
  <si>
    <t>Prisha</t>
  </si>
  <si>
    <t>Kumar</t>
  </si>
  <si>
    <t>Sai</t>
  </si>
  <si>
    <t>Pillai</t>
  </si>
  <si>
    <t>Kabir</t>
  </si>
  <si>
    <t>Patel</t>
  </si>
  <si>
    <t>Riddhi</t>
  </si>
  <si>
    <t>Prasad</t>
  </si>
  <si>
    <t>Arnav</t>
  </si>
  <si>
    <t>Sharma</t>
  </si>
  <si>
    <t>Rishi</t>
  </si>
  <si>
    <t>Mishra</t>
  </si>
  <si>
    <t>Siddharth</t>
  </si>
  <si>
    <t>Jain</t>
  </si>
  <si>
    <t>Atharv</t>
  </si>
  <si>
    <t>Joshi</t>
  </si>
  <si>
    <t>Vivaan</t>
  </si>
  <si>
    <t>Chowdhury</t>
  </si>
  <si>
    <t>Charvi</t>
  </si>
  <si>
    <t>Om</t>
  </si>
  <si>
    <t>Naidu</t>
  </si>
  <si>
    <t>Rudra</t>
  </si>
  <si>
    <t>Verma</t>
  </si>
  <si>
    <t>Myra</t>
  </si>
  <si>
    <t>Saanvi</t>
  </si>
  <si>
    <t>Krishna</t>
  </si>
  <si>
    <t>Rao</t>
  </si>
  <si>
    <t>Reyansh</t>
  </si>
  <si>
    <t>Thakur</t>
  </si>
  <si>
    <t>Dhanush</t>
  </si>
  <si>
    <t>Dev</t>
  </si>
  <si>
    <t>Malik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</si>
</sst>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2" fontId="3" numFmtId="0" xfId="0" applyAlignment="1" applyFill="1" applyFont="1">
      <alignment horizontal="left" vertical="bottom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horizontal="left" vertical="bottom"/>
    </xf>
    <xf borderId="0" fillId="4" fontId="3" numFmtId="0" xfId="0" applyAlignment="1" applyFill="1" applyFont="1">
      <alignment horizontal="left" vertical="bottom"/>
    </xf>
    <xf borderId="0" fillId="5" fontId="3" numFmtId="0" xfId="0" applyAlignment="1" applyFill="1" applyFont="1">
      <alignment horizontal="left" vertical="bottom"/>
    </xf>
    <xf borderId="0" fillId="0" fontId="3" numFmtId="3" xfId="0" applyAlignment="1" applyFont="1" applyNumberFormat="1">
      <alignment horizontal="left" vertical="bottom"/>
    </xf>
    <xf quotePrefix="1"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3" xfId="0" applyAlignment="1" applyFont="1" applyNumberFormat="1">
      <alignment horizontal="left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4" numFmtId="3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Diplo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Login Issues- VLOOKUP"/>
  </cacheSource>
  <cacheFields>
    <cacheField name="User ID " numFmtId="0">
      <sharedItems containsString="0" containsBlank="1" containsNumber="1" containsInteger="1">
        <n v="64633.0"/>
        <n v="64634.0"/>
        <n v="64972.0"/>
        <n v="64805.0"/>
        <n v="64637.0"/>
        <n v="64806.0"/>
        <n v="64970.0"/>
        <n v="64971.0"/>
        <n v="65201.0"/>
        <n v="65202.0"/>
        <m/>
      </sharedItems>
    </cacheField>
    <cacheField name="Name" numFmtId="0">
      <sharedItems containsBlank="1">
        <s v="Laksh Kulkarni"/>
        <s v="Atharv Singh"/>
        <s v="Anaya Kumar"/>
        <s v="Tara Patel"/>
        <s v="Aarohi Gupta"/>
        <s v="Eva Verma"/>
        <s v="Anvi Dutta"/>
        <s v="Dhanush Sinha"/>
        <s v="Aaradhya Das"/>
        <s v="Sara Sharma"/>
        <m/>
      </sharedItems>
    </cacheField>
    <cacheField name="Region" numFmtId="0">
      <sharedItems containsBlank="1">
        <s v="South"/>
        <s v="North"/>
        <s v="East"/>
        <s v="West"/>
        <m/>
      </sharedItems>
    </cacheField>
    <cacheField name="Device" numFmtId="0">
      <sharedItems containsBlank="1">
        <s v="Mobile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2" sheet="Data"/>
  </cacheSource>
  <cacheFields>
    <cacheField name="ID" numFmtId="0">
      <sharedItems containsString="0" containsBlank="1" containsNumber="1" containsInteger="1">
        <n v="64576.0"/>
        <n v="64578.0"/>
        <n v="64580.0"/>
        <n v="64582.0"/>
        <n v="64583.0"/>
        <n v="64584.0"/>
        <n v="64585.0"/>
        <n v="64586.0"/>
        <n v="64588.0"/>
        <n v="64595.0"/>
        <n v="64596.0"/>
        <n v="64599.0"/>
        <n v="64600.0"/>
        <n v="64601.0"/>
        <n v="64602.0"/>
        <n v="64603.0"/>
        <n v="64604.0"/>
        <n v="64605.0"/>
        <n v="64606.0"/>
        <n v="64607.0"/>
        <n v="64608.0"/>
        <n v="64609.0"/>
        <n v="64610.0"/>
        <n v="64611.0"/>
        <n v="64612.0"/>
        <n v="64613.0"/>
        <n v="64614.0"/>
        <n v="64618.0"/>
        <n v="64619.0"/>
        <n v="64620.0"/>
        <n v="64621.0"/>
        <n v="64622.0"/>
        <n v="64624.0"/>
        <n v="64625.0"/>
        <n v="64626.0"/>
        <n v="64627.0"/>
        <n v="64628.0"/>
        <n v="64629.0"/>
        <n v="64630.0"/>
        <n v="64631.0"/>
        <n v="64632.0"/>
        <n v="64633.0"/>
        <n v="64634.0"/>
        <n v="64635.0"/>
        <n v="64636.0"/>
        <n v="64637.0"/>
        <n v="64638.0"/>
        <n v="64639.0"/>
        <n v="64640.0"/>
        <n v="64641.0"/>
        <n v="64643.0"/>
        <n v="64644.0"/>
        <n v="64645.0"/>
        <n v="64647.0"/>
        <n v="64648.0"/>
        <n v="64649.0"/>
        <n v="64650.0"/>
        <n v="64651.0"/>
        <n v="64652.0"/>
        <n v="64653.0"/>
        <n v="64654.0"/>
        <n v="64656.0"/>
        <n v="64657.0"/>
        <n v="64658.0"/>
        <n v="64659.0"/>
        <n v="64660.0"/>
        <n v="64661.0"/>
        <n v="64662.0"/>
        <n v="64663.0"/>
        <n v="64664.0"/>
        <n v="64665.0"/>
        <n v="64666.0"/>
        <n v="64667.0"/>
        <n v="64669.0"/>
        <n v="64670.0"/>
        <n v="64671.0"/>
        <n v="64672.0"/>
        <n v="64673.0"/>
        <n v="64677.0"/>
        <n v="64680.0"/>
        <n v="64681.0"/>
        <n v="64682.0"/>
        <n v="64683.0"/>
        <n v="64684.0"/>
        <n v="64685.0"/>
        <n v="64686.0"/>
        <n v="64687.0"/>
        <n v="64690.0"/>
        <n v="64691.0"/>
        <n v="64692.0"/>
        <n v="64693.0"/>
        <n v="64698.0"/>
        <n v="64699.0"/>
        <n v="64700.0"/>
        <n v="64701.0"/>
        <n v="64702.0"/>
        <n v="64703.0"/>
        <n v="64704.0"/>
        <n v="64705.0"/>
        <n v="64708.0"/>
        <n v="64709.0"/>
        <n v="64710.0"/>
        <n v="64711.0"/>
        <n v="64712.0"/>
        <n v="64713.0"/>
        <n v="64714.0"/>
        <n v="64715.0"/>
        <n v="64716.0"/>
        <n v="64717.0"/>
        <n v="64718.0"/>
        <n v="64719.0"/>
        <n v="64720.0"/>
        <n v="64721.0"/>
        <n v="64722.0"/>
        <n v="64723.0"/>
        <n v="64724.0"/>
        <n v="64725.0"/>
        <n v="64728.0"/>
        <n v="64729.0"/>
        <n v="64730.0"/>
        <n v="64731.0"/>
        <n v="64732.0"/>
        <n v="64733.0"/>
        <n v="64734.0"/>
        <n v="64735.0"/>
        <n v="64738.0"/>
        <n v="64739.0"/>
        <n v="64741.0"/>
        <n v="64742.0"/>
        <n v="64743.0"/>
        <n v="64744.0"/>
        <n v="64745.0"/>
        <n v="64746.0"/>
        <n v="64747.0"/>
        <n v="64748.0"/>
        <n v="64749.0"/>
        <n v="64750.0"/>
        <n v="64751.0"/>
        <n v="64752.0"/>
        <n v="64753.0"/>
        <n v="64754.0"/>
        <n v="64756.0"/>
        <n v="64757.0"/>
        <n v="64758.0"/>
        <n v="64759.0"/>
        <n v="64760.0"/>
        <n v="64761.0"/>
        <n v="64762.0"/>
        <n v="64763.0"/>
        <n v="64764.0"/>
        <n v="64765.0"/>
        <n v="64766.0"/>
        <n v="64767.0"/>
        <n v="64768.0"/>
        <n v="64769.0"/>
        <n v="64770.0"/>
        <n v="64771.0"/>
        <n v="64772.0"/>
        <n v="64774.0"/>
        <n v="64775.0"/>
        <n v="64776.0"/>
        <n v="64777.0"/>
        <n v="64778.0"/>
        <n v="64779.0"/>
        <n v="64780.0"/>
        <n v="64781.0"/>
        <n v="64782.0"/>
        <n v="64783.0"/>
        <n v="64785.0"/>
        <n v="64786.0"/>
        <n v="64787.0"/>
        <n v="64788.0"/>
        <n v="64789.0"/>
        <n v="64790.0"/>
        <n v="64791.0"/>
        <n v="64792.0"/>
        <n v="64793.0"/>
        <n v="64794.0"/>
        <n v="64795.0"/>
        <n v="64796.0"/>
        <n v="64797.0"/>
        <n v="64798.0"/>
        <n v="64799.0"/>
        <n v="64800.0"/>
        <n v="64802.0"/>
        <n v="64803.0"/>
        <n v="64804.0"/>
        <n v="64805.0"/>
        <n v="64806.0"/>
        <n v="64807.0"/>
        <n v="64808.0"/>
        <n v="64809.0"/>
        <n v="64810.0"/>
        <n v="64813.0"/>
        <n v="64814.0"/>
        <n v="64815.0"/>
        <n v="64816.0"/>
        <n v="64817.0"/>
        <n v="64818.0"/>
        <n v="64820.0"/>
        <n v="64821.0"/>
        <n v="64822.0"/>
        <n v="64823.0"/>
        <n v="64824.0"/>
        <n v="64825.0"/>
        <n v="64826.0"/>
        <n v="64827.0"/>
        <n v="64828.0"/>
        <n v="64829.0"/>
        <n v="64830.0"/>
        <n v="64831.0"/>
        <n v="64832.0"/>
        <n v="64833.0"/>
        <n v="64834.0"/>
        <n v="64835.0"/>
        <n v="64836.0"/>
        <n v="64837.0"/>
        <n v="64838.0"/>
        <n v="64839.0"/>
        <n v="64840.0"/>
        <n v="64841.0"/>
        <n v="64842.0"/>
        <n v="64843.0"/>
        <n v="64844.0"/>
        <n v="64845.0"/>
        <n v="64846.0"/>
        <n v="64848.0"/>
        <n v="64849.0"/>
        <n v="64851.0"/>
        <n v="64852.0"/>
        <n v="64853.0"/>
        <n v="64854.0"/>
        <n v="64855.0"/>
        <n v="64856.0"/>
        <n v="64857.0"/>
        <n v="64858.0"/>
        <n v="64859.0"/>
        <n v="64860.0"/>
        <n v="64861.0"/>
        <n v="64862.0"/>
        <n v="64863.0"/>
        <n v="64864.0"/>
        <n v="64865.0"/>
        <n v="64866.0"/>
        <n v="64867.0"/>
        <n v="64868.0"/>
        <n v="64872.0"/>
        <n v="64873.0"/>
        <n v="64874.0"/>
        <n v="64875.0"/>
        <n v="64878.0"/>
        <n v="64879.0"/>
        <n v="64880.0"/>
        <n v="64881.0"/>
        <n v="64882.0"/>
        <n v="64883.0"/>
        <n v="64884.0"/>
        <n v="64885.0"/>
        <n v="64886.0"/>
        <n v="64887.0"/>
        <n v="64889.0"/>
        <n v="64890.0"/>
        <n v="64891.0"/>
        <n v="64892.0"/>
        <n v="64894.0"/>
        <n v="64895.0"/>
        <n v="64896.0"/>
        <n v="64897.0"/>
        <n v="64899.0"/>
        <n v="64900.0"/>
        <n v="64902.0"/>
        <n v="64903.0"/>
        <n v="64904.0"/>
        <n v="64905.0"/>
        <n v="64906.0"/>
        <n v="64907.0"/>
        <n v="64908.0"/>
        <n v="64909.0"/>
        <n v="64910.0"/>
        <n v="64911.0"/>
        <n v="64912.0"/>
        <n v="64913.0"/>
        <n v="64916.0"/>
        <n v="64917.0"/>
        <n v="64919.0"/>
        <n v="64920.0"/>
        <n v="64921.0"/>
        <n v="64922.0"/>
        <n v="64923.0"/>
        <n v="64924.0"/>
        <n v="64925.0"/>
        <n v="64926.0"/>
        <n v="64927.0"/>
        <n v="64928.0"/>
        <n v="64929.0"/>
        <n v="64930.0"/>
        <n v="64931.0"/>
        <n v="64932.0"/>
        <n v="64933.0"/>
        <n v="64934.0"/>
        <n v="64935.0"/>
        <n v="64936.0"/>
        <n v="64937.0"/>
        <n v="64938.0"/>
        <n v="64939.0"/>
        <n v="64940.0"/>
        <n v="64941.0"/>
        <n v="64942.0"/>
        <n v="64944.0"/>
        <n v="64946.0"/>
        <n v="64947.0"/>
        <n v="64948.0"/>
        <n v="64949.0"/>
        <n v="64950.0"/>
        <n v="64952.0"/>
        <n v="64953.0"/>
        <n v="64957.0"/>
        <n v="64958.0"/>
        <n v="64959.0"/>
        <n v="64960.0"/>
        <n v="64961.0"/>
        <n v="64962.0"/>
        <n v="64963.0"/>
        <n v="64964.0"/>
        <n v="64965.0"/>
        <n v="64966.0"/>
        <n v="64967.0"/>
        <n v="64968.0"/>
        <n v="64970.0"/>
        <n v="64971.0"/>
        <n v="64972.0"/>
        <n v="64973.0"/>
        <n v="64974.0"/>
        <n v="64975.0"/>
        <n v="64976.0"/>
        <n v="64977.0"/>
        <n v="64978.0"/>
        <n v="64979.0"/>
        <n v="64980.0"/>
        <n v="64981.0"/>
        <n v="64982.0"/>
        <n v="64983.0"/>
        <n v="64984.0"/>
        <n v="64985.0"/>
        <n v="64986.0"/>
        <n v="64987.0"/>
        <n v="64988.0"/>
        <n v="64990.0"/>
        <n v="64991.0"/>
        <n v="64992.0"/>
        <n v="64993.0"/>
        <n v="64995.0"/>
        <n v="64997.0"/>
        <n v="64998.0"/>
        <n v="64999.0"/>
        <n v="65000.0"/>
        <n v="65001.0"/>
        <n v="65002.0"/>
        <n v="65003.0"/>
        <n v="65004.0"/>
        <n v="65005.0"/>
        <n v="65006.0"/>
        <n v="65007.0"/>
        <n v="65008.0"/>
        <n v="65009.0"/>
        <n v="65013.0"/>
        <n v="65014.0"/>
        <n v="65015.0"/>
        <n v="65016.0"/>
        <n v="65017.0"/>
        <n v="65018.0"/>
        <n v="65019.0"/>
        <n v="65022.0"/>
        <n v="65023.0"/>
        <n v="65024.0"/>
        <n v="65025.0"/>
        <n v="65026.0"/>
        <n v="65028.0"/>
        <n v="65029.0"/>
        <n v="65030.0"/>
        <n v="65031.0"/>
        <n v="65033.0"/>
        <n v="65034.0"/>
        <n v="65035.0"/>
        <n v="65036.0"/>
        <n v="65037.0"/>
        <n v="65038.0"/>
        <n v="65039.0"/>
        <n v="65040.0"/>
        <n v="65041.0"/>
        <n v="65042.0"/>
        <n v="65043.0"/>
        <n v="65044.0"/>
        <n v="65045.0"/>
        <n v="65046.0"/>
        <n v="65047.0"/>
        <n v="65048.0"/>
        <n v="65049.0"/>
        <n v="65050.0"/>
        <n v="65051.0"/>
        <n v="65052.0"/>
        <n v="65055.0"/>
        <n v="65056.0"/>
        <n v="65057.0"/>
        <n v="65058.0"/>
        <n v="65061.0"/>
        <n v="65062.0"/>
        <n v="65063.0"/>
        <n v="65064.0"/>
        <n v="65065.0"/>
        <n v="65066.0"/>
        <n v="65067.0"/>
        <n v="65068.0"/>
        <n v="65069.0"/>
        <n v="65071.0"/>
        <n v="65072.0"/>
        <n v="65073.0"/>
        <n v="65074.0"/>
        <n v="65075.0"/>
        <n v="65076.0"/>
        <n v="65077.0"/>
        <n v="65078.0"/>
        <n v="65079.0"/>
        <n v="65080.0"/>
        <n v="65081.0"/>
        <n v="65082.0"/>
        <n v="65083.0"/>
        <n v="65084.0"/>
        <n v="65086.0"/>
        <n v="65087.0"/>
        <n v="65089.0"/>
        <n v="65090.0"/>
        <n v="65091.0"/>
        <n v="65092.0"/>
        <n v="65094.0"/>
        <n v="65095.0"/>
        <n v="65096.0"/>
        <n v="65098.0"/>
        <n v="65099.0"/>
        <n v="65100.0"/>
        <n v="65102.0"/>
        <n v="65104.0"/>
        <n v="65105.0"/>
        <n v="65106.0"/>
        <n v="65107.0"/>
        <n v="65108.0"/>
        <n v="65109.0"/>
        <n v="65110.0"/>
        <n v="65111.0"/>
        <n v="65112.0"/>
        <n v="65113.0"/>
        <n v="65114.0"/>
        <n v="65115.0"/>
        <n v="65116.0"/>
        <n v="65117.0"/>
        <n v="65118.0"/>
        <n v="65119.0"/>
        <n v="65120.0"/>
        <n v="65121.0"/>
        <n v="65122.0"/>
        <n v="65123.0"/>
        <n v="65124.0"/>
        <n v="65125.0"/>
        <n v="65126.0"/>
        <n v="65127.0"/>
        <n v="65128.0"/>
        <n v="65129.0"/>
        <n v="65130.0"/>
        <n v="65131.0"/>
        <n v="65132.0"/>
        <n v="65133.0"/>
        <n v="65134.0"/>
        <n v="65136.0"/>
        <n v="65137.0"/>
        <n v="65138.0"/>
        <n v="65139.0"/>
        <n v="65140.0"/>
        <n v="65141.0"/>
        <n v="65142.0"/>
        <n v="65143.0"/>
        <n v="65144.0"/>
        <n v="65146.0"/>
        <n v="65147.0"/>
        <n v="65148.0"/>
        <n v="65149.0"/>
        <n v="65150.0"/>
        <n v="65151.0"/>
        <n v="65152.0"/>
        <n v="65153.0"/>
        <n v="65154.0"/>
        <n v="65155.0"/>
        <n v="65156.0"/>
        <n v="65157.0"/>
        <n v="65158.0"/>
        <n v="65159.0"/>
        <n v="65160.0"/>
        <n v="65161.0"/>
        <n v="65162.0"/>
        <n v="65163.0"/>
        <n v="65164.0"/>
        <n v="65165.0"/>
        <n v="65166.0"/>
        <n v="65167.0"/>
        <n v="65168.0"/>
        <n v="65169.0"/>
        <n v="65170.0"/>
        <n v="65171.0"/>
        <n v="65172.0"/>
        <n v="65173.0"/>
        <n v="65174.0"/>
        <n v="65176.0"/>
        <n v="65177.0"/>
        <n v="65178.0"/>
        <n v="65179.0"/>
        <n v="65180.0"/>
        <n v="65181.0"/>
        <n v="65182.0"/>
        <n v="65183.0"/>
        <n v="65184.0"/>
        <n v="65185.0"/>
        <n v="65186.0"/>
        <n v="65187.0"/>
        <n v="65189.0"/>
        <n v="65190.0"/>
        <n v="65191.0"/>
        <n v="65192.0"/>
        <n v="65194.0"/>
        <n v="65195.0"/>
        <n v="65196.0"/>
        <n v="65197.0"/>
        <n v="65198.0"/>
        <n v="65199.0"/>
        <n v="65200.0"/>
        <n v="65201.0"/>
        <n v="65202.0"/>
        <n v="65203.0"/>
        <n v="65204.0"/>
        <n v="65205.0"/>
        <n v="65206.0"/>
        <n v="65207.0"/>
        <n v="65208.0"/>
        <n v="65209.0"/>
        <n v="65210.0"/>
        <n v="65213.0"/>
        <n v="65214.0"/>
        <n v="65215.0"/>
        <n v="65216.0"/>
        <n v="65217.0"/>
        <n v="65218.0"/>
        <n v="65219.0"/>
        <n v="65220.0"/>
        <n v="65222.0"/>
        <n v="65223.0"/>
        <n v="65225.0"/>
        <n v="65226.0"/>
        <n v="65227.0"/>
        <n v="65228.0"/>
        <n v="65229.0"/>
        <n v="65230.0"/>
        <n v="65231.0"/>
        <n v="65232.0"/>
        <n v="65233.0"/>
        <n v="65234.0"/>
        <n v="65235.0"/>
        <n v="65236.0"/>
        <n v="65237.0"/>
        <n v="65238.0"/>
        <n v="65239.0"/>
        <n v="65240.0"/>
        <n v="65241.0"/>
        <n v="65242.0"/>
        <n v="65244.0"/>
        <n v="65245.0"/>
        <n v="65246.0"/>
        <n v="65251.0"/>
        <n v="65252.0"/>
        <n v="65253.0"/>
        <n v="65254.0"/>
        <n v="65259.0"/>
        <n v="65260.0"/>
        <n v="65261.0"/>
        <n v="65262.0"/>
        <n v="65264.0"/>
        <n v="65265.0"/>
        <n v="65266.0"/>
        <n v="65267.0"/>
        <n v="65268.0"/>
        <n v="65269.0"/>
        <n v="65270.0"/>
        <n v="65271.0"/>
        <n v="65272.0"/>
        <n v="65274.0"/>
        <n v="65275.0"/>
        <n v="65276.0"/>
        <n v="65277.0"/>
        <n v="65278.0"/>
        <n v="65280.0"/>
        <n v="65281.0"/>
        <n v="65282.0"/>
        <n v="65283.0"/>
        <n v="65284.0"/>
        <n v="65285.0"/>
        <n v="65287.0"/>
        <n v="65288.0"/>
        <n v="65294.0"/>
        <n v="65295.0"/>
        <n v="65296.0"/>
        <n v="65297.0"/>
        <n v="65298.0"/>
        <n v="65299.0"/>
        <n v="65300.0"/>
        <n v="65301.0"/>
        <n v="65304.0"/>
        <n v="65305.0"/>
        <n v="65306.0"/>
        <n v="65307.0"/>
        <n v="65308.0"/>
        <n v="65309.0"/>
        <n v="65310.0"/>
        <n v="65311.0"/>
        <n v="65312.0"/>
        <n v="65313.0"/>
        <n v="65314.0"/>
        <n v="65315.0"/>
        <n v="65316.0"/>
        <n v="65317.0"/>
        <n v="65318.0"/>
        <n v="65319.0"/>
        <n v="65320.0"/>
        <n v="65321.0"/>
        <n v="65322.0"/>
        <n v="65323.0"/>
        <n v="65324.0"/>
        <n v="65325.0"/>
        <n v="65326.0"/>
        <n v="65327.0"/>
        <n v="65328.0"/>
        <n v="65329.0"/>
        <n v="65330.0"/>
        <n v="65331.0"/>
        <n v="65332.0"/>
        <n v="65334.0"/>
        <n v="65338.0"/>
        <n v="65339.0"/>
        <n v="65340.0"/>
        <n v="65341.0"/>
        <n v="65344.0"/>
        <n v="65345.0"/>
        <n v="65346.0"/>
        <n v="65347.0"/>
        <n v="65348.0"/>
        <n v="65350.0"/>
        <n v="65351.0"/>
        <n v="65352.0"/>
        <n v="65353.0"/>
        <n v="65354.0"/>
        <n v="65355.0"/>
        <n v="65356.0"/>
        <n v="65357.0"/>
        <n v="65358.0"/>
        <n v="65359.0"/>
        <n v="65360.0"/>
        <n v="65361.0"/>
        <n v="65362.0"/>
        <n v="65363.0"/>
        <n v="65364.0"/>
        <n v="65365.0"/>
        <n v="65366.0"/>
        <n v="65367.0"/>
        <n v="65368.0"/>
        <n v="65369.0"/>
        <n v="65370.0"/>
        <n v="65371.0"/>
        <n v="65372.0"/>
        <n v="65373.0"/>
        <n v="65374.0"/>
        <n v="65375.0"/>
        <n v="65376.0"/>
        <n v="65377.0"/>
        <n v="65379.0"/>
        <n v="65380.0"/>
        <n v="65381.0"/>
        <n v="65382.0"/>
        <n v="65383.0"/>
        <n v="65384.0"/>
        <n v="65385.0"/>
        <n v="65386.0"/>
        <n v="65387.0"/>
        <n v="65388.0"/>
        <n v="65389.0"/>
        <n v="65390.0"/>
        <n v="65391.0"/>
        <n v="65392.0"/>
        <n v="65393.0"/>
        <n v="65394.0"/>
        <n v="65395.0"/>
        <n v="65396.0"/>
        <n v="65399.0"/>
        <n v="65400.0"/>
        <n v="65401.0"/>
        <n v="65402.0"/>
        <n v="65403.0"/>
        <n v="65404.0"/>
        <n v="65405.0"/>
        <n v="65408.0"/>
        <n v="65409.0"/>
        <n v="65410.0"/>
        <n v="65411.0"/>
        <n v="65412.0"/>
        <n v="65413.0"/>
        <n v="65415.0"/>
        <n v="65416.0"/>
        <n v="65417.0"/>
        <n v="65418.0"/>
        <n v="65419.0"/>
        <n v="65420.0"/>
        <n v="65425.0"/>
        <n v="65427.0"/>
        <n v="65428.0"/>
        <n v="65429.0"/>
        <n v="65430.0"/>
        <n v="65431.0"/>
        <n v="65432.0"/>
        <n v="65433.0"/>
        <n v="65434.0"/>
        <n v="65435.0"/>
        <n v="65436.0"/>
        <n v="65437.0"/>
        <n v="65439.0"/>
        <n v="65440.0"/>
        <n v="65441.0"/>
        <n v="65442.0"/>
        <n v="65443.0"/>
        <n v="65444.0"/>
        <n v="65445.0"/>
        <n v="65446.0"/>
        <n v="65447.0"/>
        <n v="65448.0"/>
        <n v="65449.0"/>
        <n v="65450.0"/>
        <n v="65451.0"/>
        <n v="65452.0"/>
        <n v="65453.0"/>
        <n v="65454.0"/>
        <n v="65455.0"/>
        <n v="65457.0"/>
        <n v="65458.0"/>
        <n v="65459.0"/>
        <n v="65460.0"/>
        <n v="65461.0"/>
        <n v="65462.0"/>
        <n v="65463.0"/>
        <n v="65464.0"/>
        <n v="65465.0"/>
        <n v="65467.0"/>
        <n v="65468.0"/>
        <n v="65469.0"/>
        <n v="65470.0"/>
        <n v="65471.0"/>
        <n v="65472.0"/>
        <n v="65473.0"/>
        <n v="65474.0"/>
        <n v="65475.0"/>
        <n v="65476.0"/>
        <n v="65479.0"/>
        <n v="65480.0"/>
        <n v="65481.0"/>
        <n v="65482.0"/>
        <n v="65483.0"/>
        <n v="65484.0"/>
        <n v="65485.0"/>
        <n v="65486.0"/>
        <n v="65487.0"/>
        <n v="65489.0"/>
        <n v="65490.0"/>
        <n v="65491.0"/>
        <n v="65492.0"/>
        <n v="65493.0"/>
        <n v="65494.0"/>
        <n v="65495.0"/>
        <n v="65496.0"/>
        <n v="65497.0"/>
        <n v="65498.0"/>
        <n v="65499.0"/>
        <n v="65500.0"/>
        <n v="65501.0"/>
        <n v="65502.0"/>
        <n v="65503.0"/>
        <n v="65504.0"/>
        <n v="65505.0"/>
        <n v="65506.0"/>
        <n v="65507.0"/>
        <n v="65508.0"/>
        <n v="65509.0"/>
        <n v="65510.0"/>
        <n v="65511.0"/>
        <n v="65512.0"/>
        <n v="65513.0"/>
        <n v="65514.0"/>
        <n v="65516.0"/>
        <n v="65517.0"/>
        <n v="65518.0"/>
        <n v="65519.0"/>
        <n v="65521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65544.0"/>
        <n v="65546.0"/>
        <n v="65547.0"/>
        <n v="65548.0"/>
        <n v="65549.0"/>
        <n v="65550.0"/>
        <n v="65551.0"/>
        <n v="65552.0"/>
        <n v="65553.0"/>
        <n v="65554.0"/>
        <n v="65555.0"/>
        <n v="65556.0"/>
        <n v="65557.0"/>
        <n v="65558.0"/>
        <n v="65559.0"/>
        <n v="65560.0"/>
        <n v="65561.0"/>
        <n v="65562.0"/>
        <n v="65563.0"/>
        <n v="65564.0"/>
        <n v="65565.0"/>
        <n v="65566.0"/>
        <n v="65567.0"/>
        <n v="65569.0"/>
        <n v="65570.0"/>
        <n v="65571.0"/>
        <n v="65572.0"/>
        <n v="65574.0"/>
        <n v="65575.0"/>
        <n v="65576.0"/>
        <n v="65577.0"/>
        <n v="65578.0"/>
        <n v="65579.0"/>
        <n v="65580.0"/>
        <n v="65581.0"/>
        <n v="65582.0"/>
        <n v="65583.0"/>
        <n v="65585.0"/>
        <n v="65586.0"/>
        <n v="65589.0"/>
        <n v="65590.0"/>
        <n v="65591.0"/>
        <n v="65592.0"/>
        <n v="65594.0"/>
        <n v="65595.0"/>
        <n v="65596.0"/>
        <n v="65597.0"/>
        <n v="65598.0"/>
        <n v="65599.0"/>
        <n v="65600.0"/>
        <n v="65601.0"/>
        <n v="65602.0"/>
        <n v="65603.0"/>
        <n v="65604.0"/>
        <n v="65605.0"/>
        <n v="65606.0"/>
        <n v="65608.0"/>
        <n v="65609.0"/>
        <n v="65612.0"/>
        <n v="65615.0"/>
        <n v="65617.0"/>
        <n v="65618.0"/>
        <n v="65619.0"/>
        <n v="65621.0"/>
        <n v="65622.0"/>
        <n v="65623.0"/>
        <n v="65625.0"/>
        <n v="65626.0"/>
        <n v="65631.0"/>
        <n v="65632.0"/>
        <n v="65633.0"/>
        <n v="65634.0"/>
        <n v="65635.0"/>
        <n v="65637.0"/>
        <n v="65638.0"/>
        <n v="65640.0"/>
        <n v="65641.0"/>
        <n v="65642.0"/>
        <n v="65643.0"/>
        <n v="65644.0"/>
        <n v="65645.0"/>
        <n v="65646.0"/>
        <n v="65647.0"/>
        <n v="65648.0"/>
        <n v="65649.0"/>
        <n v="65650.0"/>
        <n v="65651.0"/>
        <n v="65652.0"/>
        <n v="65653.0"/>
        <n v="65654.0"/>
        <n v="65655.0"/>
        <n v="65656.0"/>
        <n v="65657.0"/>
        <n v="65658.0"/>
        <n v="65659.0"/>
        <n v="65660.0"/>
        <n v="65661.0"/>
        <n v="65662.0"/>
        <n v="65663.0"/>
        <n v="65664.0"/>
        <n v="65665.0"/>
        <n v="65666.0"/>
        <n v="65667.0"/>
        <n v="65668.0"/>
        <n v="65669.0"/>
        <n v="65670.0"/>
        <n v="65671.0"/>
        <n v="65672.0"/>
        <n v="65673.0"/>
        <n v="65676.0"/>
        <n v="65677.0"/>
        <n v="65678.0"/>
        <n v="65682.0"/>
        <n v="65683.0"/>
        <n v="65684.0"/>
        <n v="65685.0"/>
        <n v="65686.0"/>
        <n v="65687.0"/>
        <n v="65688.0"/>
        <n v="65690.0"/>
        <n v="65692.0"/>
        <n v="65693.0"/>
        <n v="65694.0"/>
        <n v="65695.0"/>
        <n v="65696.0"/>
        <n v="65697.0"/>
        <n v="65699.0"/>
        <n v="65700.0"/>
        <n v="65701.0"/>
        <n v="65702.0"/>
        <n v="65703.0"/>
        <n v="65704.0"/>
        <n v="65705.0"/>
        <n v="65706.0"/>
        <n v="65707.0"/>
        <n v="65709.0"/>
        <n v="65710.0"/>
        <n v="65712.0"/>
        <n v="65713.0"/>
        <n v="65714.0"/>
        <n v="65716.0"/>
        <n v="65717.0"/>
        <n v="65718.0"/>
        <n v="65719.0"/>
        <n v="65720.0"/>
        <n v="65721.0"/>
        <n v="65722.0"/>
        <n v="65723.0"/>
        <n v="65724.0"/>
        <n v="65725.0"/>
        <n v="65726.0"/>
        <n v="65727.0"/>
        <n v="65729.0"/>
        <n v="65730.0"/>
        <n v="65737.0"/>
        <n v="65740.0"/>
        <n v="65741.0"/>
        <n v="65742.0"/>
        <n v="65743.0"/>
        <n v="65744.0"/>
        <n v="65747.0"/>
        <n v="65748.0"/>
        <n v="65749.0"/>
        <n v="65750.0"/>
        <n v="65751.0"/>
        <n v="65752.0"/>
        <n v="65753.0"/>
        <n v="65755.0"/>
        <n v="65757.0"/>
        <n v="65758.0"/>
        <n v="65759.0"/>
        <n v="65761.0"/>
        <n v="65762.0"/>
        <n v="65765.0"/>
        <n v="65766.0"/>
        <n v="65768.0"/>
        <n v="65770.0"/>
        <m/>
      </sharedItems>
    </cacheField>
    <cacheField name="Names" numFmtId="0">
      <sharedItems containsBlank="1"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  <m/>
      </sharedItems>
    </cacheField>
    <cacheField name="Gender" numFmtId="0">
      <sharedItems containsBlank="1">
        <s v="Male"/>
        <s v="Female"/>
        <m/>
      </sharedItems>
    </cacheField>
    <cacheField name="Salutation" numFmtId="0">
      <sharedItems containsBlank="1">
        <s v="Mr."/>
        <s v="Ms."/>
        <m/>
      </sharedItems>
    </cacheField>
    <cacheField name="Proper Name" numFmtId="0">
      <sharedItems>
        <s v="Mr. Aarav Dutta"/>
        <s v="Mr.Dev Joshi"/>
        <s v="Aarav Dutta"/>
        <s v="Mr. Samarth Iyer"/>
        <s v="Ms. Mishka Jain"/>
        <s v="Ms. Ira Naidu"/>
        <s v="Mr. Aaryan Sinha"/>
        <s v="Mr. Arnav Nair"/>
        <s v="Ms. Lavanya Pillai"/>
        <s v="Mr. Aaryan Mehta"/>
        <s v="Ms. Diya Gupta"/>
        <s v="Mr. Kian Mishra"/>
        <s v="Mr. Ayaan Kapoor"/>
        <s v="Ms. Manya Malik"/>
        <s v="Mr. Laksh Dutta"/>
        <s v="Ms. Aaradhya Sharma"/>
        <s v="Ms. Ira Joshi"/>
        <s v="Mr. Samarth Nair"/>
        <s v="Mr. Sai Singh"/>
        <s v="Mr. Dev Sharma"/>
        <s v="Mr. Vihaan Pillai"/>
        <s v="Ms. Manya Pillai"/>
        <s v="Mr. Om Thakur"/>
        <s v="Ms. Naira Rao"/>
        <s v="Ms. Aarohi Reddy"/>
        <s v="Ms. Anvi Verma"/>
        <s v="Ms. Tara Sinha"/>
        <s v="Mr. Vihaan Jain"/>
        <s v="Ms. Diya Sharma"/>
        <s v="Mr. Vivaan Reddy"/>
        <s v="Ms. Saanvi Naidu"/>
        <s v="Ms. Riddhi Malik"/>
        <s v="Mr. Aaryan Bhatt"/>
        <s v="Ms. Charvi Bhatt"/>
        <s v="Mr. Aryan Nair"/>
        <s v="Mr. Aaryan Kumar"/>
        <s v="Mr. Samarth Kapoor"/>
        <s v="Ms. Gauri Chopra"/>
        <s v="Mr. Vivaan Singh"/>
        <s v="Ms. Vanya Malik"/>
        <s v="Ms. Ira Gupta"/>
        <s v="Mr. Laksh Kulkarni"/>
        <s v="Mr. Atharv Singh"/>
        <s v="Ms. Saanvi Kulkarni"/>
        <s v="Ms. Vanya Nair"/>
        <s v="Ms. Aarohi Gupta"/>
        <s v="Ms. Siya Jain"/>
        <s v="Mr. Sai Malik"/>
        <s v="Mr. Harsh Desai"/>
        <s v="Mr. Om Reddy"/>
        <s v="Ms. Diya Sinha"/>
        <s v="Mr. Harsh Verma"/>
        <s v="Ms. Mahira Gupta"/>
        <s v="Ms. Prisha Reddy"/>
        <s v="Ms. Naira Bhat"/>
        <s v="Ms. Inaaya Mishra"/>
        <s v="Mr. Kabir Thakur"/>
        <s v="Ms. Gauri Patel"/>
        <s v="Mr. Atharv Prasad"/>
        <s v="Mr. Kabir Nair"/>
        <s v="Ms. Kyra Verma"/>
        <s v="Ms. Myra Dutta"/>
        <s v="Mr. Samarth Jain"/>
        <s v="Mr. Krishna Thakur"/>
        <s v="Ms. Aarohi Sharma"/>
        <s v="Ms. Anaya Singh"/>
        <s v="Mr. Shaurya Pillai"/>
        <s v="Mr. Aryan Reddy"/>
        <s v="Ms. Vanya Bhatt"/>
        <s v="Ms. Aarohi Malik"/>
        <s v="Mr. Vihaan Kulkarni"/>
        <s v="Mr. Vihaan Reddy"/>
        <s v="Mr. Vihaan Rao"/>
        <s v="Mr. Shaurya Mishra"/>
        <s v="Mr. Vivaan Sharma"/>
        <s v="Mr. Raghav Iyer"/>
        <s v="Ms. Siya Desai"/>
        <s v="Mr. Kian Agarwal"/>
        <s v="Ms. Ira Thakur"/>
        <s v="Ms. Aarohi Chopra"/>
        <s v="Mr. Vivaan Patel"/>
        <s v="Ms. Siya Joshi"/>
        <s v="Mr. Siddharth Iyer"/>
        <s v="Ms. Manya Desai"/>
        <s v="Ms. Eva Sinha"/>
        <s v="Mr. Aaryan Nair"/>
        <s v="Ms. Avni Verma"/>
        <s v="Mr. Raghav Patel"/>
        <s v="Mr. Raghav Thakur"/>
        <s v="Mr. Raghav Chowdhury"/>
        <s v="Ms. Ira Kapoor"/>
        <s v="Mr. Aditya Chowdhury"/>
        <s v="Mr. Aditya Naidu"/>
        <s v="Mr. Arjun Naidu"/>
        <s v="Ms. Charvi Naidu"/>
        <s v="Ms. Ira Sinha"/>
        <s v="Mr. Rishi Verma"/>
        <s v="Mr. Aditya Bhatt"/>
        <s v="Mr. Dhanush Verma"/>
        <s v="Mr. Shivansh Thakur"/>
        <s v="Mr. Ayaan Reddy"/>
        <s v="Mr. Raghav Kumar"/>
        <s v="Mr. Aaryan Dutta"/>
        <s v="Mr. Arjun Chowdhury"/>
        <s v="Mr. Parth Kumar"/>
        <s v="Mr. Raghav Reddy"/>
        <s v="Mr. Raghav Bhat"/>
        <s v="Ms. Saanvi Kumar"/>
        <s v="Mr. Arnav Jain"/>
        <s v="Mr. Arjun Mehta"/>
        <s v="Ms. Kashvi Das"/>
        <s v="Ms. Vanya Naidu"/>
        <s v="Ms. Kyra Thakur"/>
        <s v="Ms. Charvi Gupta"/>
        <s v="Mr. Krishna Prasad"/>
        <s v="Mr. Shaurya Verma"/>
        <s v="Mr. Om Kulkarni"/>
        <s v="Mr. Arnav Malik"/>
        <s v="Mr. Dhanush Rao"/>
        <s v="Mr. Krishna Kapoor"/>
        <s v="Ms. Kashvi Verma"/>
        <s v="Mr. Kian Sharma"/>
        <s v="Ms. Navya Singh"/>
        <s v="Ms. Sara Nair"/>
        <s v="Ms. Gauri Joshi"/>
        <s v="Ms. Riddhi Sinha"/>
        <s v="Mr. Dev Kapoor"/>
        <s v="Mr. Kian Sinha"/>
        <s v="Ms. Aarohi Prasad"/>
        <s v="Ms. Charvi Malik"/>
        <s v="Ms. Avni Sinha"/>
        <s v="Ms. Avni Agarwal"/>
        <s v="Mr. Shivansh Jain"/>
        <s v="Mr. Aryan Bhatt"/>
        <s v="Mr. Ayaan Chowdhury"/>
        <s v="Ms. Naira Singh"/>
        <s v="Ms. Kyra Kumar"/>
        <s v="Ms. Anvi Chopra"/>
        <s v="Ms. Kyra Sinha"/>
        <s v="Mr. Reyansh Reddy"/>
        <s v="Ms. Avni Nair"/>
        <s v="Ms. Lavanya Verma"/>
        <s v="Ms. Myra Kulkarni"/>
        <s v="Ms. Mishka Pillai"/>
        <s v="Mr. Parth Rao"/>
        <s v="Ms. Inaaya Reddy"/>
        <s v="Ms. Vanya Gupta"/>
        <s v="Ms. Lavanya Reddy"/>
        <s v="Mr. Shivansh Bhat"/>
        <s v="Mr. Shivansh Mishra"/>
        <s v="Ms. Navya Iyer"/>
        <s v="Mr. Ishaan Singh"/>
        <s v="Mr. Krishna Desai"/>
        <s v="Mr. Reyansh Jain"/>
        <s v="Ms. Diya Desai"/>
        <s v="Ms. Vanya Sinha"/>
        <s v="Ms. Eva Chopra"/>
        <s v="Ms. Aaradhya Pillai"/>
        <s v="Ms. Riddhi Gupta"/>
        <s v="Mr. Raghav Gupta"/>
        <s v="Mr. Shaurya Bhatt"/>
        <s v="Ms. Kyra Malik"/>
        <s v="Ms. Mahira Agarwal"/>
        <s v="Mr. Arnav Sharma"/>
        <s v="Mr. Aryan Sharma"/>
        <s v="Ms. Kashvi Patel"/>
        <s v="Ms. Riddhi Kumar"/>
        <s v="Ms. Eva Malik"/>
        <s v="Ms. Tara Sharma"/>
        <s v="Ms. Saanvi Bhat"/>
        <s v="Mr. Shaurya Rao"/>
        <s v="Mr. Parth Das"/>
        <s v="Ms. Sara Chowdhury"/>
        <s v="Ms. Avni Bhatt"/>
        <s v="Ms. Manya Rao"/>
        <s v="Mr. Vihaan Patel"/>
        <s v="Mr. Rishi Agarwal"/>
        <s v="Ms. Naira Reddy"/>
        <s v="Ms. Charvi Chopra"/>
        <s v="Mr. Kabir Agarwal"/>
        <s v="Ms. Tara Patel"/>
        <s v="Ms. Eva Verma"/>
        <s v="Mr. Rishi Sinha"/>
        <s v="Ms. Diya Rao"/>
        <s v="Ms. Saanvi Dutta"/>
        <s v="Ms. Riddhi Sharma"/>
        <s v="Mr. Sai Jain"/>
        <s v="Ms. Anvi Agarwal"/>
        <s v="Ms. Prisha Mishra"/>
        <s v="Ms. Anaya Patel"/>
        <s v="Mr. Raghav Singh"/>
        <s v="Mr. Aarav Mishra"/>
        <s v="Mr. Shaurya Sharma"/>
        <s v="Ms. Inaaya Nair"/>
        <s v="Ms. Aarohi Mehta"/>
        <s v="Ms. Tara Chopra"/>
        <s v="Ms. Myra Agarwal"/>
        <s v="Mr. Ayaan Singh"/>
        <s v="Mr. Vihaan Malik"/>
        <s v="Mr. Dhanush Singh"/>
        <s v="Mr. Aarav Das"/>
        <s v="Ms. Aaradhya Chowdhury"/>
        <s v="Mr. Vihaan Sinha"/>
        <s v="Ms. Shanaya Chowdhury"/>
        <s v="Mr. Reyansh Patel"/>
        <s v="Mr. Arjun Verma"/>
        <s v="Mr. Anirudh Agarwal"/>
        <s v="Ms. Saanvi Singh"/>
        <s v="Ms. Sara Agarwal"/>
        <s v="Ms. Ira Kulkarni"/>
        <s v="Ms. Myra Bhat"/>
        <s v="Ms. Diya Jain"/>
        <s v="Ms. Shanaya Agarwal"/>
        <s v="Mr. Rishi Rao"/>
        <s v="Ms. Charvi Bhat"/>
        <s v="Mr. Arnav Chowdhury"/>
        <s v="Ms. Inaaya Das"/>
        <s v="Mr. Atharv Iyer"/>
        <s v="Mr. Harsh Kulkarni"/>
        <s v="Ms. Ira Pillai"/>
        <s v="Ms. Mishka Singh"/>
        <s v="Ms. Anaya Thakur"/>
        <s v="Mr. Ishaan Gupta"/>
        <s v="Ms. Aadhya Naidu"/>
        <s v="Ms. Aadhya Kapoor"/>
        <s v="Mr. Anirudh Mehta"/>
        <s v="Ms. Aadhya Das"/>
        <s v="Mr. Yashvi Patel"/>
        <s v="Mr. Reyansh Dutta"/>
        <s v="Mr. Kian Rao"/>
        <s v="Ms. Navya Mishra"/>
        <s v="Ms. Naira Bhatt"/>
        <s v="Mr. Vivaan Desai"/>
        <s v="Mr. Kabir Mishra"/>
        <s v="Ms. Kyra Sharma"/>
        <s v="Mr. Ishaan Agarwal"/>
        <s v="Ms. Shanaya Sinha"/>
        <s v="Ms. Ira Bhat"/>
        <s v="Ms. Avni Mishra"/>
        <s v="Mr. Samarth Kulkarni"/>
        <s v="Mr. Harsh Rao"/>
        <s v="Mr. Vivaan Iyer"/>
        <s v="Mr. Reyansh Sharma"/>
        <s v="Ms. Gauri Thakur"/>
        <s v="Ms. Charvi Kulkarni"/>
        <s v="Ms. Mahira Chopra"/>
        <s v="Mr. Raghav Pillai"/>
        <s v="Mr. Shivansh Sinha"/>
        <s v="Ms. Lavanya Bhatt"/>
        <s v="Ms. Shanaya Kumar"/>
        <s v="Mr. Ishaan Kulkarni"/>
        <s v="Ms. Anvi Mehta"/>
        <s v="Mr. Sai Kumar"/>
        <s v="Ms. Prisha Chopra"/>
        <s v="Mr. Aarav Chowdhury"/>
        <s v="Mr. Anirudh Singh"/>
        <s v="Mr. Rishi Malik"/>
        <s v="Mr. Shaurya Singh"/>
        <s v="Mr. Samarth Sinha"/>
        <s v="Mr. Yashvi Verma"/>
        <s v="Ms. Aadhya Pillai"/>
        <s v="Ms. Vanya Desai"/>
        <s v="Ms. Inaaya Gupta"/>
        <s v="Ms. Sara Mehta"/>
        <s v="Ms. Aadhya Dutta"/>
        <s v="Mr. Ayaan Mehta"/>
        <s v="Ms. Riddhi Rao"/>
        <s v="Mr. Kabir Verma"/>
        <s v="Ms. Aadhya Malik"/>
        <s v="Mr. Arjun Chopra"/>
        <s v="Ms. Sara Dutta"/>
        <s v="Mr. Om Gupta"/>
        <s v="Ms. Lavanya Bhat"/>
        <s v="Ms. Anvi Iyer"/>
        <s v="Mr. Aditya Patel"/>
        <s v="Mr. Samarth Agarwal"/>
        <s v="Ms. Sara Verma"/>
        <s v="Ms. Siya Kapoor"/>
        <s v="Ms. Naira Gupta"/>
        <s v="Ms. Aadhya Sinha"/>
        <s v="Ms. Diya Pillai"/>
        <s v="Ms. Anvi Nair"/>
        <s v="Mr. Vivaan Mishra"/>
        <s v="Mr. Ayaan Malik"/>
        <s v="Ms. Anvi Bhatt"/>
        <s v="Mr. Samarth Patel"/>
        <s v="Ms. Shanaya Pillai"/>
        <s v="Ms. Mahira Sinha"/>
        <s v="Mr. Samarth Dutta"/>
        <s v="Mr. Shivansh Kumar"/>
        <s v="Ms. Aaradhya Gupta"/>
        <s v="Mr. Rudra Iyer"/>
        <s v="Ms. Mishka Sinha"/>
        <s v="Mr. Aditya Nair"/>
        <s v="Mr. Samarth Rao"/>
        <s v="Ms. Ira Rao"/>
        <s v="Ms. Diya Mehta"/>
        <s v="Mr. Shivansh Agarwal"/>
        <s v="Mr. Ayaan Bhat"/>
        <s v="Ms. Diya Prasad"/>
        <s v="Ms. Anvi Dutta"/>
        <s v="Mr. Dhanush Sinha"/>
        <s v="Ms. Anaya Kumar"/>
        <s v="Mr. Arnav Dutta"/>
        <s v="Mr. Kian Bhatt"/>
        <s v="Ms. Gauri Desai"/>
        <s v="Ms. Eva Iyer"/>
        <s v="Ms. Aarohi Pillai"/>
        <s v="Mr. Om Rao"/>
        <s v="Mr. Aryan Dutta"/>
        <s v="Ms. Siya Malik"/>
        <s v="Mr. Kian Kumar"/>
        <s v="Mr. Reyansh Gupta"/>
        <s v="Ms. Kyra Patel"/>
        <s v="Mr. Dhanush Gupta"/>
        <s v="Ms. Mishka Sharma"/>
        <s v="Mr. Vivaan Agarwal"/>
        <s v="Mr. Ayaan Verma"/>
        <s v="Mr. Kian Dutta"/>
        <s v="Ms. Shanaya Jain"/>
        <s v="Mr. Dev Reddy"/>
        <s v="Ms. Sara Chopra"/>
        <s v="Ms. Mishka Nair"/>
        <s v="Ms. Aadhya Verma"/>
        <s v="Ms. Siya Chopra"/>
        <s v="Ms. Vanya Jain"/>
        <s v="Ms. Vanya Rao"/>
        <s v="Ms. Aarohi Mishra"/>
        <s v="Mr. Kabir Naidu"/>
        <s v="Mr. Rishi Naidu"/>
        <s v="Ms. Riddhi Bhat"/>
        <s v="Mr. Atharv Bhatt"/>
        <s v="Ms. Navya Bhat"/>
        <s v="Ms. Kyra Agarwal"/>
        <s v="Ms. Ira Dutta"/>
        <s v="Ms. Tara Mehta"/>
        <s v="Mr. Shaurya Naidu"/>
        <s v="Mr. Siddharth Thakur"/>
        <s v="Ms. Siya Bhatt"/>
        <s v="Ms. Avni Reddy"/>
        <s v="Mr. Shivansh Sharma"/>
        <s v="Ms. Kashvi Naidu"/>
        <s v="Mr. Krishna Iyer"/>
        <s v="Ms. Siya Agarwal"/>
        <s v="Mr. Arnav Patel"/>
        <s v="Ms. Charvi Das"/>
        <s v="Mr. Krishna Singh"/>
        <s v="Ms. Siya Sharma"/>
        <s v="Ms. Inaaya Sharma"/>
        <s v="Mr. Reyansh Prasad"/>
        <s v="Ms. Saanvi Patel"/>
        <s v="Ms. Siya Das"/>
        <s v="Ms. Aaradhya Prasad"/>
        <s v="Mr. Siddharth Verma"/>
        <s v="Mr. Rishi Mishra"/>
        <s v="Mr. Krishna Sharma"/>
        <s v="Mr. Rudra Jain"/>
        <s v="Ms. Charvi Kapoor"/>
        <s v="Mr. Ishaan Mehta"/>
        <s v="Mr. Ishaan Bhat"/>
        <s v="Ms. Myra Chowdhury"/>
        <s v="Ms. Tara Naidu"/>
        <s v="Mr. Kian Chopra"/>
        <s v="Ms. Anvi Gupta"/>
        <s v="Ms. Mishka Bhatt"/>
        <s v="Mr. Parth Chopra"/>
        <s v="Ms. Lavanya Jain"/>
        <s v="Mr. Rishi Joshi"/>
        <s v="Mr. Dev Sinha"/>
        <s v="Ms. Diya Kulkarni"/>
        <s v="Ms. Anaya Agarwal"/>
        <s v="Ms. Kashvi Iyer"/>
        <s v="Mr. Ishaan Joshi"/>
        <s v="Mr. Aditya Chopra"/>
        <s v="Ms. Aadhya Chowdhury"/>
        <s v="Ms. Prisha Kumar"/>
        <s v="Mr. Laksh Agarwal"/>
        <s v="Mr. Aaryan Bhat"/>
        <s v="Mr. Parth Desai"/>
        <s v="Ms. Aadhya Thakur"/>
        <s v="Mr. Aryan Kumar"/>
        <s v="Ms. Anvi Prasad"/>
        <s v="Ms. Gauri Malik"/>
        <s v="Mr. Aarav Chopra"/>
        <s v="Mr. Arnav Bhat"/>
        <s v="Ms. Anvi Singh"/>
        <s v="Mr. Ishaan Sharma"/>
        <s v="Mr. Sai Pillai"/>
        <s v="Ms. Inaaya Kulkarni"/>
        <s v="Mr. Ishaan Kapoor"/>
        <s v="Mr. Arnav Verma"/>
        <s v="Ms. Diya Naidu"/>
        <s v="Ms. Mahira Naidu"/>
        <s v="Mr. Aarav Prasad"/>
        <s v="Ms. Kyra Chopra"/>
        <s v="Mr. Rishi Reddy"/>
        <s v="Ms. Ira Patel"/>
        <s v="Ms. Mahira Iyer"/>
        <s v="Mr. Raghav Jain"/>
        <s v="Ms. Siya Bhat"/>
        <s v="Mr. Aarav Sinha"/>
        <s v="Mr. Kabir Rao"/>
        <s v="Mr. Arnav Mishra"/>
        <s v="Mr. Kabir Patel"/>
        <s v="Ms. Riddhi Prasad"/>
        <s v="Ms. Ira Verma"/>
        <s v="Ms. Inaaya Bhatt"/>
        <s v="Mr. Laksh Das"/>
        <s v="Ms. Navya Malik"/>
        <s v="Ms. Lavanya Patel"/>
        <s v="Ms. Anaya Sharma"/>
        <s v="Ms. Mahira Chowdhury"/>
        <s v="Ms. Siya Sinha"/>
        <s v="Ms. Aaradhya Mehta"/>
        <s v="Ms. Sara Das"/>
        <s v="Ms. Manya Sharma"/>
        <s v="Mr. Ishaan Chopra"/>
        <s v="Mr. Vivaan Bhatt"/>
        <s v="Ms. Aadhya Bhatt"/>
        <s v="Ms. Diya Agarwal"/>
        <s v="Ms. Charvi Kumar"/>
        <s v="Ms. Aaradhya Iyer"/>
        <s v="Mr. Yashvi Singh"/>
        <s v="Ms. Gauri Iyer"/>
        <s v="Mr. Shivansh Rao"/>
        <s v="Ms. Prisha Bhat"/>
        <s v="Mr. Rudra Sharma"/>
        <s v="Ms. Diya Mishra"/>
        <s v="Ms. Naira Kulkarni"/>
        <s v="Mr. Atharv Agarwal"/>
        <s v="Ms. Ira Iyer"/>
        <s v="Ms. Mahira Malik"/>
        <s v="Ms. Avni Mehta"/>
        <s v="Ms. Avni Sharma"/>
        <s v="Ms. Sara Prasad"/>
        <s v="Ms. Tara Dutta"/>
        <s v="Mr. Dhanush Pillai"/>
        <s v="Mr. Aryan Mehta"/>
        <s v="Mr. Aaryan Desai"/>
        <s v="Ms. Avni Kumar"/>
        <s v="Ms. Anvi Chowdhury"/>
        <s v="Mr. Sai Verma"/>
        <s v="Mr. Arjun Gupta"/>
        <s v="Mr. Shaurya Chopra"/>
        <s v="Mr. Reyansh Naidu"/>
        <s v="Mr. Ishaan Desai"/>
        <s v="Mr. Siddharth Jain"/>
        <s v="Mr. Reyansh Kapoor"/>
        <s v="Mr. Aarav Malik"/>
        <s v="Ms. Gauri Bhat"/>
        <s v="Mr. Atharv Joshi"/>
        <s v="Ms. Sara Kumar"/>
        <s v="Ms. Riddhi Mishra"/>
        <s v="Ms. Vanya Chowdhury"/>
        <s v="Ms. Prisha Verma"/>
        <s v="Mr. Rudra Verma"/>
        <s v="Mr. Siddharth Gupta"/>
        <s v="Ms. Eva Rao"/>
        <s v="Mr. Aditya Kulkarni"/>
        <s v="Ms. Aaradhya Das"/>
        <s v="Ms. Sara Sharma"/>
        <s v="Mr. Shivansh Naidu"/>
        <s v="Ms. Siya Naidu"/>
        <s v="Mr. Vivaan Chowdhury"/>
        <s v="Ms. Avni Joshi"/>
        <s v="Ms. Anvi Rao"/>
        <s v="Mr. Reyansh Verma"/>
        <s v="Mr. Reyansh Desai"/>
        <s v="Mr. Rishi Kapoor"/>
        <s v="Mr. Shaurya Kapoor"/>
        <s v="Mr. Kabir Kapoor"/>
        <s v="Ms. Charvi Jain"/>
        <s v="Mr. Vihaan Mehta"/>
        <s v="Mr. Sai Das"/>
        <s v="Ms. Inaaya Prasad"/>
        <s v="Mr. Dhanush Bhat"/>
        <s v="Ms. Myra Sharma"/>
        <s v="Mr. Vihaan Prasad"/>
        <s v="Mr. Vivaan Sinha"/>
        <s v="Ms. Siya Verma"/>
        <s v="Mr. Om Malik"/>
        <s v="Mr. Laksh Chopra"/>
        <s v="Mr. Rishi Thakur"/>
        <s v="Mr. Parth Bhat"/>
        <s v="Ms. Lavanya Dutta"/>
        <s v="Ms. Aadhya Desai"/>
        <s v="Mr. Siddharth Bhat"/>
        <s v="Ms. Aarohi Iyer"/>
        <s v="Mr. Om Sinha"/>
        <s v="Mr. Arjun Nair"/>
        <s v="Mr. Rudra Nair"/>
        <s v="Ms. Ira Sharma"/>
        <s v="Mr. Vihaan Bhatt"/>
        <s v="Mr. Raghav Dutta"/>
        <s v="Mr. Aarav Patel"/>
        <s v="Mr. Arnav Singh"/>
        <s v="Mr. Ishaan Reddy"/>
        <s v="Mr. Kabir Desai"/>
        <s v="Ms. Anvi Patel"/>
        <s v="Mr. Ishaan Pillai"/>
        <s v="Ms. Siya Gupta"/>
        <s v="Ms. Kyra Prasad"/>
        <s v="Mr. Shaurya Agarwal"/>
        <s v="Mr. Atharv Nair"/>
        <s v="Mr. Aaryan Rao"/>
        <s v="Ms. Naira Mehta"/>
        <s v="Mr. Yashvi Naidu"/>
        <s v="Mr. Rishi Kulkarni"/>
        <s v="Mr. Dhanush Dutta"/>
        <s v="Ms. Eva Bhat"/>
        <s v="Mr. Kabir Reddy"/>
        <s v="Mr. Krishna Patel"/>
        <s v="Ms. Ira Desai"/>
        <s v="Mr. Krishna Jain"/>
        <s v="Mr. Krishna Agarwal"/>
        <s v="Ms. Mishka Rao"/>
        <s v="Ms. Avni Singh"/>
        <s v="Mr. Arjun Thakur"/>
        <s v="Ms. Shanaya Bhatt"/>
        <s v="Ms. Aaradhya Thakur"/>
        <s v="Mr. Aarav Kumar"/>
        <s v="Ms. Inaaya Rao"/>
        <s v="Ms. Myra Kumar"/>
        <s v="Mr. Raghav Sinha"/>
        <s v="Ms. Vanya Joshi"/>
        <s v="Mr. Reyansh Pillai"/>
        <s v="Mr. Siddharth Naidu"/>
        <s v="Ms. Aaradhya Joshi"/>
        <s v="Mr. Vivaan Rao"/>
        <s v="Ms. Vanya Kapoor"/>
        <s v="Ms. Sara Joshi"/>
        <s v="Ms. Manya Mishra"/>
        <s v="Ms. Vanya Verma"/>
        <s v="Ms. Riddhi Iyer"/>
        <s v="Mr. Sai Mishra"/>
        <s v="Ms. Anvi Pillai"/>
        <s v="Ms. Manya Kumar"/>
        <s v="Ms. Manya Naidu"/>
        <s v="Ms. Tara Rao"/>
        <s v="Mr. Arnav Das"/>
        <s v="Mr. Dev Kumar"/>
        <s v="Ms. Tara Joshi"/>
        <s v="Mr. Ayaan Prasad"/>
        <s v="Mr. Rudra Patel"/>
        <s v="Mr. Harsh Malik"/>
        <s v="Mr. Arjun Rao"/>
        <s v="Mr. Atharv Sharma"/>
        <s v="Ms. Inaaya Pillai"/>
        <s v="Ms. Kashvi Sinha"/>
        <s v="Mr. Yashvi Kulkarni"/>
        <s v="Ms. Siya Patel"/>
        <s v="Mr. Rishi Das"/>
        <s v="Mr. Rishi Dutta"/>
        <s v="Mr. Samarth Pillai"/>
        <s v="Mr. Ayaan Agarwal"/>
        <s v="Ms. Lavanya Mishra"/>
        <s v="Ms. Sara Mishra"/>
        <s v="Ms. Naira Sinha"/>
        <s v="Mr. Shivansh Mehta"/>
        <s v="Ms. Inaaya Desai"/>
        <s v="Mr. Aaryan Thakur"/>
        <s v="Ms. Myra Bhatt"/>
        <s v="Ms. Gauri Sinha"/>
        <s v="Mr. Dev Verma"/>
        <s v="Ms. Charvi Thakur"/>
        <s v="Ms. Saanvi Chopra"/>
        <s v="Mr. Yashvi Mishra"/>
        <s v="Mr. Arjun Patel"/>
        <s v="Ms. Saanvi Bhatt"/>
        <s v="Mr. Yashvi Mehta"/>
        <s v="Mr. Om Mehta"/>
        <s v="Ms. Sara Pillai"/>
        <s v="Ms. Sara Bhatt"/>
        <s v="Mr. Sai Kapoor"/>
        <s v="Mr. Atharv Bhat"/>
        <s v="Mr. Dev Chowdhury"/>
        <s v="Mr. Ayaan Joshi"/>
        <s v="Mr. Samarth Malik"/>
        <s v="Mr. Anirudh Bhat"/>
        <s v="Ms. Prisha Naidu"/>
        <s v="Ms. Aadhya Chopra"/>
        <s v="Mr. Ayaan Dutta"/>
        <s v="Ms. Lavanya Iyer"/>
        <s v="Mr. Krishna Rao"/>
        <s v="Ms. Anaya Chopra"/>
        <s v="Mr. Aarav Bhat"/>
        <s v="Mr. Yashvi Iyer"/>
        <s v="Mr. Raghav Rao"/>
        <s v="Ms. Charvi Joshi"/>
        <s v="Ms. Naira Desai"/>
        <s v="Ms. Naira Das"/>
        <s v="Mr. Aaryan Verma"/>
        <s v="Ms. Anvi Kulkarni"/>
        <s v="Mr. Ayaan Naidu"/>
        <s v="Ms. Lavanya Das"/>
        <s v="Ms. Diya Joshi"/>
        <s v="Mr. Harsh Prasad"/>
        <s v="Mr. Om Patel"/>
        <s v="Ms. Aarohi Joshi"/>
        <s v="Mr. Anirudh Nair"/>
        <s v="Mr. Samarth Desai"/>
        <s v="Mr. Kabir Chowdhury"/>
        <s v="Mr. Dhanush Iyer"/>
        <s v="Ms. Anvi Mishra"/>
        <s v="Ms. Aadhya Mehta"/>
        <s v="Ms. Manya Nair"/>
        <s v="Ms. Aarohi Sinha"/>
        <s v="Ms. Gauri Jain"/>
        <s v="Ms. Kyra Das"/>
        <s v="Mr. Ayaan Thakur"/>
        <s v="Mr. Harsh Sharma"/>
        <s v="Mr. Reyansh Kulkarni"/>
        <s v="Mr. Om Chowdhury"/>
        <s v="Ms. Anaya Reddy"/>
        <s v="Mr. Arnav Agarwal"/>
        <s v="Mr. Laksh Bhat"/>
        <s v="Mr. Vihaan Dutta"/>
        <s v="Ms. Naira Naidu"/>
        <s v="Mr. Arnav Kulkarni"/>
        <s v="Ms. Mahira Rao"/>
        <s v="Mr. Rudra Kulkarni"/>
        <s v="Mr. Parth Sinha"/>
        <s v="Mr. Krishna Malik"/>
        <s v="Mr. Yashvi Prasad"/>
        <s v="Ms. Shanaya Das"/>
        <s v="Mr. Vihaan Mishra"/>
        <s v="Mr. Vivaan Kulkarni"/>
        <s v="Mr. Krishna Nair"/>
        <s v="Mr. Om Chopra"/>
        <s v="Mr. Rishi Desai"/>
        <s v="Mr. Aarav Naidu"/>
        <s v="Mr. Aaryan Kapoor"/>
        <s v="Mr. Om Dutta"/>
        <s v="Ms. Saanvi Malik"/>
        <s v="Mr. Arjun Jain"/>
        <s v="Mr. Parth Jain"/>
        <s v="Mr. Rudra Kumar"/>
        <s v="Ms. Kyra Iyer"/>
        <s v="Mr. Rudra Chopra"/>
        <s v="Mr. Arnav Rao"/>
        <s v="Mr. Kian Mehta"/>
        <s v="Ms. Myra Desai"/>
        <s v="Mr. Aryan Das"/>
        <s v="Ms. Vanya Pillai"/>
        <s v="Mr. Siddharth Das"/>
        <s v="Mr. Laksh Sharma"/>
        <s v="Mr. Aditya Mishra"/>
        <s v="Mr. Yashvi Dutta"/>
        <s v="Mr. Parth Mishra"/>
        <s v="Mr. Ayaan Rao"/>
        <s v="Mr. Ishaan Prasad"/>
        <s v="Mr. Reyansh Malik"/>
        <s v="Mr. Shaurya Desai"/>
        <s v="Mr. Aditya Jain"/>
        <s v="Ms. Kashvi Dutta"/>
        <s v="Ms. Siya Kulkarni"/>
        <s v="Mr. Yashvi Sharma"/>
        <s v="Ms. Eva Reddy"/>
        <s v="Mr. Om Iyer"/>
        <s v="Ms. Aarohi Agarwal"/>
        <s v="Ms. Vanya Mehta"/>
        <s v="Mr. Laksh Prasad"/>
        <s v="Ms. Mahira Desai"/>
        <s v="Ms. Aaradhya Bhat"/>
        <s v="Mr. Anirudh Bhatt"/>
        <s v="Ms. Manya Reddy"/>
        <s v="Ms. Manya Thakur"/>
        <s v="Ms. Kyra Nair"/>
        <s v="Ms. Charvi Iyer"/>
        <s v="Ms. Avni Das"/>
        <s v="Mr. Parth Chowdhury"/>
        <s v="Mr. Aditya Sinha"/>
        <s v="Mr. Reyansh Nair"/>
        <s v="Mr. Laksh Kapoor"/>
        <s v="Mr. Anirudh Gupta"/>
        <s v="Ms. Navya Kapoor"/>
        <s v="Ms. Kashvi Mehta"/>
        <s v="Mr. Sai Chowdhury"/>
        <s v="Ms. Aaradhya Dutta"/>
        <s v="Mr. Shaurya Kumar"/>
        <s v="Ms. Charvi Agarwal"/>
        <s v="Mr. Dev Prasad"/>
        <s v="Mr. Aarav Iyer"/>
        <s v="Ms. Aaradhya Chopra"/>
        <s v="Mr. Sai Sharma"/>
        <s v="Mr. Rudra Thakur"/>
        <s v="Mr. Parth Patel"/>
        <s v="Ms. Aaradhya Kumar"/>
        <s v="Ms. Diya Bhatt"/>
        <s v="Mr. Vivaan Mehta"/>
        <s v="Ms. Eva Jain"/>
        <s v="Ms. Charvi Nair"/>
        <s v="Ms. Myra Rao"/>
        <s v="Ms. Mishka Joshi"/>
        <s v="Mr. Dhanush Nair"/>
        <s v="Ms. Mahira Prasad"/>
        <s v="Mr. Dev Nair"/>
        <s v="Ms. Kashvi Bhatt"/>
        <s v="Ms. Avni Chopra"/>
        <s v="Ms. Prisha Prasad"/>
        <s v="Ms. Siya Thakur"/>
        <s v="Ms. Saanvi Joshi"/>
        <s v="Ms. Ira Mishra"/>
        <s v="Mr. Yashvi Thakur"/>
        <s v="Ms. Riddhi Reddy"/>
        <s v="Ms. Mishka Patel"/>
        <s v="Mr. Krishna Reddy"/>
        <s v="Ms. Charvi Mehta"/>
        <s v="Mr. Anirudh Reddy"/>
        <s v="Mr. Atharv Patel"/>
        <s v="Mr. Sai Thakur"/>
        <s v="Mr. Samarth Thakur"/>
        <s v="Mr. Kabir Iyer"/>
        <s v="Ms. Myra Malik"/>
        <s v="Mr. Dev Gupta"/>
        <s v="Ms. Avni Desai"/>
        <s v="Ms. Kyra Bhat"/>
        <s v="Mr. Reyansh Agarwal"/>
        <s v="Ms. Tara Kumar"/>
        <s v="Ms. Tara Gupta"/>
        <s v="Mr. Aditya Verma"/>
        <s v="Ms. Manya Agarwal"/>
        <s v="Mr. Reyansh Bhatt"/>
        <s v="Mr. Kian Bhat"/>
        <s v="Ms. Saanvi Mishra"/>
        <s v="Mr. Om Kumar"/>
        <s v="Mr. Atharv Dutta"/>
        <s v="Mr. Parth Agarwal"/>
        <s v="Ms. Myra Joshi"/>
        <s v="Ms. Inaaya Chopra"/>
        <s v="Ms. Tara Singh"/>
        <s v="Mr. Dev Naidu"/>
        <s v="Mr. Aryan Patel"/>
        <s v="Ms. Shanaya Mishra"/>
        <s v="Ms. Mahira Singh"/>
        <s v="Mr. Aaryan Malik"/>
        <s v="Ms. Manya Bhat"/>
        <s v="Mr. Om Das"/>
        <s v="Mr. Kabir Bhat"/>
        <s v="Mr. Kabir Mehta"/>
        <s v="Ms. Diya Verma"/>
        <s v="Ms. Naira Nair"/>
        <s v="Mr. Shivansh Iyer"/>
        <s v="Ms. Lavanya Kapoor"/>
        <s v="Mr. Sai Desai"/>
        <s v="Ms. Gauri Mehta"/>
        <s v="Mr. Anirudh Sinha"/>
        <s v="Ms. Eva Singh"/>
        <s v="Ms. Kashvi Kulkarni"/>
        <s v="Ms. Aaradhya Desai"/>
        <s v="Mr. Dev Malik"/>
        <s v="Ms. Prisha Pillai"/>
        <s v="Ms. Aarohi Kapoor"/>
        <s v="Mr. Ayaan Kumar"/>
        <s v="Mr. Arnav Joshi"/>
        <s v="Mr. Sai Sinha"/>
        <s v="Mr. Arnav Desai"/>
        <s v="Ms. Sara Singh"/>
        <s v="Mr. Vihaan Singh"/>
        <s v="Mr. Rudra Bhatt"/>
        <s v="Ms. Saanvi Gupta"/>
        <s v="Mr. Arjun Sinha"/>
        <s v="Mr. Aditya Sharma"/>
        <s v="Ms. Navya Mehta"/>
        <s v="Mr. Om Desai"/>
        <s v="Mr. Aryan Singh"/>
        <s v="Mr. Reyansh Chowdhury"/>
        <s v="Mr. Dev Mishra"/>
        <s v="Ms. Vanya Sharma"/>
        <s v="Mr. Sai Agarwal"/>
        <s v="Ms. Saanvi Thakur"/>
        <s v="Mr. Sai Patel"/>
        <s v=" "/>
      </sharedItems>
    </cacheField>
    <cacheField name="First Name" numFmtId="0">
      <sharedItems containsBlank="1">
        <s v="Aarav"/>
        <s v="Dev"/>
        <s v="Manya"/>
        <s v="Samarth"/>
        <s v="Mishka"/>
        <s v="Ira"/>
        <s v="Aaryan"/>
        <s v="Arnav"/>
        <s v="Lavanya"/>
        <s v="Diya"/>
        <s v="Kian"/>
        <s v="Ayaan"/>
        <s v="Laksh"/>
        <s v="Aaradhya"/>
        <s v="Sai"/>
        <s v="Vihaan"/>
        <s v="Om"/>
        <s v="Naira"/>
        <s v="Aarohi"/>
        <s v="Anvi"/>
        <s v="Tara"/>
        <s v="Vivaan"/>
        <s v="Saanvi"/>
        <s v="Riddhi"/>
        <s v="Charvi"/>
        <s v="Aryan"/>
        <s v="Gauri"/>
        <s v="Vanya"/>
        <s v="Atharv"/>
        <s v="Siya"/>
        <s v="Harsh"/>
        <s v="Mahira"/>
        <s v="Prisha"/>
        <s v="Inaaya"/>
        <s v="Kabir"/>
        <s v="Kyra"/>
        <s v="Myra"/>
        <s v="Krishna"/>
        <s v="Anaya"/>
        <s v="Shaurya"/>
        <s v="Raghav"/>
        <s v="Siddharth"/>
        <s v="Eva"/>
        <s v="Avni"/>
        <s v="Aditya"/>
        <s v="Arjun"/>
        <s v="Rishi"/>
        <s v="Dhanush"/>
        <s v="Shivansh"/>
        <s v="Parth"/>
        <s v="Kashvi"/>
        <s v="Navya"/>
        <s v="Sara"/>
        <s v="Reyansh"/>
        <s v="Ishaan"/>
        <s v="Shanaya"/>
        <s v="Anirudh"/>
        <s v="Aadhya"/>
        <s v="Yashvi"/>
        <s v="Rudra"/>
        <m/>
      </sharedItems>
    </cacheField>
    <cacheField name="Last Name" numFmtId="0">
      <sharedItems containsBlank="1">
        <s v="Dutta"/>
        <s v="Joshi"/>
        <s v="Sharma"/>
        <s v="Iyer"/>
        <s v="Jain"/>
        <s v="Naidu"/>
        <s v="Sinha"/>
        <s v="Nair"/>
        <s v="Pillai"/>
        <s v="Mehta"/>
        <s v="Gupta"/>
        <s v="Mishra"/>
        <s v="Kapoor"/>
        <s v="Malik"/>
        <s v="Singh"/>
        <s v="Thakur"/>
        <s v="Rao"/>
        <s v="Reddy"/>
        <s v="Verma"/>
        <s v="Bhatt"/>
        <s v="Kumar"/>
        <s v="Chopra"/>
        <s v="Kulkarni"/>
        <s v="Desai"/>
        <s v="Bhat"/>
        <s v="Patel"/>
        <s v="Prasad"/>
        <s v="Agarwal"/>
        <s v="Chowdhury"/>
        <s v="Das"/>
        <m/>
      </sharedItems>
    </cacheField>
    <cacheField name="Region" numFmtId="0">
      <sharedItems containsBlank="1">
        <s v="West"/>
        <s v="North"/>
        <s v="South"/>
        <s v="East"/>
        <m/>
      </sharedItems>
    </cacheField>
    <cacheField name="PassingYear" numFmtId="0">
      <sharedItems containsString="0" containsBlank="1" containsNumber="1" containsInteger="1">
        <n v="2022.0"/>
        <n v="2020.0"/>
        <n v="2019.0"/>
        <n v="2024.0"/>
        <n v="2023.0"/>
        <n v="2016.0"/>
        <n v="2018.0"/>
        <n v="2025.0"/>
        <n v="2021.0"/>
        <n v="2026.0"/>
        <n v="2017.0"/>
        <n v="2027.0"/>
        <n v="2028.0"/>
        <n v="2013.0"/>
        <n v="2014.0"/>
        <n v="2002.0"/>
        <n v="2009.0"/>
        <n v="2012.0"/>
        <n v="2029.0"/>
        <n v="2015.0"/>
        <n v="2003.0"/>
        <n v="2006.0"/>
        <m/>
      </sharedItems>
    </cacheField>
    <cacheField name="Price" numFmtId="0">
      <sharedItems containsString="0" containsBlank="1" containsNumber="1" containsInteger="1">
        <n v="5000.0"/>
        <n v="10000.0"/>
        <m/>
      </sharedItems>
    </cacheField>
    <cacheField name="Payment Status" numFmtId="0">
      <sharedItems>
        <s v="Pending"/>
        <s v="Completed"/>
        <s v="Payment in Process"/>
        <s v="Lowest Average Total Points"/>
      </sharedItems>
    </cacheField>
    <cacheField name="TotalPoints">
      <sharedItems containsMixedTypes="1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  <s v="Which region has the lowest user registrations'!B2="/>
      </sharedItems>
    </cacheField>
    <cacheField name="Signup Device" numFmtId="0">
      <sharedItems containsBlank="1">
        <s v="Mobile"/>
        <s v="Web"/>
        <s v="Tablet"/>
        <m/>
      </sharedItems>
    </cacheField>
    <cacheField name="Streak" numFmtId="0">
      <sharedItems containsString="0" containsBlank="1" containsNumber="1" containsInteger="1">
        <n v="7.0"/>
        <n v="40.0"/>
        <n v="22.0"/>
        <n v="76.0"/>
        <n v="19.0"/>
        <n v="2.0"/>
        <n v="63.0"/>
        <n v="59.0"/>
        <n v="43.0"/>
        <n v="27.0"/>
        <n v="70.0"/>
        <n v="18.0"/>
        <n v="50.0"/>
        <n v="21.0"/>
        <n v="9.0"/>
        <n v="54.0"/>
        <n v="33.0"/>
        <n v="16.0"/>
        <n v="47.0"/>
        <n v="65.0"/>
        <n v="46.0"/>
        <n v="6.0"/>
        <n v="55.0"/>
        <n v="75.0"/>
        <n v="28.0"/>
        <n v="5.0"/>
        <n v="60.0"/>
        <n v="64.0"/>
        <n v="62.0"/>
        <n v="29.0"/>
        <n v="49.0"/>
        <n v="14.0"/>
        <n v="67.0"/>
        <n v="0.0"/>
        <n v="80.0"/>
        <n v="10.0"/>
        <n v="26.0"/>
        <n v="4.0"/>
        <n v="12.0"/>
        <n v="8.0"/>
        <n v="57.0"/>
        <n v="39.0"/>
        <n v="3.0"/>
        <n v="77.0"/>
        <n v="56.0"/>
        <n v="1.0"/>
        <n v="66.0"/>
        <n v="69.0"/>
        <n v="34.0"/>
        <n v="51.0"/>
        <n v="71.0"/>
        <n v="68.0"/>
        <n v="42.0"/>
        <n v="35.0"/>
        <n v="79.0"/>
        <n v="30.0"/>
        <n v="15.0"/>
        <n v="25.0"/>
        <n v="31.0"/>
        <n v="37.0"/>
        <n v="13.0"/>
        <n v="52.0"/>
        <n v="36.0"/>
        <n v="61.0"/>
        <n v="23.0"/>
        <n v="24.0"/>
        <n v="32.0"/>
        <n v="45.0"/>
        <n v="44.0"/>
        <n v="53.0"/>
        <n v="48.0"/>
        <n v="41.0"/>
        <n v="17.0"/>
        <n v="58.0"/>
        <n v="20.0"/>
        <n v="72.0"/>
        <n v="73.0"/>
        <n v="38.0"/>
        <n v="74.0"/>
        <n v="78.0"/>
        <n v="11.0"/>
        <m/>
      </sharedItems>
    </cacheField>
    <cacheField name="Course Name" numFmtId="0">
      <sharedItems containsBlank="1">
        <s v="Competitive Coding"/>
        <s v="Kickstarting Web Dev"/>
        <s v="Data Structure and Algorithms"/>
        <m/>
      </sharedItems>
    </cacheField>
    <cacheField name="DegreeCategories - DegreeCategoryId → Name" numFmtId="0">
      <sharedItems containsBlank="1">
        <s v="BE / BTech - Non CS / IT"/>
        <s v="BCA / MCA"/>
        <s v="BE / BTech - CS / IT"/>
        <s v="Non-Coding, Non Engineering"/>
        <s v="Diploma"/>
        <m/>
      </sharedItems>
    </cacheField>
    <cacheField name="Total Collected " numFmtId="0">
      <sharedItems containsString="0" containsBlank="1" containsNumber="1" containsInteger="1">
        <n v="430000.0"/>
        <n v="400000.0"/>
        <n v="910000.0"/>
        <n v="635000.0"/>
        <n v="25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1" sheet="Data"/>
  </cacheSource>
  <cacheFields>
    <cacheField name="ID" numFmtId="0">
      <sharedItems containsSemiMixedTypes="0" containsString="0" containsNumber="1" containsInteger="1">
        <n v="64576.0"/>
        <n v="64578.0"/>
        <n v="64580.0"/>
        <n v="64582.0"/>
        <n v="64583.0"/>
        <n v="64584.0"/>
        <n v="64585.0"/>
        <n v="64586.0"/>
        <n v="64588.0"/>
        <n v="64595.0"/>
        <n v="64596.0"/>
        <n v="64599.0"/>
        <n v="64600.0"/>
        <n v="64601.0"/>
        <n v="64602.0"/>
        <n v="64603.0"/>
        <n v="64604.0"/>
        <n v="64605.0"/>
        <n v="64606.0"/>
        <n v="64607.0"/>
        <n v="64608.0"/>
        <n v="64609.0"/>
        <n v="64610.0"/>
        <n v="64611.0"/>
        <n v="64612.0"/>
        <n v="64613.0"/>
        <n v="64614.0"/>
        <n v="64618.0"/>
        <n v="64619.0"/>
        <n v="64620.0"/>
        <n v="64621.0"/>
        <n v="64622.0"/>
        <n v="64624.0"/>
        <n v="64625.0"/>
        <n v="64626.0"/>
        <n v="64627.0"/>
        <n v="64628.0"/>
        <n v="64629.0"/>
        <n v="64630.0"/>
        <n v="64631.0"/>
        <n v="64632.0"/>
        <n v="64633.0"/>
        <n v="64634.0"/>
        <n v="64635.0"/>
        <n v="64636.0"/>
        <n v="64637.0"/>
        <n v="64638.0"/>
        <n v="64639.0"/>
        <n v="64640.0"/>
        <n v="64641.0"/>
        <n v="64643.0"/>
        <n v="64644.0"/>
        <n v="64645.0"/>
        <n v="64647.0"/>
        <n v="64648.0"/>
        <n v="64649.0"/>
        <n v="64650.0"/>
        <n v="64651.0"/>
        <n v="64652.0"/>
        <n v="64653.0"/>
        <n v="64654.0"/>
        <n v="64656.0"/>
        <n v="64657.0"/>
        <n v="64658.0"/>
        <n v="64659.0"/>
        <n v="64660.0"/>
        <n v="64661.0"/>
        <n v="64662.0"/>
        <n v="64663.0"/>
        <n v="64664.0"/>
        <n v="64665.0"/>
        <n v="64666.0"/>
        <n v="64667.0"/>
        <n v="64669.0"/>
        <n v="64670.0"/>
        <n v="64671.0"/>
        <n v="64672.0"/>
        <n v="64673.0"/>
        <n v="64677.0"/>
        <n v="64680.0"/>
        <n v="64681.0"/>
        <n v="64682.0"/>
        <n v="64683.0"/>
        <n v="64684.0"/>
        <n v="64685.0"/>
        <n v="64686.0"/>
        <n v="64687.0"/>
        <n v="64690.0"/>
        <n v="64691.0"/>
        <n v="64692.0"/>
        <n v="64693.0"/>
        <n v="64698.0"/>
        <n v="64699.0"/>
        <n v="64700.0"/>
        <n v="64701.0"/>
        <n v="64702.0"/>
        <n v="64703.0"/>
        <n v="64704.0"/>
        <n v="64705.0"/>
        <n v="64708.0"/>
        <n v="64709.0"/>
        <n v="64710.0"/>
        <n v="64711.0"/>
        <n v="64712.0"/>
        <n v="64713.0"/>
        <n v="64714.0"/>
        <n v="64715.0"/>
        <n v="64716.0"/>
        <n v="64717.0"/>
        <n v="64718.0"/>
        <n v="64719.0"/>
        <n v="64720.0"/>
        <n v="64721.0"/>
        <n v="64722.0"/>
        <n v="64723.0"/>
        <n v="64724.0"/>
        <n v="64725.0"/>
        <n v="64728.0"/>
        <n v="64729.0"/>
        <n v="64730.0"/>
        <n v="64731.0"/>
        <n v="64732.0"/>
        <n v="64733.0"/>
        <n v="64734.0"/>
        <n v="64735.0"/>
        <n v="64738.0"/>
        <n v="64739.0"/>
        <n v="64741.0"/>
        <n v="64742.0"/>
        <n v="64743.0"/>
        <n v="64744.0"/>
        <n v="64745.0"/>
        <n v="64746.0"/>
        <n v="64747.0"/>
        <n v="64748.0"/>
        <n v="64749.0"/>
        <n v="64750.0"/>
        <n v="64751.0"/>
        <n v="64752.0"/>
        <n v="64753.0"/>
        <n v="64754.0"/>
        <n v="64756.0"/>
        <n v="64757.0"/>
        <n v="64758.0"/>
        <n v="64759.0"/>
        <n v="64760.0"/>
        <n v="64761.0"/>
        <n v="64762.0"/>
        <n v="64763.0"/>
        <n v="64764.0"/>
        <n v="64765.0"/>
        <n v="64766.0"/>
        <n v="64767.0"/>
        <n v="64768.0"/>
        <n v="64769.0"/>
        <n v="64770.0"/>
        <n v="64771.0"/>
        <n v="64772.0"/>
        <n v="64774.0"/>
        <n v="64775.0"/>
        <n v="64776.0"/>
        <n v="64777.0"/>
        <n v="64778.0"/>
        <n v="64779.0"/>
        <n v="64780.0"/>
        <n v="64781.0"/>
        <n v="64782.0"/>
        <n v="64783.0"/>
        <n v="64785.0"/>
        <n v="64786.0"/>
        <n v="64787.0"/>
        <n v="64788.0"/>
        <n v="64789.0"/>
        <n v="64790.0"/>
        <n v="64791.0"/>
        <n v="64792.0"/>
        <n v="64793.0"/>
        <n v="64794.0"/>
        <n v="64795.0"/>
        <n v="64796.0"/>
        <n v="64797.0"/>
        <n v="64798.0"/>
        <n v="64799.0"/>
        <n v="64800.0"/>
        <n v="64802.0"/>
        <n v="64803.0"/>
        <n v="64804.0"/>
        <n v="64805.0"/>
        <n v="64806.0"/>
        <n v="64807.0"/>
        <n v="64808.0"/>
        <n v="64809.0"/>
        <n v="64810.0"/>
        <n v="64813.0"/>
        <n v="64814.0"/>
        <n v="64815.0"/>
        <n v="64816.0"/>
        <n v="64817.0"/>
        <n v="64818.0"/>
        <n v="64820.0"/>
        <n v="64821.0"/>
        <n v="64822.0"/>
        <n v="64823.0"/>
        <n v="64824.0"/>
        <n v="64825.0"/>
        <n v="64826.0"/>
        <n v="64827.0"/>
        <n v="64828.0"/>
        <n v="64829.0"/>
        <n v="64830.0"/>
        <n v="64831.0"/>
        <n v="64832.0"/>
        <n v="64833.0"/>
        <n v="64834.0"/>
        <n v="64835.0"/>
        <n v="64836.0"/>
        <n v="64837.0"/>
        <n v="64838.0"/>
        <n v="64839.0"/>
        <n v="64840.0"/>
        <n v="64841.0"/>
        <n v="64842.0"/>
        <n v="64843.0"/>
        <n v="64844.0"/>
        <n v="64845.0"/>
        <n v="64846.0"/>
        <n v="64848.0"/>
        <n v="64849.0"/>
        <n v="64851.0"/>
        <n v="64852.0"/>
        <n v="64853.0"/>
        <n v="64854.0"/>
        <n v="64855.0"/>
        <n v="64856.0"/>
        <n v="64857.0"/>
        <n v="64858.0"/>
        <n v="64859.0"/>
        <n v="64860.0"/>
        <n v="64861.0"/>
        <n v="64862.0"/>
        <n v="64863.0"/>
        <n v="64864.0"/>
        <n v="64865.0"/>
        <n v="64866.0"/>
        <n v="64867.0"/>
        <n v="64868.0"/>
        <n v="64872.0"/>
        <n v="64873.0"/>
        <n v="64874.0"/>
        <n v="64875.0"/>
        <n v="64878.0"/>
        <n v="64879.0"/>
        <n v="64880.0"/>
        <n v="64881.0"/>
        <n v="64882.0"/>
        <n v="64883.0"/>
        <n v="64884.0"/>
        <n v="64885.0"/>
        <n v="64886.0"/>
        <n v="64887.0"/>
        <n v="64889.0"/>
        <n v="64890.0"/>
        <n v="64891.0"/>
        <n v="64892.0"/>
        <n v="64894.0"/>
        <n v="64895.0"/>
        <n v="64896.0"/>
        <n v="64897.0"/>
        <n v="64899.0"/>
        <n v="64900.0"/>
        <n v="64902.0"/>
        <n v="64903.0"/>
        <n v="64904.0"/>
        <n v="64905.0"/>
        <n v="64906.0"/>
        <n v="64907.0"/>
        <n v="64908.0"/>
        <n v="64909.0"/>
        <n v="64910.0"/>
        <n v="64911.0"/>
        <n v="64912.0"/>
        <n v="64913.0"/>
        <n v="64916.0"/>
        <n v="64917.0"/>
        <n v="64919.0"/>
        <n v="64920.0"/>
        <n v="64921.0"/>
        <n v="64922.0"/>
        <n v="64923.0"/>
        <n v="64924.0"/>
        <n v="64925.0"/>
        <n v="64926.0"/>
        <n v="64927.0"/>
        <n v="64928.0"/>
        <n v="64929.0"/>
        <n v="64930.0"/>
        <n v="64931.0"/>
        <n v="64932.0"/>
        <n v="64933.0"/>
        <n v="64934.0"/>
        <n v="64935.0"/>
        <n v="64936.0"/>
        <n v="64937.0"/>
        <n v="64938.0"/>
        <n v="64939.0"/>
        <n v="64940.0"/>
        <n v="64941.0"/>
        <n v="64942.0"/>
        <n v="64944.0"/>
        <n v="64946.0"/>
        <n v="64947.0"/>
        <n v="64948.0"/>
        <n v="64949.0"/>
        <n v="64950.0"/>
        <n v="64952.0"/>
        <n v="64953.0"/>
        <n v="64957.0"/>
        <n v="64958.0"/>
        <n v="64959.0"/>
        <n v="64960.0"/>
        <n v="64961.0"/>
        <n v="64962.0"/>
        <n v="64963.0"/>
        <n v="64964.0"/>
        <n v="64965.0"/>
        <n v="64966.0"/>
        <n v="64967.0"/>
        <n v="64968.0"/>
        <n v="64970.0"/>
        <n v="64971.0"/>
        <n v="64972.0"/>
        <n v="64973.0"/>
        <n v="64974.0"/>
        <n v="64975.0"/>
        <n v="64976.0"/>
        <n v="64977.0"/>
        <n v="64978.0"/>
        <n v="64979.0"/>
        <n v="64980.0"/>
        <n v="64981.0"/>
        <n v="64982.0"/>
        <n v="64983.0"/>
        <n v="64984.0"/>
        <n v="64985.0"/>
        <n v="64986.0"/>
        <n v="64987.0"/>
        <n v="64988.0"/>
        <n v="64990.0"/>
        <n v="64991.0"/>
        <n v="64992.0"/>
        <n v="64993.0"/>
        <n v="64995.0"/>
        <n v="64997.0"/>
        <n v="64998.0"/>
        <n v="64999.0"/>
        <n v="65000.0"/>
        <n v="65001.0"/>
        <n v="65002.0"/>
        <n v="65003.0"/>
        <n v="65004.0"/>
        <n v="65005.0"/>
        <n v="65006.0"/>
        <n v="65007.0"/>
        <n v="65008.0"/>
        <n v="65009.0"/>
        <n v="65013.0"/>
        <n v="65014.0"/>
        <n v="65015.0"/>
        <n v="65016.0"/>
        <n v="65017.0"/>
        <n v="65018.0"/>
        <n v="65019.0"/>
        <n v="65022.0"/>
        <n v="65023.0"/>
        <n v="65024.0"/>
        <n v="65025.0"/>
        <n v="65026.0"/>
        <n v="65028.0"/>
        <n v="65029.0"/>
        <n v="65030.0"/>
        <n v="65031.0"/>
        <n v="65033.0"/>
        <n v="65034.0"/>
        <n v="65035.0"/>
        <n v="65036.0"/>
        <n v="65037.0"/>
        <n v="65038.0"/>
        <n v="65039.0"/>
        <n v="65040.0"/>
        <n v="65041.0"/>
        <n v="65042.0"/>
        <n v="65043.0"/>
        <n v="65044.0"/>
        <n v="65045.0"/>
        <n v="65046.0"/>
        <n v="65047.0"/>
        <n v="65048.0"/>
        <n v="65049.0"/>
        <n v="65050.0"/>
        <n v="65051.0"/>
        <n v="65052.0"/>
        <n v="65055.0"/>
        <n v="65056.0"/>
        <n v="65057.0"/>
        <n v="65058.0"/>
        <n v="65061.0"/>
        <n v="65062.0"/>
        <n v="65063.0"/>
        <n v="65064.0"/>
        <n v="65065.0"/>
        <n v="65066.0"/>
        <n v="65067.0"/>
        <n v="65068.0"/>
        <n v="65069.0"/>
        <n v="65071.0"/>
        <n v="65072.0"/>
        <n v="65073.0"/>
        <n v="65074.0"/>
        <n v="65075.0"/>
        <n v="65076.0"/>
        <n v="65077.0"/>
        <n v="65078.0"/>
        <n v="65079.0"/>
        <n v="65080.0"/>
        <n v="65081.0"/>
        <n v="65082.0"/>
        <n v="65083.0"/>
        <n v="65084.0"/>
        <n v="65086.0"/>
        <n v="65087.0"/>
        <n v="65089.0"/>
        <n v="65090.0"/>
        <n v="65091.0"/>
        <n v="65092.0"/>
        <n v="65094.0"/>
        <n v="65095.0"/>
        <n v="65096.0"/>
        <n v="65098.0"/>
        <n v="65099.0"/>
        <n v="65100.0"/>
        <n v="65102.0"/>
        <n v="65104.0"/>
        <n v="65105.0"/>
        <n v="65106.0"/>
        <n v="65107.0"/>
        <n v="65108.0"/>
        <n v="65109.0"/>
        <n v="65110.0"/>
        <n v="65111.0"/>
        <n v="65112.0"/>
        <n v="65113.0"/>
        <n v="65114.0"/>
        <n v="65115.0"/>
        <n v="65116.0"/>
        <n v="65117.0"/>
        <n v="65118.0"/>
        <n v="65119.0"/>
        <n v="65120.0"/>
        <n v="65121.0"/>
        <n v="65122.0"/>
        <n v="65123.0"/>
        <n v="65124.0"/>
        <n v="65125.0"/>
        <n v="65126.0"/>
        <n v="65127.0"/>
        <n v="65128.0"/>
        <n v="65129.0"/>
        <n v="65130.0"/>
        <n v="65131.0"/>
        <n v="65132.0"/>
        <n v="65133.0"/>
        <n v="65134.0"/>
        <n v="65136.0"/>
        <n v="65137.0"/>
        <n v="65138.0"/>
        <n v="65139.0"/>
        <n v="65140.0"/>
        <n v="65141.0"/>
        <n v="65142.0"/>
        <n v="65143.0"/>
        <n v="65144.0"/>
        <n v="65146.0"/>
        <n v="65147.0"/>
        <n v="65148.0"/>
        <n v="65149.0"/>
        <n v="65150.0"/>
        <n v="65151.0"/>
        <n v="65152.0"/>
        <n v="65153.0"/>
        <n v="65154.0"/>
        <n v="65155.0"/>
        <n v="65156.0"/>
        <n v="65157.0"/>
        <n v="65158.0"/>
        <n v="65159.0"/>
        <n v="65160.0"/>
        <n v="65161.0"/>
        <n v="65162.0"/>
        <n v="65163.0"/>
        <n v="65164.0"/>
        <n v="65165.0"/>
        <n v="65166.0"/>
        <n v="65167.0"/>
        <n v="65168.0"/>
        <n v="65169.0"/>
        <n v="65170.0"/>
        <n v="65171.0"/>
        <n v="65172.0"/>
        <n v="65173.0"/>
        <n v="65174.0"/>
        <n v="65176.0"/>
        <n v="65177.0"/>
        <n v="65178.0"/>
        <n v="65179.0"/>
        <n v="65180.0"/>
        <n v="65181.0"/>
        <n v="65182.0"/>
        <n v="65183.0"/>
        <n v="65184.0"/>
        <n v="65185.0"/>
        <n v="65186.0"/>
        <n v="65187.0"/>
        <n v="65189.0"/>
        <n v="65190.0"/>
        <n v="65191.0"/>
        <n v="65192.0"/>
        <n v="65194.0"/>
        <n v="65195.0"/>
        <n v="65196.0"/>
        <n v="65197.0"/>
        <n v="65198.0"/>
        <n v="65199.0"/>
        <n v="65200.0"/>
        <n v="65201.0"/>
        <n v="65202.0"/>
        <n v="65203.0"/>
        <n v="65204.0"/>
        <n v="65205.0"/>
        <n v="65206.0"/>
        <n v="65207.0"/>
        <n v="65208.0"/>
        <n v="65209.0"/>
        <n v="65210.0"/>
        <n v="65213.0"/>
        <n v="65214.0"/>
        <n v="65215.0"/>
        <n v="65216.0"/>
        <n v="65217.0"/>
        <n v="65218.0"/>
        <n v="65219.0"/>
        <n v="65220.0"/>
        <n v="65222.0"/>
        <n v="65223.0"/>
        <n v="65225.0"/>
        <n v="65226.0"/>
        <n v="65227.0"/>
        <n v="65228.0"/>
        <n v="65229.0"/>
        <n v="65230.0"/>
        <n v="65231.0"/>
        <n v="65232.0"/>
        <n v="65233.0"/>
        <n v="65234.0"/>
        <n v="65235.0"/>
        <n v="65236.0"/>
        <n v="65237.0"/>
        <n v="65238.0"/>
        <n v="65239.0"/>
        <n v="65240.0"/>
        <n v="65241.0"/>
        <n v="65242.0"/>
        <n v="65244.0"/>
        <n v="65245.0"/>
        <n v="65246.0"/>
        <n v="65251.0"/>
        <n v="65252.0"/>
        <n v="65253.0"/>
        <n v="65254.0"/>
        <n v="65259.0"/>
        <n v="65260.0"/>
        <n v="65261.0"/>
        <n v="65262.0"/>
        <n v="65264.0"/>
        <n v="65265.0"/>
        <n v="65266.0"/>
        <n v="65267.0"/>
        <n v="65268.0"/>
        <n v="65269.0"/>
        <n v="65270.0"/>
        <n v="65271.0"/>
        <n v="65272.0"/>
        <n v="65274.0"/>
        <n v="65275.0"/>
        <n v="65276.0"/>
        <n v="65277.0"/>
        <n v="65278.0"/>
        <n v="65280.0"/>
        <n v="65281.0"/>
        <n v="65282.0"/>
        <n v="65283.0"/>
        <n v="65284.0"/>
        <n v="65285.0"/>
        <n v="65287.0"/>
        <n v="65288.0"/>
        <n v="65294.0"/>
        <n v="65295.0"/>
        <n v="65296.0"/>
        <n v="65297.0"/>
        <n v="65298.0"/>
        <n v="65299.0"/>
        <n v="65300.0"/>
        <n v="65301.0"/>
        <n v="65304.0"/>
        <n v="65305.0"/>
        <n v="65306.0"/>
        <n v="65307.0"/>
        <n v="65308.0"/>
        <n v="65309.0"/>
        <n v="65310.0"/>
        <n v="65311.0"/>
        <n v="65312.0"/>
        <n v="65313.0"/>
        <n v="65314.0"/>
        <n v="65315.0"/>
        <n v="65316.0"/>
        <n v="65317.0"/>
        <n v="65318.0"/>
        <n v="65319.0"/>
        <n v="65320.0"/>
        <n v="65321.0"/>
        <n v="65322.0"/>
        <n v="65323.0"/>
        <n v="65324.0"/>
        <n v="65325.0"/>
        <n v="65326.0"/>
        <n v="65327.0"/>
        <n v="65328.0"/>
        <n v="65329.0"/>
        <n v="65330.0"/>
        <n v="65331.0"/>
        <n v="65332.0"/>
        <n v="65334.0"/>
        <n v="65338.0"/>
        <n v="65339.0"/>
        <n v="65340.0"/>
        <n v="65341.0"/>
        <n v="65344.0"/>
        <n v="65345.0"/>
        <n v="65346.0"/>
        <n v="65347.0"/>
        <n v="65348.0"/>
        <n v="65350.0"/>
        <n v="65351.0"/>
        <n v="65352.0"/>
        <n v="65353.0"/>
        <n v="65354.0"/>
        <n v="65355.0"/>
        <n v="65356.0"/>
        <n v="65357.0"/>
        <n v="65358.0"/>
        <n v="65359.0"/>
        <n v="65360.0"/>
        <n v="65361.0"/>
        <n v="65362.0"/>
        <n v="65363.0"/>
        <n v="65364.0"/>
        <n v="65365.0"/>
        <n v="65366.0"/>
        <n v="65367.0"/>
        <n v="65368.0"/>
        <n v="65369.0"/>
        <n v="65370.0"/>
        <n v="65371.0"/>
        <n v="65372.0"/>
        <n v="65373.0"/>
        <n v="65374.0"/>
        <n v="65375.0"/>
        <n v="65376.0"/>
        <n v="65377.0"/>
        <n v="65379.0"/>
        <n v="65380.0"/>
        <n v="65381.0"/>
        <n v="65382.0"/>
        <n v="65383.0"/>
        <n v="65384.0"/>
        <n v="65385.0"/>
        <n v="65386.0"/>
        <n v="65387.0"/>
        <n v="65388.0"/>
        <n v="65389.0"/>
        <n v="65390.0"/>
        <n v="65391.0"/>
        <n v="65392.0"/>
        <n v="65393.0"/>
        <n v="65394.0"/>
        <n v="65395.0"/>
        <n v="65396.0"/>
        <n v="65399.0"/>
        <n v="65400.0"/>
        <n v="65401.0"/>
        <n v="65402.0"/>
        <n v="65403.0"/>
        <n v="65404.0"/>
        <n v="65405.0"/>
        <n v="65408.0"/>
        <n v="65409.0"/>
        <n v="65410.0"/>
        <n v="65411.0"/>
        <n v="65412.0"/>
        <n v="65413.0"/>
        <n v="65415.0"/>
        <n v="65416.0"/>
        <n v="65417.0"/>
        <n v="65418.0"/>
        <n v="65419.0"/>
        <n v="65420.0"/>
        <n v="65425.0"/>
        <n v="65427.0"/>
        <n v="65428.0"/>
        <n v="65429.0"/>
        <n v="65430.0"/>
        <n v="65431.0"/>
        <n v="65432.0"/>
        <n v="65433.0"/>
        <n v="65434.0"/>
        <n v="65435.0"/>
        <n v="65436.0"/>
        <n v="65437.0"/>
        <n v="65439.0"/>
        <n v="65440.0"/>
        <n v="65441.0"/>
        <n v="65442.0"/>
        <n v="65443.0"/>
        <n v="65444.0"/>
        <n v="65445.0"/>
        <n v="65446.0"/>
        <n v="65447.0"/>
        <n v="65448.0"/>
        <n v="65449.0"/>
        <n v="65450.0"/>
        <n v="65451.0"/>
        <n v="65452.0"/>
        <n v="65453.0"/>
        <n v="65454.0"/>
        <n v="65455.0"/>
        <n v="65457.0"/>
        <n v="65458.0"/>
        <n v="65459.0"/>
        <n v="65460.0"/>
        <n v="65461.0"/>
        <n v="65462.0"/>
        <n v="65463.0"/>
        <n v="65464.0"/>
        <n v="65465.0"/>
        <n v="65467.0"/>
        <n v="65468.0"/>
        <n v="65469.0"/>
        <n v="65470.0"/>
        <n v="65471.0"/>
        <n v="65472.0"/>
        <n v="65473.0"/>
        <n v="65474.0"/>
        <n v="65475.0"/>
        <n v="65476.0"/>
        <n v="65479.0"/>
        <n v="65480.0"/>
        <n v="65481.0"/>
        <n v="65482.0"/>
        <n v="65483.0"/>
        <n v="65484.0"/>
        <n v="65485.0"/>
        <n v="65486.0"/>
        <n v="65487.0"/>
        <n v="65489.0"/>
        <n v="65490.0"/>
        <n v="65491.0"/>
        <n v="65492.0"/>
        <n v="65493.0"/>
        <n v="65494.0"/>
        <n v="65495.0"/>
        <n v="65496.0"/>
        <n v="65497.0"/>
        <n v="65498.0"/>
        <n v="65499.0"/>
        <n v="65500.0"/>
        <n v="65501.0"/>
        <n v="65502.0"/>
        <n v="65503.0"/>
        <n v="65504.0"/>
        <n v="65505.0"/>
        <n v="65506.0"/>
        <n v="65507.0"/>
        <n v="65508.0"/>
        <n v="65509.0"/>
        <n v="65510.0"/>
        <n v="65511.0"/>
        <n v="65512.0"/>
        <n v="65513.0"/>
        <n v="65514.0"/>
        <n v="65516.0"/>
        <n v="65517.0"/>
        <n v="65518.0"/>
        <n v="65519.0"/>
        <n v="65521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65544.0"/>
        <n v="65546.0"/>
        <n v="65547.0"/>
        <n v="65548.0"/>
        <n v="65549.0"/>
        <n v="65550.0"/>
        <n v="65551.0"/>
        <n v="65552.0"/>
        <n v="65553.0"/>
        <n v="65554.0"/>
        <n v="65555.0"/>
        <n v="65556.0"/>
        <n v="65557.0"/>
        <n v="65558.0"/>
        <n v="65559.0"/>
        <n v="65560.0"/>
        <n v="65561.0"/>
        <n v="65562.0"/>
        <n v="65563.0"/>
        <n v="65564.0"/>
        <n v="65565.0"/>
        <n v="65566.0"/>
        <n v="65567.0"/>
        <n v="65569.0"/>
        <n v="65570.0"/>
        <n v="65571.0"/>
        <n v="65572.0"/>
        <n v="65574.0"/>
        <n v="65575.0"/>
        <n v="65576.0"/>
        <n v="65577.0"/>
        <n v="65578.0"/>
        <n v="65579.0"/>
        <n v="65580.0"/>
        <n v="65581.0"/>
        <n v="65582.0"/>
        <n v="65583.0"/>
        <n v="65585.0"/>
        <n v="65586.0"/>
        <n v="65589.0"/>
        <n v="65590.0"/>
        <n v="65591.0"/>
        <n v="65592.0"/>
        <n v="65594.0"/>
        <n v="65595.0"/>
        <n v="65596.0"/>
        <n v="65597.0"/>
        <n v="65598.0"/>
        <n v="65599.0"/>
        <n v="65600.0"/>
        <n v="65601.0"/>
        <n v="65602.0"/>
        <n v="65603.0"/>
        <n v="65604.0"/>
        <n v="65605.0"/>
        <n v="65606.0"/>
        <n v="65608.0"/>
        <n v="65609.0"/>
        <n v="65612.0"/>
        <n v="65615.0"/>
        <n v="65617.0"/>
        <n v="65618.0"/>
        <n v="65619.0"/>
        <n v="65621.0"/>
        <n v="65622.0"/>
        <n v="65623.0"/>
        <n v="65625.0"/>
        <n v="65626.0"/>
        <n v="65631.0"/>
        <n v="65632.0"/>
        <n v="65633.0"/>
        <n v="65634.0"/>
        <n v="65635.0"/>
        <n v="65637.0"/>
        <n v="65638.0"/>
        <n v="65640.0"/>
        <n v="65641.0"/>
        <n v="65642.0"/>
        <n v="65643.0"/>
        <n v="65644.0"/>
        <n v="65645.0"/>
        <n v="65646.0"/>
        <n v="65647.0"/>
        <n v="65648.0"/>
        <n v="65649.0"/>
        <n v="65650.0"/>
        <n v="65651.0"/>
        <n v="65652.0"/>
        <n v="65653.0"/>
        <n v="65654.0"/>
        <n v="65655.0"/>
        <n v="65656.0"/>
        <n v="65657.0"/>
        <n v="65658.0"/>
        <n v="65659.0"/>
        <n v="65660.0"/>
        <n v="65661.0"/>
        <n v="65662.0"/>
        <n v="65663.0"/>
        <n v="65664.0"/>
        <n v="65665.0"/>
        <n v="65666.0"/>
        <n v="65667.0"/>
        <n v="65668.0"/>
        <n v="65669.0"/>
        <n v="65670.0"/>
        <n v="65671.0"/>
        <n v="65672.0"/>
        <n v="65673.0"/>
        <n v="65676.0"/>
        <n v="65677.0"/>
        <n v="65678.0"/>
        <n v="65682.0"/>
        <n v="65683.0"/>
        <n v="65684.0"/>
        <n v="65685.0"/>
        <n v="65686.0"/>
        <n v="65687.0"/>
        <n v="65688.0"/>
        <n v="65690.0"/>
        <n v="65692.0"/>
        <n v="65693.0"/>
        <n v="65694.0"/>
        <n v="65695.0"/>
        <n v="65696.0"/>
        <n v="65697.0"/>
        <n v="65699.0"/>
        <n v="65700.0"/>
        <n v="65701.0"/>
        <n v="65702.0"/>
        <n v="65703.0"/>
        <n v="65704.0"/>
        <n v="65705.0"/>
        <n v="65706.0"/>
        <n v="65707.0"/>
        <n v="65709.0"/>
        <n v="65710.0"/>
        <n v="65712.0"/>
        <n v="65713.0"/>
        <n v="65714.0"/>
        <n v="65716.0"/>
        <n v="65717.0"/>
        <n v="65718.0"/>
        <n v="65719.0"/>
        <n v="65720.0"/>
        <n v="65721.0"/>
        <n v="65722.0"/>
        <n v="65723.0"/>
        <n v="65724.0"/>
        <n v="65725.0"/>
        <n v="65726.0"/>
        <n v="65727.0"/>
        <n v="65729.0"/>
        <n v="65730.0"/>
        <n v="65737.0"/>
        <n v="65740.0"/>
        <n v="65741.0"/>
        <n v="65742.0"/>
        <n v="65743.0"/>
        <n v="65744.0"/>
        <n v="65747.0"/>
        <n v="65748.0"/>
        <n v="65749.0"/>
        <n v="65750.0"/>
        <n v="65751.0"/>
        <n v="65752.0"/>
        <n v="65753.0"/>
        <n v="65755.0"/>
        <n v="65757.0"/>
        <n v="65758.0"/>
        <n v="65759.0"/>
        <n v="65761.0"/>
        <n v="65762.0"/>
        <n v="65765.0"/>
        <n v="65766.0"/>
        <n v="65768.0"/>
        <n v="65770.0"/>
      </sharedItems>
    </cacheField>
    <cacheField name="Names" numFmtId="0">
      <sharedItems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</sharedItems>
    </cacheField>
    <cacheField name="Gender" numFmtId="0">
      <sharedItems>
        <s v="Male"/>
        <s v="Female"/>
      </sharedItems>
    </cacheField>
    <cacheField name="Salutation" numFmtId="0">
      <sharedItems>
        <s v="Mr."/>
        <s v="Ms."/>
      </sharedItems>
    </cacheField>
    <cacheField name="Proper Name" numFmtId="0">
      <sharedItems>
        <s v="Mr. Aarav Dutta"/>
        <s v="Mr.Dev Joshi"/>
        <s v="Aarav Dutta"/>
        <s v="Mr. Samarth Iyer"/>
        <s v="Ms. Mishka Jain"/>
        <s v="Ms. Ira Naidu"/>
        <s v="Mr. Aaryan Sinha"/>
        <s v="Mr. Arnav Nair"/>
        <s v="Ms. Lavanya Pillai"/>
        <s v="Mr. Aaryan Mehta"/>
        <s v="Ms. Diya Gupta"/>
        <s v="Mr. Kian Mishra"/>
        <s v="Mr. Ayaan Kapoor"/>
        <s v="Ms. Manya Malik"/>
        <s v="Mr. Laksh Dutta"/>
        <s v="Ms. Aaradhya Sharma"/>
        <s v="Ms. Ira Joshi"/>
        <s v="Mr. Samarth Nair"/>
        <s v="Mr. Sai Singh"/>
        <s v="Mr. Dev Sharma"/>
        <s v="Mr. Vihaan Pillai"/>
        <s v="Ms. Manya Pillai"/>
        <s v="Mr. Om Thakur"/>
        <s v="Ms. Naira Rao"/>
        <s v="Ms. Aarohi Reddy"/>
        <s v="Ms. Anvi Verma"/>
        <s v="Ms. Tara Sinha"/>
        <s v="Mr. Vihaan Jain"/>
        <s v="Ms. Diya Sharma"/>
        <s v="Mr. Vivaan Reddy"/>
        <s v="Ms. Saanvi Naidu"/>
        <s v="Ms. Riddhi Malik"/>
        <s v="Mr. Aaryan Bhatt"/>
        <s v="Ms. Charvi Bhatt"/>
        <s v="Mr. Aryan Nair"/>
        <s v="Mr. Aaryan Kumar"/>
        <s v="Mr. Samarth Kapoor"/>
        <s v="Ms. Gauri Chopra"/>
        <s v="Mr. Vivaan Singh"/>
        <s v="Ms. Vanya Malik"/>
        <s v="Ms. Ira Gupta"/>
        <s v="Mr. Laksh Kulkarni"/>
        <s v="Mr. Atharv Singh"/>
        <s v="Ms. Saanvi Kulkarni"/>
        <s v="Ms. Vanya Nair"/>
        <s v="Ms. Aarohi Gupta"/>
        <s v="Ms. Siya Jain"/>
        <s v="Mr. Sai Malik"/>
        <s v="Mr. Harsh Desai"/>
        <s v="Mr. Om Reddy"/>
        <s v="Ms. Diya Sinha"/>
        <s v="Mr. Harsh Verma"/>
        <s v="Ms. Mahira Gupta"/>
        <s v="Ms. Prisha Reddy"/>
        <s v="Ms. Naira Bhat"/>
        <s v="Ms. Inaaya Mishra"/>
        <s v="Mr. Kabir Thakur"/>
        <s v="Ms. Gauri Patel"/>
        <s v="Mr. Atharv Prasad"/>
        <s v="Mr. Kabir Nair"/>
        <s v="Ms. Kyra Verma"/>
        <s v="Ms. Myra Dutta"/>
        <s v="Mr. Samarth Jain"/>
        <s v="Mr. Krishna Thakur"/>
        <s v="Ms. Aarohi Sharma"/>
        <s v="Ms. Anaya Singh"/>
        <s v="Mr. Shaurya Pillai"/>
        <s v="Mr. Aryan Reddy"/>
        <s v="Ms. Vanya Bhatt"/>
        <s v="Ms. Aarohi Malik"/>
        <s v="Mr. Vihaan Kulkarni"/>
        <s v="Mr. Vihaan Reddy"/>
        <s v="Mr. Vihaan Rao"/>
        <s v="Mr. Shaurya Mishra"/>
        <s v="Mr. Vivaan Sharma"/>
        <s v="Mr. Raghav Iyer"/>
        <s v="Ms. Siya Desai"/>
        <s v="Mr. Kian Agarwal"/>
        <s v="Ms. Ira Thakur"/>
        <s v="Ms. Aarohi Chopra"/>
        <s v="Mr. Vivaan Patel"/>
        <s v="Ms. Siya Joshi"/>
        <s v="Mr. Siddharth Iyer"/>
        <s v="Ms. Manya Desai"/>
        <s v="Ms. Eva Sinha"/>
        <s v="Mr. Aaryan Nair"/>
        <s v="Ms. Avni Verma"/>
        <s v="Mr. Raghav Patel"/>
        <s v="Mr. Raghav Thakur"/>
        <s v="Mr. Raghav Chowdhury"/>
        <s v="Ms. Ira Kapoor"/>
        <s v="Mr. Aditya Chowdhury"/>
        <s v="Mr. Aditya Naidu"/>
        <s v="Mr. Arjun Naidu"/>
        <s v="Ms. Charvi Naidu"/>
        <s v="Ms. Ira Sinha"/>
        <s v="Mr. Rishi Verma"/>
        <s v="Mr. Aditya Bhatt"/>
        <s v="Mr. Dhanush Verma"/>
        <s v="Mr. Shivansh Thakur"/>
        <s v="Mr. Ayaan Reddy"/>
        <s v="Mr. Raghav Kumar"/>
        <s v="Mr. Aaryan Dutta"/>
        <s v="Mr. Arjun Chowdhury"/>
        <s v="Mr. Parth Kumar"/>
        <s v="Mr. Raghav Reddy"/>
        <s v="Mr. Raghav Bhat"/>
        <s v="Ms. Saanvi Kumar"/>
        <s v="Mr. Arnav Jain"/>
        <s v="Mr. Arjun Mehta"/>
        <s v="Ms. Kashvi Das"/>
        <s v="Ms. Vanya Naidu"/>
        <s v="Ms. Kyra Thakur"/>
        <s v="Ms. Charvi Gupta"/>
        <s v="Mr. Krishna Prasad"/>
        <s v="Mr. Shaurya Verma"/>
        <s v="Mr. Om Kulkarni"/>
        <s v="Mr. Arnav Malik"/>
        <s v="Mr. Dhanush Rao"/>
        <s v="Mr. Krishna Kapoor"/>
        <s v="Ms. Kashvi Verma"/>
        <s v="Mr. Kian Sharma"/>
        <s v="Ms. Navya Singh"/>
        <s v="Ms. Sara Nair"/>
        <s v="Ms. Gauri Joshi"/>
        <s v="Ms. Riddhi Sinha"/>
        <s v="Mr. Dev Kapoor"/>
        <s v="Mr. Kian Sinha"/>
        <s v="Ms. Aarohi Prasad"/>
        <s v="Ms. Charvi Malik"/>
        <s v="Ms. Avni Sinha"/>
        <s v="Ms. Avni Agarwal"/>
        <s v="Mr. Shivansh Jain"/>
        <s v="Mr. Aryan Bhatt"/>
        <s v="Mr. Ayaan Chowdhury"/>
        <s v="Ms. Naira Singh"/>
        <s v="Ms. Kyra Kumar"/>
        <s v="Ms. Anvi Chopra"/>
        <s v="Ms. Kyra Sinha"/>
        <s v="Mr. Reyansh Reddy"/>
        <s v="Ms. Avni Nair"/>
        <s v="Ms. Lavanya Verma"/>
        <s v="Ms. Myra Kulkarni"/>
        <s v="Ms. Mishka Pillai"/>
        <s v="Mr. Parth Rao"/>
        <s v="Ms. Inaaya Reddy"/>
        <s v="Ms. Vanya Gupta"/>
        <s v="Ms. Lavanya Reddy"/>
        <s v="Mr. Shivansh Bhat"/>
        <s v="Mr. Shivansh Mishra"/>
        <s v="Ms. Navya Iyer"/>
        <s v="Mr. Ishaan Singh"/>
        <s v="Mr. Krishna Desai"/>
        <s v="Mr. Reyansh Jain"/>
        <s v="Ms. Diya Desai"/>
        <s v="Ms. Vanya Sinha"/>
        <s v="Ms. Eva Chopra"/>
        <s v="Ms. Aaradhya Pillai"/>
        <s v="Ms. Riddhi Gupta"/>
        <s v="Mr. Raghav Gupta"/>
        <s v="Mr. Shaurya Bhatt"/>
        <s v="Ms. Kyra Malik"/>
        <s v="Ms. Mahira Agarwal"/>
        <s v="Mr. Arnav Sharma"/>
        <s v="Mr. Aryan Sharma"/>
        <s v="Ms. Kashvi Patel"/>
        <s v="Ms. Riddhi Kumar"/>
        <s v="Ms. Eva Malik"/>
        <s v="Ms. Tara Sharma"/>
        <s v="Ms. Saanvi Bhat"/>
        <s v="Mr. Shaurya Rao"/>
        <s v="Mr. Parth Das"/>
        <s v="Ms. Sara Chowdhury"/>
        <s v="Ms. Avni Bhatt"/>
        <s v="Ms. Manya Rao"/>
        <s v="Mr. Vihaan Patel"/>
        <s v="Mr. Rishi Agarwal"/>
        <s v="Ms. Naira Reddy"/>
        <s v="Ms. Charvi Chopra"/>
        <s v="Mr. Kabir Agarwal"/>
        <s v="Ms. Tara Patel"/>
        <s v="Ms. Eva Verma"/>
        <s v="Mr. Rishi Sinha"/>
        <s v="Ms. Diya Rao"/>
        <s v="Ms. Saanvi Dutta"/>
        <s v="Ms. Riddhi Sharma"/>
        <s v="Mr. Sai Jain"/>
        <s v="Ms. Anvi Agarwal"/>
        <s v="Ms. Prisha Mishra"/>
        <s v="Ms. Anaya Patel"/>
        <s v="Mr. Raghav Singh"/>
        <s v="Mr. Aarav Mishra"/>
        <s v="Mr. Shaurya Sharma"/>
        <s v="Ms. Inaaya Nair"/>
        <s v="Ms. Aarohi Mehta"/>
        <s v="Ms. Tara Chopra"/>
        <s v="Ms. Myra Agarwal"/>
        <s v="Mr. Ayaan Singh"/>
        <s v="Mr. Vihaan Malik"/>
        <s v="Mr. Dhanush Singh"/>
        <s v="Mr. Aarav Das"/>
        <s v="Ms. Aaradhya Chowdhury"/>
        <s v="Mr. Vihaan Sinha"/>
        <s v="Ms. Shanaya Chowdhury"/>
        <s v="Mr. Reyansh Patel"/>
        <s v="Mr. Arjun Verma"/>
        <s v="Mr. Anirudh Agarwal"/>
        <s v="Ms. Saanvi Singh"/>
        <s v="Ms. Sara Agarwal"/>
        <s v="Ms. Ira Kulkarni"/>
        <s v="Ms. Myra Bhat"/>
        <s v="Ms. Diya Jain"/>
        <s v="Ms. Shanaya Agarwal"/>
        <s v="Mr. Rishi Rao"/>
        <s v="Ms. Charvi Bhat"/>
        <s v="Mr. Arnav Chowdhury"/>
        <s v="Ms. Inaaya Das"/>
        <s v="Mr. Atharv Iyer"/>
        <s v="Mr. Harsh Kulkarni"/>
        <s v="Ms. Ira Pillai"/>
        <s v="Ms. Mishka Singh"/>
        <s v="Ms. Anaya Thakur"/>
        <s v="Mr. Ishaan Gupta"/>
        <s v="Ms. Aadhya Naidu"/>
        <s v="Ms. Aadhya Kapoor"/>
        <s v="Mr. Anirudh Mehta"/>
        <s v="Ms. Aadhya Das"/>
        <s v="Mr. Yashvi Patel"/>
        <s v="Mr. Reyansh Dutta"/>
        <s v="Mr. Kian Rao"/>
        <s v="Ms. Navya Mishra"/>
        <s v="Ms. Naira Bhatt"/>
        <s v="Mr. Vivaan Desai"/>
        <s v="Mr. Kabir Mishra"/>
        <s v="Ms. Kyra Sharma"/>
        <s v="Mr. Ishaan Agarwal"/>
        <s v="Ms. Shanaya Sinha"/>
        <s v="Ms. Ira Bhat"/>
        <s v="Ms. Avni Mishra"/>
        <s v="Mr. Samarth Kulkarni"/>
        <s v="Mr. Harsh Rao"/>
        <s v="Mr. Vivaan Iyer"/>
        <s v="Mr. Reyansh Sharma"/>
        <s v="Ms. Gauri Thakur"/>
        <s v="Ms. Charvi Kulkarni"/>
        <s v="Ms. Mahira Chopra"/>
        <s v="Mr. Raghav Pillai"/>
        <s v="Mr. Shivansh Sinha"/>
        <s v="Ms. Lavanya Bhatt"/>
        <s v="Ms. Shanaya Kumar"/>
        <s v="Mr. Ishaan Kulkarni"/>
        <s v="Ms. Anvi Mehta"/>
        <s v="Mr. Sai Kumar"/>
        <s v="Ms. Prisha Chopra"/>
        <s v="Mr. Aarav Chowdhury"/>
        <s v="Mr. Anirudh Singh"/>
        <s v="Mr. Rishi Malik"/>
        <s v="Mr. Shaurya Singh"/>
        <s v="Mr. Samarth Sinha"/>
        <s v="Mr. Yashvi Verma"/>
        <s v="Ms. Aadhya Pillai"/>
        <s v="Ms. Vanya Desai"/>
        <s v="Ms. Inaaya Gupta"/>
        <s v="Ms. Sara Mehta"/>
        <s v="Ms. Aadhya Dutta"/>
        <s v="Mr. Ayaan Mehta"/>
        <s v="Ms. Riddhi Rao"/>
        <s v="Mr. Kabir Verma"/>
        <s v="Ms. Aadhya Malik"/>
        <s v="Mr. Arjun Chopra"/>
        <s v="Ms. Sara Dutta"/>
        <s v="Mr. Om Gupta"/>
        <s v="Ms. Lavanya Bhat"/>
        <s v="Ms. Anvi Iyer"/>
        <s v="Mr. Aditya Patel"/>
        <s v="Mr. Samarth Agarwal"/>
        <s v="Ms. Sara Verma"/>
        <s v="Ms. Siya Kapoor"/>
        <s v="Ms. Naira Gupta"/>
        <s v="Ms. Aadhya Sinha"/>
        <s v="Ms. Diya Pillai"/>
        <s v="Ms. Anvi Nair"/>
        <s v="Mr. Vivaan Mishra"/>
        <s v="Mr. Ayaan Malik"/>
        <s v="Ms. Anvi Bhatt"/>
        <s v="Mr. Samarth Patel"/>
        <s v="Ms. Shanaya Pillai"/>
        <s v="Ms. Mahira Sinha"/>
        <s v="Mr. Samarth Dutta"/>
        <s v="Mr. Shivansh Kumar"/>
        <s v="Ms. Aaradhya Gupta"/>
        <s v="Mr. Rudra Iyer"/>
        <s v="Ms. Mishka Sinha"/>
        <s v="Mr. Aditya Nair"/>
        <s v="Mr. Samarth Rao"/>
        <s v="Ms. Ira Rao"/>
        <s v="Ms. Diya Mehta"/>
        <s v="Mr. Shivansh Agarwal"/>
        <s v="Mr. Ayaan Bhat"/>
        <s v="Ms. Diya Prasad"/>
        <s v="Ms. Anvi Dutta"/>
        <s v="Mr. Dhanush Sinha"/>
        <s v="Ms. Anaya Kumar"/>
        <s v="Mr. Arnav Dutta"/>
        <s v="Mr. Kian Bhatt"/>
        <s v="Ms. Gauri Desai"/>
        <s v="Ms. Eva Iyer"/>
        <s v="Ms. Aarohi Pillai"/>
        <s v="Mr. Om Rao"/>
        <s v="Mr. Aryan Dutta"/>
        <s v="Ms. Siya Malik"/>
        <s v="Mr. Kian Kumar"/>
        <s v="Mr. Reyansh Gupta"/>
        <s v="Ms. Kyra Patel"/>
        <s v="Mr. Dhanush Gupta"/>
        <s v="Ms. Mishka Sharma"/>
        <s v="Mr. Vivaan Agarwal"/>
        <s v="Mr. Ayaan Verma"/>
        <s v="Mr. Kian Dutta"/>
        <s v="Ms. Shanaya Jain"/>
        <s v="Mr. Dev Reddy"/>
        <s v="Ms. Sara Chopra"/>
        <s v="Ms. Mishka Nair"/>
        <s v="Ms. Aadhya Verma"/>
        <s v="Ms. Siya Chopra"/>
        <s v="Ms. Vanya Jain"/>
        <s v="Ms. Vanya Rao"/>
        <s v="Ms. Aarohi Mishra"/>
        <s v="Mr. Kabir Naidu"/>
        <s v="Mr. Rishi Naidu"/>
        <s v="Ms. Riddhi Bhat"/>
        <s v="Mr. Atharv Bhatt"/>
        <s v="Ms. Navya Bhat"/>
        <s v="Ms. Kyra Agarwal"/>
        <s v="Ms. Ira Dutta"/>
        <s v="Ms. Tara Mehta"/>
        <s v="Mr. Shaurya Naidu"/>
        <s v="Mr. Siddharth Thakur"/>
        <s v="Ms. Siya Bhatt"/>
        <s v="Ms. Avni Reddy"/>
        <s v="Mr. Shivansh Sharma"/>
        <s v="Ms. Kashvi Naidu"/>
        <s v="Mr. Krishna Iyer"/>
        <s v="Ms. Siya Agarwal"/>
        <s v="Mr. Arnav Patel"/>
        <s v="Ms. Charvi Das"/>
        <s v="Mr. Krishna Singh"/>
        <s v="Ms. Siya Sharma"/>
        <s v="Ms. Inaaya Sharma"/>
        <s v="Mr. Reyansh Prasad"/>
        <s v="Ms. Saanvi Patel"/>
        <s v="Ms. Siya Das"/>
        <s v="Ms. Aaradhya Prasad"/>
        <s v="Mr. Siddharth Verma"/>
        <s v="Mr. Rishi Mishra"/>
        <s v="Mr. Krishna Sharma"/>
        <s v="Mr. Rudra Jain"/>
        <s v="Ms. Charvi Kapoor"/>
        <s v="Mr. Ishaan Mehta"/>
        <s v="Mr. Ishaan Bhat"/>
        <s v="Ms. Myra Chowdhury"/>
        <s v="Ms. Tara Naidu"/>
        <s v="Mr. Kian Chopra"/>
        <s v="Ms. Anvi Gupta"/>
        <s v="Ms. Mishka Bhatt"/>
        <s v="Mr. Parth Chopra"/>
        <s v="Ms. Lavanya Jain"/>
        <s v="Mr. Rishi Joshi"/>
        <s v="Mr. Dev Sinha"/>
        <s v="Ms. Diya Kulkarni"/>
        <s v="Ms. Anaya Agarwal"/>
        <s v="Ms. Kashvi Iyer"/>
        <s v="Mr. Ishaan Joshi"/>
        <s v="Mr. Aditya Chopra"/>
        <s v="Ms. Aadhya Chowdhury"/>
        <s v="Ms. Prisha Kumar"/>
        <s v="Mr. Laksh Agarwal"/>
        <s v="Mr. Aaryan Bhat"/>
        <s v="Mr. Parth Desai"/>
        <s v="Ms. Aadhya Thakur"/>
        <s v="Mr. Aryan Kumar"/>
        <s v="Ms. Anvi Prasad"/>
        <s v="Ms. Gauri Malik"/>
        <s v="Mr. Aarav Chopra"/>
        <s v="Mr. Arnav Bhat"/>
        <s v="Ms. Anvi Singh"/>
        <s v="Mr. Ishaan Sharma"/>
        <s v="Mr. Sai Pillai"/>
        <s v="Ms. Inaaya Kulkarni"/>
        <s v="Mr. Ishaan Kapoor"/>
        <s v="Mr. Arnav Verma"/>
        <s v="Ms. Diya Naidu"/>
        <s v="Ms. Mahira Naidu"/>
        <s v="Mr. Aarav Prasad"/>
        <s v="Ms. Kyra Chopra"/>
        <s v="Mr. Rishi Reddy"/>
        <s v="Ms. Ira Patel"/>
        <s v="Ms. Mahira Iyer"/>
        <s v="Mr. Raghav Jain"/>
        <s v="Ms. Siya Bhat"/>
        <s v="Mr. Aarav Sinha"/>
        <s v="Mr. Kabir Rao"/>
        <s v="Mr. Arnav Mishra"/>
        <s v="Mr. Kabir Patel"/>
        <s v="Ms. Riddhi Prasad"/>
        <s v="Ms. Ira Verma"/>
        <s v="Ms. Inaaya Bhatt"/>
        <s v="Mr. Laksh Das"/>
        <s v="Ms. Navya Malik"/>
        <s v="Ms. Lavanya Patel"/>
        <s v="Ms. Anaya Sharma"/>
        <s v="Ms. Mahira Chowdhury"/>
        <s v="Ms. Siya Sinha"/>
        <s v="Ms. Aaradhya Mehta"/>
        <s v="Ms. Sara Das"/>
        <s v="Ms. Manya Sharma"/>
        <s v="Mr. Ishaan Chopra"/>
        <s v="Mr. Vivaan Bhatt"/>
        <s v="Ms. Aadhya Bhatt"/>
        <s v="Ms. Diya Agarwal"/>
        <s v="Ms. Charvi Kumar"/>
        <s v="Ms. Aaradhya Iyer"/>
        <s v="Mr. Yashvi Singh"/>
        <s v="Ms. Gauri Iyer"/>
        <s v="Mr. Shivansh Rao"/>
        <s v="Ms. Prisha Bhat"/>
        <s v="Mr. Rudra Sharma"/>
        <s v="Ms. Diya Mishra"/>
        <s v="Ms. Naira Kulkarni"/>
        <s v="Mr. Atharv Agarwal"/>
        <s v="Ms. Ira Iyer"/>
        <s v="Ms. Mahira Malik"/>
        <s v="Ms. Avni Mehta"/>
        <s v="Ms. Avni Sharma"/>
        <s v="Ms. Sara Prasad"/>
        <s v="Ms. Tara Dutta"/>
        <s v="Mr. Dhanush Pillai"/>
        <s v="Mr. Aryan Mehta"/>
        <s v="Mr. Aaryan Desai"/>
        <s v="Ms. Avni Kumar"/>
        <s v="Ms. Anvi Chowdhury"/>
        <s v="Mr. Sai Verma"/>
        <s v="Mr. Arjun Gupta"/>
        <s v="Mr. Shaurya Chopra"/>
        <s v="Mr. Reyansh Naidu"/>
        <s v="Mr. Ishaan Desai"/>
        <s v="Mr. Siddharth Jain"/>
        <s v="Mr. Reyansh Kapoor"/>
        <s v="Mr. Aarav Malik"/>
        <s v="Ms. Gauri Bhat"/>
        <s v="Mr. Atharv Joshi"/>
        <s v="Ms. Sara Kumar"/>
        <s v="Ms. Riddhi Mishra"/>
        <s v="Ms. Vanya Chowdhury"/>
        <s v="Ms. Prisha Verma"/>
        <s v="Mr. Rudra Verma"/>
        <s v="Mr. Siddharth Gupta"/>
        <s v="Ms. Eva Rao"/>
        <s v="Mr. Aditya Kulkarni"/>
        <s v="Ms. Aaradhya Das"/>
        <s v="Ms. Sara Sharma"/>
        <s v="Mr. Shivansh Naidu"/>
        <s v="Ms. Siya Naidu"/>
        <s v="Mr. Vivaan Chowdhury"/>
        <s v="Ms. Avni Joshi"/>
        <s v="Ms. Anvi Rao"/>
        <s v="Mr. Reyansh Verma"/>
        <s v="Mr. Reyansh Desai"/>
        <s v="Mr. Rishi Kapoor"/>
        <s v="Mr. Shaurya Kapoor"/>
        <s v="Mr. Kabir Kapoor"/>
        <s v="Ms. Charvi Jain"/>
        <s v="Mr. Vihaan Mehta"/>
        <s v="Mr. Sai Das"/>
        <s v="Ms. Inaaya Prasad"/>
        <s v="Mr. Dhanush Bhat"/>
        <s v="Ms. Myra Sharma"/>
        <s v="Mr. Vihaan Prasad"/>
        <s v="Mr. Vivaan Sinha"/>
        <s v="Ms. Siya Verma"/>
        <s v="Mr. Om Malik"/>
        <s v="Mr. Laksh Chopra"/>
        <s v="Mr. Rishi Thakur"/>
        <s v="Mr. Parth Bhat"/>
        <s v="Ms. Lavanya Dutta"/>
        <s v="Ms. Aadhya Desai"/>
        <s v="Mr. Siddharth Bhat"/>
        <s v="Ms. Aarohi Iyer"/>
        <s v="Mr. Om Sinha"/>
        <s v="Mr. Arjun Nair"/>
        <s v="Mr. Rudra Nair"/>
        <s v="Ms. Ira Sharma"/>
        <s v="Mr. Vihaan Bhatt"/>
        <s v="Mr. Raghav Dutta"/>
        <s v="Mr. Aarav Patel"/>
        <s v="Mr. Arnav Singh"/>
        <s v="Mr. Ishaan Reddy"/>
        <s v="Mr. Kabir Desai"/>
        <s v="Ms. Anvi Patel"/>
        <s v="Mr. Ishaan Pillai"/>
        <s v="Ms. Siya Gupta"/>
        <s v="Ms. Kyra Prasad"/>
        <s v="Mr. Shaurya Agarwal"/>
        <s v="Mr. Atharv Nair"/>
        <s v="Mr. Aaryan Rao"/>
        <s v="Ms. Naira Mehta"/>
        <s v="Mr. Yashvi Naidu"/>
        <s v="Mr. Rishi Kulkarni"/>
        <s v="Mr. Dhanush Dutta"/>
        <s v="Ms. Eva Bhat"/>
        <s v="Mr. Kabir Reddy"/>
        <s v="Mr. Krishna Patel"/>
        <s v="Ms. Ira Desai"/>
        <s v="Mr. Krishna Jain"/>
        <s v="Mr. Krishna Agarwal"/>
        <s v="Ms. Mishka Rao"/>
        <s v="Ms. Avni Singh"/>
        <s v="Mr. Arjun Thakur"/>
        <s v="Ms. Shanaya Bhatt"/>
        <s v="Ms. Aaradhya Thakur"/>
        <s v="Mr. Aarav Kumar"/>
        <s v="Ms. Inaaya Rao"/>
        <s v="Ms. Myra Kumar"/>
        <s v="Mr. Raghav Sinha"/>
        <s v="Ms. Vanya Joshi"/>
        <s v="Mr. Reyansh Pillai"/>
        <s v="Mr. Siddharth Naidu"/>
        <s v="Ms. Aaradhya Joshi"/>
        <s v="Mr. Vivaan Rao"/>
        <s v="Ms. Vanya Kapoor"/>
        <s v="Ms. Sara Joshi"/>
        <s v="Ms. Manya Mishra"/>
        <s v="Ms. Vanya Verma"/>
        <s v="Ms. Riddhi Iyer"/>
        <s v="Mr. Sai Mishra"/>
        <s v="Ms. Anvi Pillai"/>
        <s v="Ms. Manya Kumar"/>
        <s v="Ms. Manya Naidu"/>
        <s v="Ms. Tara Rao"/>
        <s v="Mr. Arnav Das"/>
        <s v="Mr. Dev Kumar"/>
        <s v="Ms. Tara Joshi"/>
        <s v="Mr. Ayaan Prasad"/>
        <s v="Mr. Rudra Patel"/>
        <s v="Mr. Harsh Malik"/>
        <s v="Mr. Arjun Rao"/>
        <s v="Mr. Atharv Sharma"/>
        <s v="Ms. Inaaya Pillai"/>
        <s v="Ms. Kashvi Sinha"/>
        <s v="Mr. Yashvi Kulkarni"/>
        <s v="Ms. Siya Patel"/>
        <s v="Mr. Rishi Das"/>
        <s v="Mr. Rishi Dutta"/>
        <s v="Mr. Samarth Pillai"/>
        <s v="Mr. Ayaan Agarwal"/>
        <s v="Ms. Lavanya Mishra"/>
        <s v="Ms. Sara Mishra"/>
        <s v="Ms. Naira Sinha"/>
        <s v="Mr. Shivansh Mehta"/>
        <s v="Ms. Inaaya Desai"/>
        <s v="Mr. Aaryan Thakur"/>
        <s v="Ms. Myra Bhatt"/>
        <s v="Ms. Gauri Sinha"/>
        <s v="Mr. Dev Verma"/>
        <s v="Ms. Charvi Thakur"/>
        <s v="Ms. Saanvi Chopra"/>
        <s v="Mr. Yashvi Mishra"/>
        <s v="Mr. Arjun Patel"/>
        <s v="Ms. Saanvi Bhatt"/>
        <s v="Mr. Yashvi Mehta"/>
        <s v="Mr. Om Mehta"/>
        <s v="Ms. Sara Pillai"/>
        <s v="Ms. Sara Bhatt"/>
        <s v="Mr. Sai Kapoor"/>
        <s v="Mr. Atharv Bhat"/>
        <s v="Mr. Dev Chowdhury"/>
        <s v="Mr. Ayaan Joshi"/>
        <s v="Mr. Samarth Malik"/>
        <s v="Mr. Anirudh Bhat"/>
        <s v="Ms. Prisha Naidu"/>
        <s v="Ms. Aadhya Chopra"/>
        <s v="Mr. Ayaan Dutta"/>
        <s v="Ms. Lavanya Iyer"/>
        <s v="Mr. Krishna Rao"/>
        <s v="Ms. Anaya Chopra"/>
        <s v="Mr. Aarav Bhat"/>
        <s v="Mr. Yashvi Iyer"/>
        <s v="Mr. Raghav Rao"/>
        <s v="Ms. Charvi Joshi"/>
        <s v="Ms. Naira Desai"/>
        <s v="Ms. Naira Das"/>
        <s v="Mr. Aaryan Verma"/>
        <s v="Ms. Anvi Kulkarni"/>
        <s v="Mr. Ayaan Naidu"/>
        <s v="Ms. Lavanya Das"/>
        <s v="Ms. Diya Joshi"/>
        <s v="Mr. Harsh Prasad"/>
        <s v="Mr. Om Patel"/>
        <s v="Ms. Aarohi Joshi"/>
        <s v="Mr. Anirudh Nair"/>
        <s v="Mr. Samarth Desai"/>
        <s v="Mr. Kabir Chowdhury"/>
        <s v="Mr. Dhanush Iyer"/>
        <s v="Ms. Anvi Mishra"/>
        <s v="Ms. Aadhya Mehta"/>
        <s v="Ms. Manya Nair"/>
        <s v="Ms. Aarohi Sinha"/>
        <s v="Ms. Gauri Jain"/>
        <s v="Ms. Kyra Das"/>
        <s v="Mr. Ayaan Thakur"/>
        <s v="Mr. Harsh Sharma"/>
        <s v="Mr. Reyansh Kulkarni"/>
        <s v="Mr. Om Chowdhury"/>
        <s v="Ms. Anaya Reddy"/>
        <s v="Mr. Arnav Agarwal"/>
        <s v="Mr. Laksh Bhat"/>
        <s v="Mr. Vihaan Dutta"/>
        <s v="Ms. Naira Naidu"/>
        <s v="Mr. Arnav Kulkarni"/>
        <s v="Ms. Mahira Rao"/>
        <s v="Mr. Rudra Kulkarni"/>
        <s v="Mr. Parth Sinha"/>
        <s v="Mr. Krishna Malik"/>
        <s v="Mr. Yashvi Prasad"/>
        <s v="Ms. Shanaya Das"/>
        <s v="Mr. Vihaan Mishra"/>
        <s v="Mr. Vivaan Kulkarni"/>
        <s v="Mr. Krishna Nair"/>
        <s v="Mr. Om Chopra"/>
        <s v="Mr. Rishi Desai"/>
        <s v="Mr. Aarav Naidu"/>
        <s v="Mr. Aaryan Kapoor"/>
        <s v="Mr. Om Dutta"/>
        <s v="Ms. Saanvi Malik"/>
        <s v="Mr. Arjun Jain"/>
        <s v="Mr. Parth Jain"/>
        <s v="Mr. Rudra Kumar"/>
        <s v="Ms. Kyra Iyer"/>
        <s v="Mr. Rudra Chopra"/>
        <s v="Mr. Arnav Rao"/>
        <s v="Mr. Kian Mehta"/>
        <s v="Ms. Myra Desai"/>
        <s v="Mr. Aryan Das"/>
        <s v="Ms. Vanya Pillai"/>
        <s v="Mr. Siddharth Das"/>
        <s v="Mr. Laksh Sharma"/>
        <s v="Mr. Aditya Mishra"/>
        <s v="Mr. Yashvi Dutta"/>
        <s v="Mr. Parth Mishra"/>
        <s v="Mr. Ayaan Rao"/>
        <s v="Mr. Ishaan Prasad"/>
        <s v="Mr. Reyansh Malik"/>
        <s v="Mr. Shaurya Desai"/>
        <s v="Mr. Aditya Jain"/>
        <s v="Ms. Kashvi Dutta"/>
        <s v="Ms. Siya Kulkarni"/>
        <s v="Mr. Yashvi Sharma"/>
        <s v="Ms. Eva Reddy"/>
        <s v="Mr. Om Iyer"/>
        <s v="Ms. Aarohi Agarwal"/>
        <s v="Ms. Vanya Mehta"/>
        <s v="Mr. Laksh Prasad"/>
        <s v="Ms. Mahira Desai"/>
        <s v="Ms. Aaradhya Bhat"/>
        <s v="Mr. Anirudh Bhatt"/>
        <s v="Ms. Manya Reddy"/>
        <s v="Ms. Manya Thakur"/>
        <s v="Ms. Kyra Nair"/>
        <s v="Ms. Charvi Iyer"/>
        <s v="Ms. Avni Das"/>
        <s v="Mr. Parth Chowdhury"/>
        <s v="Mr. Aditya Sinha"/>
        <s v="Mr. Reyansh Nair"/>
        <s v="Mr. Laksh Kapoor"/>
        <s v="Mr. Anirudh Gupta"/>
        <s v="Ms. Navya Kapoor"/>
        <s v="Ms. Kashvi Mehta"/>
        <s v="Mr. Sai Chowdhury"/>
        <s v="Ms. Aaradhya Dutta"/>
        <s v="Mr. Shaurya Kumar"/>
        <s v="Ms. Charvi Agarwal"/>
        <s v="Mr. Dev Prasad"/>
        <s v="Mr. Aarav Iyer"/>
        <s v="Ms. Aaradhya Chopra"/>
        <s v="Mr. Sai Sharma"/>
        <s v="Mr. Rudra Thakur"/>
        <s v="Mr. Parth Patel"/>
        <s v="Ms. Aaradhya Kumar"/>
        <s v="Ms. Diya Bhatt"/>
        <s v="Mr. Vivaan Mehta"/>
        <s v="Ms. Eva Jain"/>
        <s v="Ms. Charvi Nair"/>
        <s v="Ms. Myra Rao"/>
        <s v="Ms. Mishka Joshi"/>
        <s v="Mr. Dhanush Nair"/>
        <s v="Ms. Mahira Prasad"/>
        <s v="Mr. Dev Nair"/>
        <s v="Ms. Kashvi Bhatt"/>
        <s v="Ms. Avni Chopra"/>
        <s v="Ms. Prisha Prasad"/>
        <s v="Ms. Siya Thakur"/>
        <s v="Ms. Saanvi Joshi"/>
        <s v="Ms. Ira Mishra"/>
        <s v="Mr. Yashvi Thakur"/>
        <s v="Ms. Riddhi Reddy"/>
        <s v="Ms. Mishka Patel"/>
        <s v="Mr. Krishna Reddy"/>
        <s v="Ms. Charvi Mehta"/>
        <s v="Mr. Anirudh Reddy"/>
        <s v="Mr. Atharv Patel"/>
        <s v="Mr. Sai Thakur"/>
        <s v="Mr. Samarth Thakur"/>
        <s v="Mr. Kabir Iyer"/>
        <s v="Ms. Myra Malik"/>
        <s v="Mr. Dev Gupta"/>
        <s v="Ms. Avni Desai"/>
        <s v="Ms. Kyra Bhat"/>
        <s v="Mr. Reyansh Agarwal"/>
        <s v="Ms. Tara Kumar"/>
        <s v="Ms. Tara Gupta"/>
        <s v="Mr. Aditya Verma"/>
        <s v="Ms. Manya Agarwal"/>
        <s v="Mr. Reyansh Bhatt"/>
        <s v="Mr. Kian Bhat"/>
        <s v="Ms. Saanvi Mishra"/>
        <s v="Mr. Om Kumar"/>
        <s v="Mr. Atharv Dutta"/>
        <s v="Mr. Parth Agarwal"/>
        <s v="Ms. Myra Joshi"/>
        <s v="Ms. Inaaya Chopra"/>
        <s v="Ms. Tara Singh"/>
        <s v="Mr. Dev Naidu"/>
        <s v="Mr. Aryan Patel"/>
        <s v="Ms. Shanaya Mishra"/>
        <s v="Ms. Mahira Singh"/>
        <s v="Mr. Aaryan Malik"/>
        <s v="Ms. Manya Bhat"/>
        <s v="Mr. Om Das"/>
        <s v="Mr. Kabir Bhat"/>
        <s v="Mr. Kabir Mehta"/>
        <s v="Ms. Diya Verma"/>
        <s v="Ms. Naira Nair"/>
        <s v="Mr. Shivansh Iyer"/>
        <s v="Ms. Lavanya Kapoor"/>
        <s v="Mr. Sai Desai"/>
        <s v="Ms. Gauri Mehta"/>
        <s v="Mr. Anirudh Sinha"/>
        <s v="Ms. Eva Singh"/>
        <s v="Ms. Kashvi Kulkarni"/>
        <s v="Ms. Aaradhya Desai"/>
        <s v="Mr. Dev Malik"/>
        <s v="Ms. Prisha Pillai"/>
        <s v="Ms. Aarohi Kapoor"/>
        <s v="Mr. Ayaan Kumar"/>
        <s v="Mr. Arnav Joshi"/>
        <s v="Mr. Sai Sinha"/>
        <s v="Mr. Arnav Desai"/>
        <s v="Ms. Sara Singh"/>
        <s v="Mr. Vihaan Singh"/>
        <s v="Mr. Rudra Bhatt"/>
        <s v="Ms. Saanvi Gupta"/>
        <s v="Mr. Arjun Sinha"/>
        <s v="Mr. Aditya Sharma"/>
        <s v="Ms. Navya Mehta"/>
        <s v="Mr. Om Desai"/>
        <s v="Mr. Aryan Singh"/>
        <s v="Mr. Reyansh Chowdhury"/>
        <s v="Mr. Dev Mishra"/>
        <s v="Ms. Vanya Sharma"/>
        <s v="Mr. Sai Agarwal"/>
        <s v="Ms. Saanvi Thakur"/>
        <s v="Mr. Sai Patel"/>
      </sharedItems>
    </cacheField>
    <cacheField name="First Name" numFmtId="0">
      <sharedItems>
        <s v="Aarav"/>
        <s v="Dev"/>
        <s v="Manya"/>
        <s v="Samarth"/>
        <s v="Mishka"/>
        <s v="Ira"/>
        <s v="Aaryan"/>
        <s v="Arnav"/>
        <s v="Lavanya"/>
        <s v="Diya"/>
        <s v="Kian"/>
        <s v="Ayaan"/>
        <s v="Laksh"/>
        <s v="Aaradhya"/>
        <s v="Sai"/>
        <s v="Vihaan"/>
        <s v="Om"/>
        <s v="Naira"/>
        <s v="Aarohi"/>
        <s v="Anvi"/>
        <s v="Tara"/>
        <s v="Vivaan"/>
        <s v="Saanvi"/>
        <s v="Riddhi"/>
        <s v="Charvi"/>
        <s v="Aryan"/>
        <s v="Gauri"/>
        <s v="Vanya"/>
        <s v="Atharv"/>
        <s v="Siya"/>
        <s v="Harsh"/>
        <s v="Mahira"/>
        <s v="Prisha"/>
        <s v="Inaaya"/>
        <s v="Kabir"/>
        <s v="Kyra"/>
        <s v="Myra"/>
        <s v="Krishna"/>
        <s v="Anaya"/>
        <s v="Shaurya"/>
        <s v="Raghav"/>
        <s v="Siddharth"/>
        <s v="Eva"/>
        <s v="Avni"/>
        <s v="Aditya"/>
        <s v="Arjun"/>
        <s v="Rishi"/>
        <s v="Dhanush"/>
        <s v="Shivansh"/>
        <s v="Parth"/>
        <s v="Kashvi"/>
        <s v="Navya"/>
        <s v="Sara"/>
        <s v="Reyansh"/>
        <s v="Ishaan"/>
        <s v="Shanaya"/>
        <s v="Anirudh"/>
        <s v="Aadhya"/>
        <s v="Yashvi"/>
        <s v="Rudra"/>
      </sharedItems>
    </cacheField>
    <cacheField name="Last Name" numFmtId="0">
      <sharedItems>
        <s v="Dutta"/>
        <s v="Joshi"/>
        <s v="Sharma"/>
        <s v="Iyer"/>
        <s v="Jain"/>
        <s v="Naidu"/>
        <s v="Sinha"/>
        <s v="Nair"/>
        <s v="Pillai"/>
        <s v="Mehta"/>
        <s v="Gupta"/>
        <s v="Mishra"/>
        <s v="Kapoor"/>
        <s v="Malik"/>
        <s v="Singh"/>
        <s v="Thakur"/>
        <s v="Rao"/>
        <s v="Reddy"/>
        <s v="Verma"/>
        <s v="Bhatt"/>
        <s v="Kumar"/>
        <s v="Chopra"/>
        <s v="Kulkarni"/>
        <s v="Desai"/>
        <s v="Bhat"/>
        <s v="Patel"/>
        <s v="Prasad"/>
        <s v="Agarwal"/>
        <s v="Chowdhury"/>
        <s v="Das"/>
      </sharedItems>
    </cacheField>
    <cacheField name="Region" numFmtId="0">
      <sharedItems>
        <s v="West"/>
        <s v="North"/>
        <s v="South"/>
        <s v="East"/>
      </sharedItems>
    </cacheField>
    <cacheField name="PassingYear" numFmtId="0">
      <sharedItems containsSemiMixedTypes="0" containsString="0" containsNumber="1" containsInteger="1">
        <n v="2022.0"/>
        <n v="2020.0"/>
        <n v="2019.0"/>
        <n v="2024.0"/>
        <n v="2023.0"/>
        <n v="2016.0"/>
        <n v="2018.0"/>
        <n v="2025.0"/>
        <n v="2021.0"/>
        <n v="2026.0"/>
        <n v="2017.0"/>
        <n v="2027.0"/>
        <n v="2028.0"/>
        <n v="2013.0"/>
        <n v="2014.0"/>
        <n v="2002.0"/>
        <n v="2009.0"/>
        <n v="2012.0"/>
        <n v="2029.0"/>
        <n v="2015.0"/>
        <n v="2003.0"/>
        <n v="2006.0"/>
      </sharedItems>
    </cacheField>
    <cacheField name="Price" numFmtId="0">
      <sharedItems containsSemiMixedTypes="0" containsString="0" containsNumber="1" containsInteger="1">
        <n v="5000.0"/>
        <n v="10000.0"/>
      </sharedItems>
    </cacheField>
    <cacheField name="Payment Status" numFmtId="0">
      <sharedItems>
        <s v="Pending"/>
        <s v="Completed"/>
        <s v="Payment in Process"/>
      </sharedItems>
    </cacheField>
    <cacheField name="TotalPoints" numFmtId="0">
      <sharedItems containsSemiMixedTypes="0" containsString="0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</sharedItems>
    </cacheField>
    <cacheField name="Signup Device" numFmtId="0">
      <sharedItems>
        <s v="Mobile"/>
        <s v="Web"/>
        <s v="Tablet"/>
      </sharedItems>
    </cacheField>
    <cacheField name="Streak" numFmtId="0">
      <sharedItems containsSemiMixedTypes="0" containsString="0" containsNumber="1" containsInteger="1">
        <n v="7.0"/>
        <n v="40.0"/>
        <n v="22.0"/>
        <n v="76.0"/>
        <n v="19.0"/>
        <n v="2.0"/>
        <n v="63.0"/>
        <n v="59.0"/>
        <n v="43.0"/>
        <n v="27.0"/>
        <n v="70.0"/>
        <n v="18.0"/>
        <n v="50.0"/>
        <n v="21.0"/>
        <n v="9.0"/>
        <n v="54.0"/>
        <n v="33.0"/>
        <n v="16.0"/>
        <n v="47.0"/>
        <n v="65.0"/>
        <n v="46.0"/>
        <n v="6.0"/>
        <n v="55.0"/>
        <n v="75.0"/>
        <n v="28.0"/>
        <n v="5.0"/>
        <n v="60.0"/>
        <n v="64.0"/>
        <n v="62.0"/>
        <n v="29.0"/>
        <n v="49.0"/>
        <n v="14.0"/>
        <n v="67.0"/>
        <n v="0.0"/>
        <n v="80.0"/>
        <n v="10.0"/>
        <n v="26.0"/>
        <n v="4.0"/>
        <n v="12.0"/>
        <n v="8.0"/>
        <n v="57.0"/>
        <n v="39.0"/>
        <n v="3.0"/>
        <n v="77.0"/>
        <n v="56.0"/>
        <n v="1.0"/>
        <n v="66.0"/>
        <n v="69.0"/>
        <n v="34.0"/>
        <n v="51.0"/>
        <n v="71.0"/>
        <n v="68.0"/>
        <n v="42.0"/>
        <n v="35.0"/>
        <n v="79.0"/>
        <n v="30.0"/>
        <n v="15.0"/>
        <n v="25.0"/>
        <n v="31.0"/>
        <n v="37.0"/>
        <n v="13.0"/>
        <n v="52.0"/>
        <n v="36.0"/>
        <n v="61.0"/>
        <n v="23.0"/>
        <n v="24.0"/>
        <n v="32.0"/>
        <n v="45.0"/>
        <n v="44.0"/>
        <n v="53.0"/>
        <n v="48.0"/>
        <n v="41.0"/>
        <n v="17.0"/>
        <n v="58.0"/>
        <n v="20.0"/>
        <n v="72.0"/>
        <n v="73.0"/>
        <n v="38.0"/>
        <n v="74.0"/>
        <n v="78.0"/>
        <n v="11.0"/>
      </sharedItems>
    </cacheField>
    <cacheField name="Course Name" numFmtId="0">
      <sharedItems>
        <s v="Competitive Coding"/>
        <s v="Kickstarting Web Dev"/>
        <s v="Data Structure and Algorithms"/>
      </sharedItems>
    </cacheField>
    <cacheField name="DegreeCategories - DegreeCategoryId → Name" numFmtId="0">
      <sharedItems>
        <s v="BE / BTech - Non CS / IT"/>
        <s v="BCA / MCA"/>
        <s v="BE / BTech - CS / IT"/>
        <s v="Non-Coding, Non Engineering"/>
        <s v="Diploma"/>
      </sharedItems>
    </cacheField>
    <cacheField name="Total Collected " numFmtId="0">
      <sharedItems containsSemiMixedTypes="0" containsString="0" containsNumber="1" containsInteger="1">
        <n v="430000.0"/>
        <n v="400000.0"/>
        <n v="910000.0"/>
        <n v="635000.0"/>
        <n v="255000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Data"/>
  </cacheSource>
  <cacheFields>
    <cacheField name="ID" numFmtId="0">
      <sharedItems containsSemiMixedTypes="0" containsString="0" containsNumber="1" containsInteger="1">
        <n v="64576.0"/>
        <n v="64578.0"/>
        <n v="64580.0"/>
        <n v="64582.0"/>
        <n v="64583.0"/>
        <n v="64584.0"/>
        <n v="64585.0"/>
        <n v="64586.0"/>
        <n v="64588.0"/>
        <n v="64595.0"/>
        <n v="64596.0"/>
        <n v="64599.0"/>
        <n v="64600.0"/>
        <n v="64601.0"/>
        <n v="64602.0"/>
        <n v="64603.0"/>
        <n v="64604.0"/>
        <n v="64605.0"/>
        <n v="64606.0"/>
        <n v="64607.0"/>
        <n v="64608.0"/>
        <n v="64609.0"/>
        <n v="64610.0"/>
        <n v="64611.0"/>
        <n v="64612.0"/>
        <n v="64613.0"/>
        <n v="64614.0"/>
        <n v="64618.0"/>
        <n v="64619.0"/>
        <n v="64620.0"/>
        <n v="64621.0"/>
        <n v="64622.0"/>
        <n v="64624.0"/>
        <n v="64625.0"/>
        <n v="64626.0"/>
        <n v="64627.0"/>
        <n v="64628.0"/>
        <n v="64629.0"/>
        <n v="64630.0"/>
        <n v="64631.0"/>
        <n v="64632.0"/>
        <n v="64633.0"/>
        <n v="64634.0"/>
        <n v="64635.0"/>
        <n v="64636.0"/>
        <n v="64637.0"/>
        <n v="64638.0"/>
        <n v="64639.0"/>
        <n v="64640.0"/>
        <n v="64641.0"/>
        <n v="64643.0"/>
        <n v="64644.0"/>
        <n v="64645.0"/>
        <n v="64647.0"/>
        <n v="64648.0"/>
        <n v="64649.0"/>
        <n v="64650.0"/>
        <n v="64651.0"/>
        <n v="64652.0"/>
        <n v="64653.0"/>
        <n v="64654.0"/>
        <n v="64656.0"/>
        <n v="64657.0"/>
        <n v="64658.0"/>
        <n v="64659.0"/>
        <n v="64660.0"/>
        <n v="64661.0"/>
        <n v="64662.0"/>
        <n v="64663.0"/>
        <n v="64664.0"/>
        <n v="64665.0"/>
        <n v="64666.0"/>
        <n v="64667.0"/>
        <n v="64669.0"/>
        <n v="64670.0"/>
        <n v="64671.0"/>
        <n v="64672.0"/>
        <n v="64673.0"/>
        <n v="64677.0"/>
        <n v="64680.0"/>
        <n v="64681.0"/>
        <n v="64682.0"/>
        <n v="64683.0"/>
        <n v="64684.0"/>
        <n v="64685.0"/>
        <n v="64686.0"/>
        <n v="64687.0"/>
        <n v="64690.0"/>
        <n v="64691.0"/>
        <n v="64692.0"/>
        <n v="64693.0"/>
        <n v="64698.0"/>
        <n v="64699.0"/>
        <n v="64700.0"/>
        <n v="64701.0"/>
        <n v="64702.0"/>
        <n v="64703.0"/>
        <n v="64704.0"/>
        <n v="64705.0"/>
        <n v="64708.0"/>
        <n v="64709.0"/>
        <n v="64710.0"/>
        <n v="64711.0"/>
        <n v="64712.0"/>
        <n v="64713.0"/>
        <n v="64714.0"/>
        <n v="64715.0"/>
        <n v="64716.0"/>
        <n v="64717.0"/>
        <n v="64718.0"/>
        <n v="64719.0"/>
        <n v="64720.0"/>
        <n v="64721.0"/>
        <n v="64722.0"/>
        <n v="64723.0"/>
        <n v="64724.0"/>
        <n v="64725.0"/>
        <n v="64728.0"/>
        <n v="64729.0"/>
        <n v="64730.0"/>
        <n v="64731.0"/>
        <n v="64732.0"/>
        <n v="64733.0"/>
        <n v="64734.0"/>
        <n v="64735.0"/>
        <n v="64738.0"/>
        <n v="64739.0"/>
        <n v="64741.0"/>
        <n v="64742.0"/>
        <n v="64743.0"/>
        <n v="64744.0"/>
        <n v="64745.0"/>
        <n v="64746.0"/>
        <n v="64747.0"/>
        <n v="64748.0"/>
        <n v="64749.0"/>
        <n v="64750.0"/>
        <n v="64751.0"/>
        <n v="64752.0"/>
        <n v="64753.0"/>
        <n v="64754.0"/>
        <n v="64756.0"/>
        <n v="64757.0"/>
        <n v="64758.0"/>
        <n v="64759.0"/>
        <n v="64760.0"/>
        <n v="64761.0"/>
        <n v="64762.0"/>
        <n v="64763.0"/>
        <n v="64764.0"/>
        <n v="64765.0"/>
        <n v="64766.0"/>
        <n v="64767.0"/>
        <n v="64768.0"/>
        <n v="64769.0"/>
        <n v="64770.0"/>
        <n v="64771.0"/>
        <n v="64772.0"/>
        <n v="64774.0"/>
        <n v="64775.0"/>
        <n v="64776.0"/>
        <n v="64777.0"/>
        <n v="64778.0"/>
        <n v="64779.0"/>
        <n v="64780.0"/>
        <n v="64781.0"/>
        <n v="64782.0"/>
        <n v="64783.0"/>
        <n v="64785.0"/>
        <n v="64786.0"/>
        <n v="64787.0"/>
        <n v="64788.0"/>
        <n v="64789.0"/>
        <n v="64790.0"/>
        <n v="64791.0"/>
        <n v="64792.0"/>
        <n v="64793.0"/>
        <n v="64794.0"/>
        <n v="64795.0"/>
        <n v="64796.0"/>
        <n v="64797.0"/>
        <n v="64798.0"/>
        <n v="64799.0"/>
        <n v="64800.0"/>
        <n v="64802.0"/>
        <n v="64803.0"/>
        <n v="64804.0"/>
        <n v="64805.0"/>
        <n v="64806.0"/>
        <n v="64807.0"/>
        <n v="64808.0"/>
        <n v="64809.0"/>
        <n v="64810.0"/>
        <n v="64813.0"/>
        <n v="64814.0"/>
        <n v="64815.0"/>
        <n v="64816.0"/>
        <n v="64817.0"/>
        <n v="64818.0"/>
        <n v="64820.0"/>
        <n v="64821.0"/>
        <n v="64822.0"/>
        <n v="64823.0"/>
        <n v="64824.0"/>
        <n v="64825.0"/>
        <n v="64826.0"/>
        <n v="64827.0"/>
        <n v="64828.0"/>
        <n v="64829.0"/>
        <n v="64830.0"/>
        <n v="64831.0"/>
        <n v="64832.0"/>
        <n v="64833.0"/>
        <n v="64834.0"/>
        <n v="64835.0"/>
        <n v="64836.0"/>
        <n v="64837.0"/>
        <n v="64838.0"/>
        <n v="64839.0"/>
        <n v="64840.0"/>
        <n v="64841.0"/>
        <n v="64842.0"/>
        <n v="64843.0"/>
        <n v="64844.0"/>
        <n v="64845.0"/>
        <n v="64846.0"/>
        <n v="64848.0"/>
        <n v="64849.0"/>
        <n v="64851.0"/>
        <n v="64852.0"/>
        <n v="64853.0"/>
        <n v="64854.0"/>
        <n v="64855.0"/>
        <n v="64856.0"/>
        <n v="64857.0"/>
        <n v="64858.0"/>
        <n v="64859.0"/>
        <n v="64860.0"/>
        <n v="64861.0"/>
        <n v="64862.0"/>
        <n v="64863.0"/>
        <n v="64864.0"/>
        <n v="64865.0"/>
        <n v="64866.0"/>
        <n v="64867.0"/>
        <n v="64868.0"/>
        <n v="64872.0"/>
        <n v="64873.0"/>
        <n v="64874.0"/>
        <n v="64875.0"/>
        <n v="64878.0"/>
        <n v="64879.0"/>
        <n v="64880.0"/>
        <n v="64881.0"/>
        <n v="64882.0"/>
        <n v="64883.0"/>
        <n v="64884.0"/>
        <n v="64885.0"/>
        <n v="64886.0"/>
        <n v="64887.0"/>
        <n v="64889.0"/>
        <n v="64890.0"/>
        <n v="64891.0"/>
        <n v="64892.0"/>
        <n v="64894.0"/>
        <n v="64895.0"/>
        <n v="64896.0"/>
        <n v="64897.0"/>
        <n v="64899.0"/>
        <n v="64900.0"/>
        <n v="64902.0"/>
        <n v="64903.0"/>
        <n v="64904.0"/>
        <n v="64905.0"/>
        <n v="64906.0"/>
        <n v="64907.0"/>
        <n v="64908.0"/>
        <n v="64909.0"/>
        <n v="64910.0"/>
        <n v="64911.0"/>
        <n v="64912.0"/>
        <n v="64913.0"/>
        <n v="64916.0"/>
        <n v="64917.0"/>
        <n v="64919.0"/>
        <n v="64920.0"/>
        <n v="64921.0"/>
        <n v="64922.0"/>
        <n v="64923.0"/>
        <n v="64924.0"/>
        <n v="64925.0"/>
        <n v="64926.0"/>
        <n v="64927.0"/>
        <n v="64928.0"/>
        <n v="64929.0"/>
        <n v="64930.0"/>
        <n v="64931.0"/>
        <n v="64932.0"/>
        <n v="64933.0"/>
        <n v="64934.0"/>
        <n v="64935.0"/>
        <n v="64936.0"/>
        <n v="64937.0"/>
        <n v="64938.0"/>
        <n v="64939.0"/>
        <n v="64940.0"/>
        <n v="64941.0"/>
        <n v="64942.0"/>
        <n v="64944.0"/>
        <n v="64946.0"/>
        <n v="64947.0"/>
        <n v="64948.0"/>
        <n v="64949.0"/>
        <n v="64950.0"/>
        <n v="64952.0"/>
        <n v="64953.0"/>
        <n v="64957.0"/>
        <n v="64958.0"/>
        <n v="64959.0"/>
        <n v="64960.0"/>
        <n v="64961.0"/>
        <n v="64962.0"/>
        <n v="64963.0"/>
        <n v="64964.0"/>
        <n v="64965.0"/>
        <n v="64966.0"/>
        <n v="64967.0"/>
        <n v="64968.0"/>
        <n v="64970.0"/>
        <n v="64971.0"/>
        <n v="64972.0"/>
        <n v="64973.0"/>
        <n v="64974.0"/>
        <n v="64975.0"/>
        <n v="64976.0"/>
        <n v="64977.0"/>
        <n v="64978.0"/>
        <n v="64979.0"/>
        <n v="64980.0"/>
        <n v="64981.0"/>
        <n v="64982.0"/>
        <n v="64983.0"/>
        <n v="64984.0"/>
        <n v="64985.0"/>
        <n v="64986.0"/>
        <n v="64987.0"/>
        <n v="64988.0"/>
        <n v="64990.0"/>
        <n v="64991.0"/>
        <n v="64992.0"/>
        <n v="64993.0"/>
        <n v="64995.0"/>
        <n v="64997.0"/>
        <n v="64998.0"/>
        <n v="64999.0"/>
        <n v="65000.0"/>
        <n v="65001.0"/>
        <n v="65002.0"/>
        <n v="65003.0"/>
        <n v="65004.0"/>
        <n v="65005.0"/>
        <n v="65006.0"/>
        <n v="65007.0"/>
        <n v="65008.0"/>
        <n v="65009.0"/>
        <n v="65013.0"/>
        <n v="65014.0"/>
        <n v="65015.0"/>
        <n v="65016.0"/>
        <n v="65017.0"/>
        <n v="65018.0"/>
        <n v="65019.0"/>
        <n v="65022.0"/>
        <n v="65023.0"/>
        <n v="65024.0"/>
        <n v="65025.0"/>
        <n v="65026.0"/>
        <n v="65028.0"/>
        <n v="65029.0"/>
        <n v="65030.0"/>
        <n v="65031.0"/>
        <n v="65033.0"/>
        <n v="65034.0"/>
        <n v="65035.0"/>
        <n v="65036.0"/>
        <n v="65037.0"/>
        <n v="65038.0"/>
        <n v="65039.0"/>
        <n v="65040.0"/>
        <n v="65041.0"/>
        <n v="65042.0"/>
        <n v="65043.0"/>
        <n v="65044.0"/>
        <n v="65045.0"/>
        <n v="65046.0"/>
        <n v="65047.0"/>
        <n v="65048.0"/>
        <n v="65049.0"/>
        <n v="65050.0"/>
        <n v="65051.0"/>
        <n v="65052.0"/>
        <n v="65055.0"/>
        <n v="65056.0"/>
        <n v="65057.0"/>
        <n v="65058.0"/>
        <n v="65061.0"/>
        <n v="65062.0"/>
        <n v="65063.0"/>
        <n v="65064.0"/>
        <n v="65065.0"/>
        <n v="65066.0"/>
        <n v="65067.0"/>
        <n v="65068.0"/>
        <n v="65069.0"/>
        <n v="65071.0"/>
        <n v="65072.0"/>
        <n v="65073.0"/>
        <n v="65074.0"/>
        <n v="65075.0"/>
        <n v="65076.0"/>
        <n v="65077.0"/>
        <n v="65078.0"/>
        <n v="65079.0"/>
        <n v="65080.0"/>
        <n v="65081.0"/>
        <n v="65082.0"/>
        <n v="65083.0"/>
        <n v="65084.0"/>
        <n v="65086.0"/>
        <n v="65087.0"/>
        <n v="65089.0"/>
        <n v="65090.0"/>
        <n v="65091.0"/>
        <n v="65092.0"/>
        <n v="65094.0"/>
        <n v="65095.0"/>
        <n v="65096.0"/>
        <n v="65098.0"/>
        <n v="65099.0"/>
        <n v="65100.0"/>
        <n v="65102.0"/>
        <n v="65104.0"/>
        <n v="65105.0"/>
        <n v="65106.0"/>
        <n v="65107.0"/>
        <n v="65108.0"/>
        <n v="65109.0"/>
        <n v="65110.0"/>
        <n v="65111.0"/>
        <n v="65112.0"/>
        <n v="65113.0"/>
        <n v="65114.0"/>
        <n v="65115.0"/>
        <n v="65116.0"/>
        <n v="65117.0"/>
        <n v="65118.0"/>
        <n v="65119.0"/>
        <n v="65120.0"/>
        <n v="65121.0"/>
        <n v="65122.0"/>
        <n v="65123.0"/>
        <n v="65124.0"/>
        <n v="65125.0"/>
        <n v="65126.0"/>
        <n v="65127.0"/>
        <n v="65128.0"/>
        <n v="65129.0"/>
        <n v="65130.0"/>
        <n v="65131.0"/>
        <n v="65132.0"/>
        <n v="65133.0"/>
        <n v="65134.0"/>
        <n v="65136.0"/>
        <n v="65137.0"/>
        <n v="65138.0"/>
        <n v="65139.0"/>
        <n v="65140.0"/>
        <n v="65141.0"/>
        <n v="65142.0"/>
        <n v="65143.0"/>
        <n v="65144.0"/>
        <n v="65146.0"/>
        <n v="65147.0"/>
        <n v="65148.0"/>
        <n v="65149.0"/>
        <n v="65150.0"/>
        <n v="65151.0"/>
        <n v="65152.0"/>
        <n v="65153.0"/>
        <n v="65154.0"/>
        <n v="65155.0"/>
        <n v="65156.0"/>
        <n v="65157.0"/>
        <n v="65158.0"/>
        <n v="65159.0"/>
        <n v="65160.0"/>
        <n v="65161.0"/>
        <n v="65162.0"/>
        <n v="65163.0"/>
        <n v="65164.0"/>
        <n v="65165.0"/>
        <n v="65166.0"/>
        <n v="65167.0"/>
        <n v="65168.0"/>
        <n v="65169.0"/>
        <n v="65170.0"/>
        <n v="65171.0"/>
        <n v="65172.0"/>
        <n v="65173.0"/>
        <n v="65174.0"/>
        <n v="65176.0"/>
        <n v="65177.0"/>
        <n v="65178.0"/>
        <n v="65179.0"/>
        <n v="65180.0"/>
        <n v="65181.0"/>
        <n v="65182.0"/>
        <n v="65183.0"/>
        <n v="65184.0"/>
        <n v="65185.0"/>
        <n v="65186.0"/>
        <n v="65187.0"/>
        <n v="65189.0"/>
        <n v="65190.0"/>
        <n v="65191.0"/>
        <n v="65192.0"/>
        <n v="65194.0"/>
        <n v="65195.0"/>
        <n v="65196.0"/>
        <n v="65197.0"/>
        <n v="65198.0"/>
        <n v="65199.0"/>
        <n v="65200.0"/>
        <n v="65201.0"/>
        <n v="65202.0"/>
        <n v="65203.0"/>
        <n v="65204.0"/>
        <n v="65205.0"/>
        <n v="65206.0"/>
        <n v="65207.0"/>
        <n v="65208.0"/>
        <n v="65209.0"/>
        <n v="65210.0"/>
        <n v="65213.0"/>
        <n v="65214.0"/>
        <n v="65215.0"/>
        <n v="65216.0"/>
        <n v="65217.0"/>
        <n v="65218.0"/>
        <n v="65219.0"/>
        <n v="65220.0"/>
        <n v="65222.0"/>
        <n v="65223.0"/>
        <n v="65225.0"/>
        <n v="65226.0"/>
        <n v="65227.0"/>
        <n v="65228.0"/>
        <n v="65229.0"/>
        <n v="65230.0"/>
        <n v="65231.0"/>
        <n v="65232.0"/>
        <n v="65233.0"/>
        <n v="65234.0"/>
        <n v="65235.0"/>
        <n v="65236.0"/>
        <n v="65237.0"/>
        <n v="65238.0"/>
        <n v="65239.0"/>
        <n v="65240.0"/>
        <n v="65241.0"/>
        <n v="65242.0"/>
        <n v="65244.0"/>
        <n v="65245.0"/>
        <n v="65246.0"/>
        <n v="65251.0"/>
        <n v="65252.0"/>
        <n v="65253.0"/>
        <n v="65254.0"/>
        <n v="65259.0"/>
        <n v="65260.0"/>
        <n v="65261.0"/>
        <n v="65262.0"/>
        <n v="65264.0"/>
        <n v="65265.0"/>
        <n v="65266.0"/>
        <n v="65267.0"/>
        <n v="65268.0"/>
        <n v="65269.0"/>
        <n v="65270.0"/>
        <n v="65271.0"/>
        <n v="65272.0"/>
        <n v="65274.0"/>
        <n v="65275.0"/>
        <n v="65276.0"/>
        <n v="65277.0"/>
        <n v="65278.0"/>
        <n v="65280.0"/>
        <n v="65281.0"/>
        <n v="65282.0"/>
        <n v="65283.0"/>
        <n v="65284.0"/>
        <n v="65285.0"/>
        <n v="65287.0"/>
        <n v="65288.0"/>
        <n v="65294.0"/>
        <n v="65295.0"/>
        <n v="65296.0"/>
        <n v="65297.0"/>
        <n v="65298.0"/>
        <n v="65299.0"/>
        <n v="65300.0"/>
        <n v="65301.0"/>
        <n v="65304.0"/>
        <n v="65305.0"/>
        <n v="65306.0"/>
        <n v="65307.0"/>
        <n v="65308.0"/>
        <n v="65309.0"/>
        <n v="65310.0"/>
        <n v="65311.0"/>
        <n v="65312.0"/>
        <n v="65313.0"/>
        <n v="65314.0"/>
        <n v="65315.0"/>
        <n v="65316.0"/>
        <n v="65317.0"/>
        <n v="65318.0"/>
        <n v="65319.0"/>
        <n v="65320.0"/>
        <n v="65321.0"/>
        <n v="65322.0"/>
        <n v="65323.0"/>
        <n v="65324.0"/>
        <n v="65325.0"/>
        <n v="65326.0"/>
        <n v="65327.0"/>
        <n v="65328.0"/>
        <n v="65329.0"/>
        <n v="65330.0"/>
        <n v="65331.0"/>
        <n v="65332.0"/>
        <n v="65334.0"/>
        <n v="65338.0"/>
        <n v="65339.0"/>
        <n v="65340.0"/>
        <n v="65341.0"/>
        <n v="65344.0"/>
        <n v="65345.0"/>
        <n v="65346.0"/>
        <n v="65347.0"/>
        <n v="65348.0"/>
        <n v="65350.0"/>
        <n v="65351.0"/>
        <n v="65352.0"/>
        <n v="65353.0"/>
        <n v="65354.0"/>
        <n v="65355.0"/>
        <n v="65356.0"/>
        <n v="65357.0"/>
        <n v="65358.0"/>
        <n v="65359.0"/>
        <n v="65360.0"/>
        <n v="65361.0"/>
        <n v="65362.0"/>
        <n v="65363.0"/>
        <n v="65364.0"/>
        <n v="65365.0"/>
        <n v="65366.0"/>
        <n v="65367.0"/>
        <n v="65368.0"/>
        <n v="65369.0"/>
        <n v="65370.0"/>
        <n v="65371.0"/>
        <n v="65372.0"/>
        <n v="65373.0"/>
        <n v="65374.0"/>
        <n v="65375.0"/>
        <n v="65376.0"/>
        <n v="65377.0"/>
        <n v="65379.0"/>
        <n v="65380.0"/>
        <n v="65381.0"/>
        <n v="65382.0"/>
        <n v="65383.0"/>
        <n v="65384.0"/>
        <n v="65385.0"/>
        <n v="65386.0"/>
        <n v="65387.0"/>
        <n v="65388.0"/>
        <n v="65389.0"/>
        <n v="65390.0"/>
        <n v="65391.0"/>
        <n v="65392.0"/>
        <n v="65393.0"/>
        <n v="65394.0"/>
        <n v="65395.0"/>
        <n v="65396.0"/>
        <n v="65399.0"/>
        <n v="65400.0"/>
        <n v="65401.0"/>
        <n v="65402.0"/>
        <n v="65403.0"/>
        <n v="65404.0"/>
        <n v="65405.0"/>
        <n v="65408.0"/>
        <n v="65409.0"/>
        <n v="65410.0"/>
        <n v="65411.0"/>
        <n v="65412.0"/>
        <n v="65413.0"/>
        <n v="65415.0"/>
        <n v="65416.0"/>
        <n v="65417.0"/>
        <n v="65418.0"/>
        <n v="65419.0"/>
        <n v="65420.0"/>
        <n v="65425.0"/>
        <n v="65427.0"/>
        <n v="65428.0"/>
        <n v="65429.0"/>
        <n v="65430.0"/>
        <n v="65431.0"/>
        <n v="65432.0"/>
        <n v="65433.0"/>
        <n v="65434.0"/>
        <n v="65435.0"/>
        <n v="65436.0"/>
        <n v="65437.0"/>
        <n v="65439.0"/>
        <n v="65440.0"/>
        <n v="65441.0"/>
        <n v="65442.0"/>
        <n v="65443.0"/>
        <n v="65444.0"/>
        <n v="65445.0"/>
        <n v="65446.0"/>
        <n v="65447.0"/>
        <n v="65448.0"/>
        <n v="65449.0"/>
        <n v="65450.0"/>
        <n v="65451.0"/>
        <n v="65452.0"/>
        <n v="65453.0"/>
        <n v="65454.0"/>
        <n v="65455.0"/>
        <n v="65457.0"/>
        <n v="65458.0"/>
        <n v="65459.0"/>
        <n v="65460.0"/>
        <n v="65461.0"/>
        <n v="65462.0"/>
        <n v="65463.0"/>
        <n v="65464.0"/>
        <n v="65465.0"/>
        <n v="65467.0"/>
        <n v="65468.0"/>
        <n v="65469.0"/>
        <n v="65470.0"/>
        <n v="65471.0"/>
        <n v="65472.0"/>
        <n v="65473.0"/>
        <n v="65474.0"/>
        <n v="65475.0"/>
        <n v="65476.0"/>
        <n v="65479.0"/>
        <n v="65480.0"/>
        <n v="65481.0"/>
        <n v="65482.0"/>
        <n v="65483.0"/>
        <n v="65484.0"/>
        <n v="65485.0"/>
        <n v="65486.0"/>
        <n v="65487.0"/>
        <n v="65489.0"/>
        <n v="65490.0"/>
        <n v="65491.0"/>
        <n v="65492.0"/>
        <n v="65493.0"/>
        <n v="65494.0"/>
        <n v="65495.0"/>
        <n v="65496.0"/>
        <n v="65497.0"/>
        <n v="65498.0"/>
        <n v="65499.0"/>
        <n v="65500.0"/>
        <n v="65501.0"/>
        <n v="65502.0"/>
        <n v="65503.0"/>
        <n v="65504.0"/>
        <n v="65505.0"/>
        <n v="65506.0"/>
        <n v="65507.0"/>
        <n v="65508.0"/>
        <n v="65509.0"/>
        <n v="65510.0"/>
        <n v="65511.0"/>
        <n v="65512.0"/>
        <n v="65513.0"/>
        <n v="65514.0"/>
        <n v="65516.0"/>
        <n v="65517.0"/>
        <n v="65518.0"/>
        <n v="65519.0"/>
        <n v="65521.0"/>
        <n v="65522.0"/>
        <n v="65523.0"/>
        <n v="65524.0"/>
        <n v="65525.0"/>
        <n v="65526.0"/>
        <n v="65527.0"/>
        <n v="65528.0"/>
        <n v="65529.0"/>
        <n v="65530.0"/>
        <n v="65531.0"/>
        <n v="65532.0"/>
        <n v="65533.0"/>
        <n v="65534.0"/>
        <n v="65535.0"/>
        <n v="65536.0"/>
        <n v="65537.0"/>
        <n v="65538.0"/>
        <n v="65539.0"/>
        <n v="65540.0"/>
        <n v="65544.0"/>
        <n v="65546.0"/>
        <n v="65547.0"/>
        <n v="65548.0"/>
        <n v="65549.0"/>
        <n v="65550.0"/>
        <n v="65551.0"/>
        <n v="65552.0"/>
        <n v="65553.0"/>
        <n v="65554.0"/>
        <n v="65555.0"/>
        <n v="65556.0"/>
        <n v="65557.0"/>
        <n v="65558.0"/>
        <n v="65559.0"/>
        <n v="65560.0"/>
        <n v="65561.0"/>
        <n v="65562.0"/>
        <n v="65563.0"/>
        <n v="65564.0"/>
        <n v="65565.0"/>
        <n v="65566.0"/>
        <n v="65567.0"/>
        <n v="65569.0"/>
        <n v="65570.0"/>
        <n v="65571.0"/>
        <n v="65572.0"/>
        <n v="65574.0"/>
        <n v="65575.0"/>
        <n v="65576.0"/>
        <n v="65577.0"/>
        <n v="65578.0"/>
        <n v="65579.0"/>
        <n v="65580.0"/>
        <n v="65581.0"/>
        <n v="65582.0"/>
        <n v="65583.0"/>
        <n v="65585.0"/>
        <n v="65586.0"/>
        <n v="65589.0"/>
        <n v="65590.0"/>
        <n v="65591.0"/>
        <n v="65592.0"/>
        <n v="65594.0"/>
        <n v="65595.0"/>
        <n v="65596.0"/>
        <n v="65597.0"/>
        <n v="65598.0"/>
        <n v="65599.0"/>
        <n v="65600.0"/>
        <n v="65601.0"/>
        <n v="65602.0"/>
        <n v="65603.0"/>
        <n v="65604.0"/>
        <n v="65605.0"/>
        <n v="65606.0"/>
        <n v="65608.0"/>
        <n v="65609.0"/>
        <n v="65612.0"/>
        <n v="65615.0"/>
        <n v="65617.0"/>
        <n v="65618.0"/>
        <n v="65619.0"/>
        <n v="65621.0"/>
        <n v="65622.0"/>
        <n v="65623.0"/>
        <n v="65625.0"/>
        <n v="65626.0"/>
        <n v="65631.0"/>
        <n v="65632.0"/>
        <n v="65633.0"/>
        <n v="65634.0"/>
        <n v="65635.0"/>
        <n v="65637.0"/>
        <n v="65638.0"/>
        <n v="65640.0"/>
        <n v="65641.0"/>
        <n v="65642.0"/>
        <n v="65643.0"/>
        <n v="65644.0"/>
        <n v="65645.0"/>
        <n v="65646.0"/>
        <n v="65647.0"/>
        <n v="65648.0"/>
        <n v="65649.0"/>
        <n v="65650.0"/>
        <n v="65651.0"/>
        <n v="65652.0"/>
        <n v="65653.0"/>
        <n v="65654.0"/>
        <n v="65655.0"/>
        <n v="65656.0"/>
        <n v="65657.0"/>
        <n v="65658.0"/>
        <n v="65659.0"/>
        <n v="65660.0"/>
        <n v="65661.0"/>
        <n v="65662.0"/>
        <n v="65663.0"/>
        <n v="65664.0"/>
        <n v="65665.0"/>
        <n v="65666.0"/>
        <n v="65667.0"/>
        <n v="65668.0"/>
        <n v="65669.0"/>
        <n v="65670.0"/>
        <n v="65671.0"/>
        <n v="65672.0"/>
        <n v="65673.0"/>
        <n v="65676.0"/>
        <n v="65677.0"/>
        <n v="65678.0"/>
        <n v="65682.0"/>
        <n v="65683.0"/>
        <n v="65684.0"/>
        <n v="65685.0"/>
        <n v="65686.0"/>
        <n v="65687.0"/>
        <n v="65688.0"/>
        <n v="65690.0"/>
        <n v="65692.0"/>
        <n v="65693.0"/>
        <n v="65694.0"/>
        <n v="65695.0"/>
        <n v="65696.0"/>
        <n v="65697.0"/>
        <n v="65699.0"/>
        <n v="65700.0"/>
        <n v="65701.0"/>
        <n v="65702.0"/>
        <n v="65703.0"/>
        <n v="65704.0"/>
        <n v="65705.0"/>
        <n v="65706.0"/>
        <n v="65707.0"/>
        <n v="65709.0"/>
        <n v="65710.0"/>
        <n v="65712.0"/>
        <n v="65713.0"/>
        <n v="65714.0"/>
        <n v="65716.0"/>
        <n v="65717.0"/>
        <n v="65718.0"/>
        <n v="65719.0"/>
        <n v="65720.0"/>
        <n v="65721.0"/>
        <n v="65722.0"/>
        <n v="65723.0"/>
        <n v="65724.0"/>
        <n v="65725.0"/>
        <n v="65726.0"/>
        <n v="65727.0"/>
        <n v="65729.0"/>
        <n v="65730.0"/>
        <n v="65737.0"/>
        <n v="65740.0"/>
        <n v="65741.0"/>
        <n v="65742.0"/>
        <n v="65743.0"/>
        <n v="65744.0"/>
        <n v="65747.0"/>
        <n v="65748.0"/>
        <n v="65749.0"/>
        <n v="65750.0"/>
        <n v="65751.0"/>
        <n v="65752.0"/>
        <n v="65753.0"/>
        <n v="65755.0"/>
        <n v="65757.0"/>
        <n v="65758.0"/>
        <n v="65759.0"/>
        <n v="65761.0"/>
        <n v="65762.0"/>
        <n v="65765.0"/>
        <n v="65766.0"/>
        <n v="65768.0"/>
        <n v="65770.0"/>
      </sharedItems>
    </cacheField>
    <cacheField name="Names" numFmtId="0">
      <sharedItems>
        <s v="Aarav Dutta"/>
        <s v="Dev Joshi"/>
        <s v="Manya Sharma"/>
        <s v="Samarth Iyer"/>
        <s v="Mishka Jain"/>
        <s v="Ira Naidu"/>
        <s v="Aaryan Sinha"/>
        <s v="Arnav Nair"/>
        <s v="Lavanya Pillai"/>
        <s v="Aaryan Mehta"/>
        <s v="Diya Gupta"/>
        <s v="Kian Mishra"/>
        <s v="Ayaan Kapoor"/>
        <s v="Manya Malik"/>
        <s v="Laksh Dutta"/>
        <s v="Aaradhya Sharma"/>
        <s v="Ira Joshi"/>
        <s v="Samarth Nair"/>
        <s v="Sai Singh"/>
        <s v="Dev Sharma"/>
        <s v="Vihaan Pillai"/>
        <s v="Manya Pillai"/>
        <s v="Om Thakur"/>
        <s v="Naira Rao"/>
        <s v="Aarohi Reddy"/>
        <s v="Anvi Verma"/>
        <s v="Tara Sinha"/>
        <s v="Vihaan Jain"/>
        <s v="Diya Sharma"/>
        <s v="Vivaan Reddy"/>
        <s v="Saanvi Naidu"/>
        <s v="Riddhi Malik"/>
        <s v="Aaryan Bhatt"/>
        <s v="Charvi Bhatt"/>
        <s v="Aryan Nair"/>
        <s v="Aaryan Kumar"/>
        <s v="Samarth Kapoor"/>
        <s v="Gauri Chopra"/>
        <s v="Vivaan Singh"/>
        <s v="Vanya Malik"/>
        <s v="Ira Gupta"/>
        <s v="Laksh Kulkarni"/>
        <s v="Atharv Singh"/>
        <s v="Saanvi Kulkarni"/>
        <s v="Vanya Nair"/>
        <s v="Aarohi Gupta"/>
        <s v="Siya Jain"/>
        <s v="Sai Malik"/>
        <s v="Harsh Desai"/>
        <s v="Om Reddy"/>
        <s v="Diya Sinha"/>
        <s v="Harsh Verma"/>
        <s v="Mahira Gupta"/>
        <s v="Prisha Reddy"/>
        <s v="Naira Bhat"/>
        <s v="Inaaya Mishra"/>
        <s v="Kabir Thakur"/>
        <s v="Gauri Patel"/>
        <s v="Atharv Prasad"/>
        <s v="Kabir Nair"/>
        <s v="Kyra Verma"/>
        <s v="Myra Dutta"/>
        <s v="Samarth Jain"/>
        <s v="Krishna Thakur"/>
        <s v="Aarohi Sharma"/>
        <s v="Anaya Singh"/>
        <s v="Shaurya Pillai"/>
        <s v="Aryan Reddy"/>
        <s v="Vanya Bhatt"/>
        <s v="Aarohi Malik"/>
        <s v="Vihaan Kulkarni"/>
        <s v="Vihaan Reddy"/>
        <s v="Vihaan Rao"/>
        <s v="Shaurya Mishra"/>
        <s v="Vivaan Sharma"/>
        <s v="Raghav Iyer"/>
        <s v="Siya Desai"/>
        <s v="Kian Agarwal"/>
        <s v="Ira Thakur"/>
        <s v="Aarohi Chopra"/>
        <s v="Vivaan Patel"/>
        <s v="Siya Joshi"/>
        <s v="Siddharth Iyer"/>
        <s v="Manya Desai"/>
        <s v="Eva Sinha"/>
        <s v="Aaryan Nair"/>
        <s v="Avni Verma"/>
        <s v="Raghav Patel"/>
        <s v="Raghav Thakur"/>
        <s v="Raghav Chowdhury"/>
        <s v="Ira Kapoor"/>
        <s v="Aditya Chowdhury"/>
        <s v="Aditya Naidu"/>
        <s v="Arjun Naidu"/>
        <s v="Charvi Naidu"/>
        <s v="Ira Sinha"/>
        <s v="Rishi Verma"/>
        <s v="Aditya Bhatt"/>
        <s v="Dhanush Verma"/>
        <s v="Shivansh Thakur"/>
        <s v="Ayaan Reddy"/>
        <s v="Raghav Kumar"/>
        <s v="Aaryan Dutta"/>
        <s v="Arjun Chowdhury"/>
        <s v="Parth Kumar"/>
        <s v="Raghav Reddy"/>
        <s v="Raghav Bhat"/>
        <s v="Saanvi Kumar"/>
        <s v="Arnav Jain"/>
        <s v="Arjun Mehta"/>
        <s v="Kashvi Das"/>
        <s v="Vanya Naidu"/>
        <s v="Kyra Thakur"/>
        <s v="Charvi Gupta"/>
        <s v="Krishna Prasad"/>
        <s v="Shaurya Verma"/>
        <s v="Om Kulkarni"/>
        <s v="Arnav Malik"/>
        <s v="Dhanush Rao"/>
        <s v="Krishna Kapoor"/>
        <s v="Kashvi Verma"/>
        <s v="Kian Sharma"/>
        <s v="Navya Singh"/>
        <s v="Sara Nair"/>
        <s v="Gauri Joshi"/>
        <s v="Riddhi Sinha"/>
        <s v="Dev Kapoor"/>
        <s v="Kian Sinha"/>
        <s v="Aarohi Prasad"/>
        <s v="Charvi Malik"/>
        <s v="Avni Sinha"/>
        <s v="Avni Agarwal"/>
        <s v="Shivansh Jain"/>
        <s v="Aryan Bhatt"/>
        <s v="Ayaan Chowdhury"/>
        <s v="Naira Singh"/>
        <s v="Kyra Kumar"/>
        <s v="Anvi Chopra"/>
        <s v="Kyra Sinha"/>
        <s v="Reyansh Reddy"/>
        <s v="Avni Nair"/>
        <s v="Lavanya Verma"/>
        <s v="Myra Kulkarni"/>
        <s v="Mishka Pillai"/>
        <s v="Parth Rao"/>
        <s v="Inaaya Reddy"/>
        <s v="Vanya Gupta"/>
        <s v="Lavanya Reddy"/>
        <s v="Shivansh Bhat"/>
        <s v="Shivansh Mishra"/>
        <s v="Navya Iyer"/>
        <s v="Ishaan Singh"/>
        <s v="Krishna Desai"/>
        <s v="Reyansh Jain"/>
        <s v="Diya Desai"/>
        <s v="Vanya Sinha"/>
        <s v="Eva Chopra"/>
        <s v="Aaradhya Pillai"/>
        <s v="Riddhi Gupta"/>
        <s v="Raghav Gupta"/>
        <s v="Shaurya Bhatt"/>
        <s v="Kyra Malik"/>
        <s v="Mahira Agarwal"/>
        <s v="Arnav Sharma"/>
        <s v="Aryan Sharma"/>
        <s v="Kashvi Patel"/>
        <s v="Riddhi Kumar"/>
        <s v="Eva Malik"/>
        <s v="Tara Sharma"/>
        <s v="Saanvi Bhat"/>
        <s v="Shaurya Rao"/>
        <s v="Parth Das"/>
        <s v="Sara Chowdhury"/>
        <s v="Avni Bhatt"/>
        <s v="Manya Rao"/>
        <s v="Vihaan Patel"/>
        <s v="Rishi Agarwal"/>
        <s v="Naira Reddy"/>
        <s v="Charvi Chopra"/>
        <s v="Kabir Agarwal"/>
        <s v="Tara Patel"/>
        <s v="Eva Verma"/>
        <s v="Rishi Sinha"/>
        <s v="Diya Rao"/>
        <s v="Saanvi Dutta"/>
        <s v="Riddhi Sharma"/>
        <s v="Sai Jain"/>
        <s v="Anvi Agarwal"/>
        <s v="Prisha Mishra"/>
        <s v="Anaya Patel"/>
        <s v="Raghav Singh"/>
        <s v="Aarav Mishra"/>
        <s v="Shaurya Sharma"/>
        <s v="Inaaya Nair"/>
        <s v="Aarohi Mehta"/>
        <s v="Tara Chopra"/>
        <s v="Myra Agarwal"/>
        <s v="Ayaan Singh"/>
        <s v="Vihaan Malik"/>
        <s v="Dhanush Singh"/>
        <s v="Aarav Das"/>
        <s v="Aaradhya Chowdhury"/>
        <s v="Vihaan Sinha"/>
        <s v="Shanaya Chowdhury"/>
        <s v="Reyansh Patel"/>
        <s v="Arjun Verma"/>
        <s v="Anirudh Agarwal"/>
        <s v="Saanvi Singh"/>
        <s v="Sara Agarwal"/>
        <s v="Ira Kulkarni"/>
        <s v="Myra Bhat"/>
        <s v="Diya Jain"/>
        <s v="Shanaya Agarwal"/>
        <s v="Rishi Rao"/>
        <s v="Charvi Bhat"/>
        <s v="Arnav Chowdhury"/>
        <s v="Inaaya Das"/>
        <s v="Atharv Iyer"/>
        <s v="Harsh Kulkarni"/>
        <s v="Ira Pillai"/>
        <s v="Mishka Singh"/>
        <s v="Anaya Thakur"/>
        <s v="Ishaan Gupta"/>
        <s v="Aadhya Naidu"/>
        <s v="Aadhya Kapoor"/>
        <s v="Anirudh Mehta"/>
        <s v="Aadhya Das"/>
        <s v="Yashvi Patel"/>
        <s v="Reyansh Dutta"/>
        <s v="Kian Rao"/>
        <s v="Navya Mishra"/>
        <s v="Naira Bhatt"/>
        <s v="Vivaan Desai"/>
        <s v="Kabir Mishra"/>
        <s v="Kyra Sharma"/>
        <s v="Ishaan Agarwal"/>
        <s v="Shanaya Sinha"/>
        <s v="Ira Bhat"/>
        <s v="Avni Mishra"/>
        <s v="Samarth Kulkarni"/>
        <s v="Harsh Rao"/>
        <s v="Vivaan Iyer"/>
        <s v="Reyansh Sharma"/>
        <s v="Gauri Thakur"/>
        <s v="Charvi Kulkarni"/>
        <s v="Mahira Chopra"/>
        <s v="Raghav Pillai"/>
        <s v="Shivansh Sinha"/>
        <s v="Lavanya Bhatt"/>
        <s v="Shanaya Kumar"/>
        <s v="Ishaan Kulkarni"/>
        <s v="Anvi Mehta"/>
        <s v="Sai Kumar"/>
        <s v="Prisha Chopra"/>
        <s v="Aarav Chowdhury"/>
        <s v="Anirudh Singh"/>
        <s v="Rishi Malik"/>
        <s v="Shaurya Singh"/>
        <s v="Samarth Sinha"/>
        <s v="Yashvi Verma"/>
        <s v="Aadhya Pillai"/>
        <s v="Vanya Desai"/>
        <s v="Inaaya Gupta"/>
        <s v="Sara Mehta"/>
        <s v="Aadhya Dutta"/>
        <s v="Ayaan Mehta"/>
        <s v="Riddhi Rao"/>
        <s v="Kabir Verma"/>
        <s v="Aadhya Malik"/>
        <s v="Arjun Chopra"/>
        <s v="Sara Dutta"/>
        <s v="Om Gupta"/>
        <s v="Lavanya Bhat"/>
        <s v="Anvi Iyer"/>
        <s v="Aditya Patel"/>
        <s v="Samarth Agarwal"/>
        <s v="Sara Verma"/>
        <s v="Siya Kapoor"/>
        <s v="Naira Gupta"/>
        <s v="Aadhya Sinha"/>
        <s v="Diya Pillai"/>
        <s v="Anvi Nair"/>
        <s v="Vivaan Mishra"/>
        <s v="Ayaan Malik"/>
        <s v="Anvi Bhatt"/>
        <s v="Samarth Patel"/>
        <s v="Shanaya Pillai"/>
        <s v="Mahira Sinha"/>
        <s v="Samarth Dutta"/>
        <s v="Shivansh Kumar"/>
        <s v="Aaradhya Gupta"/>
        <s v="Rudra Iyer"/>
        <s v="Mishka Sinha"/>
        <s v="Aditya Nair"/>
        <s v="Samarth Rao"/>
        <s v="Ira Rao"/>
        <s v="Diya Mehta"/>
        <s v="Shivansh Agarwal"/>
        <s v="Ayaan Bhat"/>
        <s v="Diya Prasad"/>
        <s v="Anvi Dutta"/>
        <s v="Dhanush Sinha"/>
        <s v="Anaya Kumar"/>
        <s v="Arnav Dutta"/>
        <s v="Kian Bhatt"/>
        <s v="Gauri Desai"/>
        <s v="Eva Iyer"/>
        <s v="Aarohi Pillai"/>
        <s v="Om Rao"/>
        <s v="Aryan Dutta"/>
        <s v="Siya Malik"/>
        <s v="Kian Kumar"/>
        <s v="Reyansh Gupta"/>
        <s v="Kyra Patel"/>
        <s v="Dhanush Gupta"/>
        <s v="Mishka Sharma"/>
        <s v="Vivaan Agarwal"/>
        <s v="Ayaan Verma"/>
        <s v="Kian Dutta"/>
        <s v="Shanaya Jain"/>
        <s v="Dev Reddy"/>
        <s v="Sara Chopra"/>
        <s v="Mishka Nair"/>
        <s v="Aadhya Verma"/>
        <s v="Siya Chopra"/>
        <s v="Vanya Jain"/>
        <s v="Vanya Rao"/>
        <s v="Aarohi Mishra"/>
        <s v="Kabir Naidu"/>
        <s v="Rishi Naidu"/>
        <s v="Riddhi Bhat"/>
        <s v="Atharv Bhatt"/>
        <s v="Navya Bhat"/>
        <s v="Kyra Agarwal"/>
        <s v="Ira Dutta"/>
        <s v="Tara Mehta"/>
        <s v="Shaurya Naidu"/>
        <s v="Siddharth Thakur"/>
        <s v="Siya Bhatt"/>
        <s v="Avni Reddy"/>
        <s v="Shivansh Sharma"/>
        <s v="Kashvi Naidu"/>
        <s v="Krishna Iyer"/>
        <s v="Siya Agarwal"/>
        <s v="Arnav Patel"/>
        <s v="Charvi Das"/>
        <s v="Krishna Singh"/>
        <s v="Siya Sharma"/>
        <s v="Inaaya Sharma"/>
        <s v="Reyansh Prasad"/>
        <s v="Saanvi Patel"/>
        <s v="Siya Das"/>
        <s v="Aaradhya Prasad"/>
        <s v="Siddharth Verma"/>
        <s v="Rishi Mishra"/>
        <s v="Krishna Sharma"/>
        <s v="Rudra Jain"/>
        <s v="Charvi Kapoor"/>
        <s v="Ishaan Mehta"/>
        <s v="Ishaan Bhat"/>
        <s v="Myra Chowdhury"/>
        <s v="Tara Naidu"/>
        <s v="Kian Chopra"/>
        <s v="Anvi Gupta"/>
        <s v="Mishka Bhatt"/>
        <s v="Parth Chopra"/>
        <s v="Lavanya Jain"/>
        <s v="Rishi Joshi"/>
        <s v="Dev Sinha"/>
        <s v="Diya Kulkarni"/>
        <s v="Anaya Agarwal"/>
        <s v="Kashvi Iyer"/>
        <s v="Ishaan Joshi"/>
        <s v="Aditya Chopra"/>
        <s v="Aadhya Chowdhury"/>
        <s v="Prisha Kumar"/>
        <s v="Laksh Agarwal"/>
        <s v="Aaryan Bhat"/>
        <s v="Parth Desai"/>
        <s v="Aadhya Thakur"/>
        <s v="Aryan Kumar"/>
        <s v="Anvi Prasad"/>
        <s v="Gauri Malik"/>
        <s v="Aarav Chopra"/>
        <s v="Arnav Bhat"/>
        <s v="Anvi Singh"/>
        <s v="Ishaan Sharma"/>
        <s v="Sai Pillai"/>
        <s v="Inaaya Kulkarni"/>
        <s v="Ishaan Kapoor"/>
        <s v="Arnav Verma"/>
        <s v="Diya Naidu"/>
        <s v="Mahira Naidu"/>
        <s v="Aarav Prasad"/>
        <s v="Kyra Chopra"/>
        <s v="Rishi Reddy"/>
        <s v="Ira Patel"/>
        <s v="Mahira Iyer"/>
        <s v="Raghav Jain"/>
        <s v="Siya Bhat"/>
        <s v="Aarav Sinha"/>
        <s v="Kabir Rao"/>
        <s v="Arnav Mishra"/>
        <s v="Kabir Patel"/>
        <s v="Riddhi Prasad"/>
        <s v="Ira Verma"/>
        <s v="Inaaya Bhatt"/>
        <s v="Laksh Das"/>
        <s v="Navya Malik"/>
        <s v="Lavanya Patel"/>
        <s v="Anaya Sharma"/>
        <s v="Mahira Chowdhury"/>
        <s v="Siya Sinha"/>
        <s v="Aaradhya Mehta"/>
        <s v="Sara Das"/>
        <s v="Ishaan Chopra"/>
        <s v="Vivaan Bhatt"/>
        <s v="Aadhya Bhatt"/>
        <s v="Diya Agarwal"/>
        <s v="Charvi Kumar"/>
        <s v="Aaradhya Iyer"/>
        <s v="Yashvi Singh"/>
        <s v="Gauri Iyer"/>
        <s v="Shivansh Rao"/>
        <s v="Prisha Bhat"/>
        <s v="Rudra Sharma"/>
        <s v="Diya Mishra"/>
        <s v="Naira Kulkarni"/>
        <s v="Atharv Agarwal"/>
        <s v="Ira Iyer"/>
        <s v="Mahira Malik"/>
        <s v="Avni Mehta"/>
        <s v="Avni Sharma"/>
        <s v="Sara Prasad"/>
        <s v="Tara Dutta"/>
        <s v="Dhanush Pillai"/>
        <s v="Aryan Mehta"/>
        <s v="Aaryan Desai"/>
        <s v="Avni Kumar"/>
        <s v="Anvi Chowdhury"/>
        <s v="Sai Verma"/>
        <s v="Arjun Gupta"/>
        <s v="Shaurya Chopra"/>
        <s v="Reyansh Naidu"/>
        <s v="Ishaan Desai"/>
        <s v="Siddharth Jain"/>
        <s v="Reyansh Kapoor"/>
        <s v="Aarav Malik"/>
        <s v="Gauri Bhat"/>
        <s v="Atharv Joshi"/>
        <s v="Sara Kumar"/>
        <s v="Riddhi Mishra"/>
        <s v="Vanya Chowdhury"/>
        <s v="Prisha Verma"/>
        <s v="Rudra Verma"/>
        <s v="Siddharth Gupta"/>
        <s v="Eva Rao"/>
        <s v="Aditya Kulkarni"/>
        <s v="Aaradhya Das"/>
        <s v="Sara Sharma"/>
        <s v="Shivansh Naidu"/>
        <s v="Siya Naidu"/>
        <s v="Vivaan Chowdhury"/>
        <s v="Avni Joshi"/>
        <s v="Anvi Rao"/>
        <s v="Reyansh Verma"/>
        <s v="Reyansh Desai"/>
        <s v="Rishi Kapoor"/>
        <s v="Shaurya Kapoor"/>
        <s v="Kabir Kapoor"/>
        <s v="Charvi Jain"/>
        <s v="Vihaan Mehta"/>
        <s v="Sai Das"/>
        <s v="Inaaya Prasad"/>
        <s v="Dhanush Bhat"/>
        <s v="Myra Sharma"/>
        <s v="Vihaan Prasad"/>
        <s v="Vivaan Sinha"/>
        <s v="Siya Verma"/>
        <s v="Om Malik"/>
        <s v="Laksh Chopra"/>
        <s v="Rishi Thakur"/>
        <s v="Parth Bhat"/>
        <s v="Lavanya Dutta"/>
        <s v="Aadhya Desai"/>
        <s v="Siddharth Bhat"/>
        <s v="Aarohi Iyer"/>
        <s v="Om Sinha"/>
        <s v="Arjun Nair"/>
        <s v="Rudra Nair"/>
        <s v="Ira Sharma"/>
        <s v="Vihaan Bhatt"/>
        <s v="Raghav Dutta"/>
        <s v="Aarav Patel"/>
        <s v="Arnav Singh"/>
        <s v="Ishaan Reddy"/>
        <s v="Kabir Desai"/>
        <s v="Anvi Patel"/>
        <s v="Ishaan Pillai"/>
        <s v="Siya Gupta"/>
        <s v="Kyra Prasad"/>
        <s v="Shaurya Agarwal"/>
        <s v="Atharv Nair"/>
        <s v="Aaryan Rao"/>
        <s v="Naira Mehta"/>
        <s v="Yashvi Naidu"/>
        <s v="Rishi Kulkarni"/>
        <s v="Dhanush Dutta"/>
        <s v="Eva Bhat"/>
        <s v="Kabir Reddy"/>
        <s v="Krishna Patel"/>
        <s v="Ira Desai"/>
        <s v="Krishna Jain"/>
        <s v="Krishna Agarwal"/>
        <s v="Mishka Rao"/>
        <s v="Avni Singh"/>
        <s v="Arjun Thakur"/>
        <s v="Shanaya Bhatt"/>
        <s v="Aaradhya Thakur"/>
        <s v="Aarav Kumar"/>
        <s v="Inaaya Rao"/>
        <s v="Myra Kumar"/>
        <s v="Raghav Sinha"/>
        <s v="Vanya Joshi"/>
        <s v="Reyansh Pillai"/>
        <s v="Siddharth Naidu"/>
        <s v="Aaradhya Joshi"/>
        <s v="Vivaan Rao"/>
        <s v="Vanya Kapoor"/>
        <s v="Sara Joshi"/>
        <s v="Manya Mishra"/>
        <s v="Vanya Verma"/>
        <s v="Riddhi Iyer"/>
        <s v="Sai Mishra"/>
        <s v="Anvi Pillai"/>
        <s v="Manya Kumar"/>
        <s v="Manya Naidu"/>
        <s v="Tara Rao"/>
        <s v="Arnav Das"/>
        <s v="Dev Kumar"/>
        <s v="Tara Joshi"/>
        <s v="Ayaan Prasad"/>
        <s v="Rudra Patel"/>
        <s v="Harsh Malik"/>
        <s v="Arjun Rao"/>
        <s v="Atharv Sharma"/>
        <s v="Inaaya Pillai"/>
        <s v="Kashvi Sinha"/>
        <s v="Yashvi Kulkarni"/>
        <s v="Siya Patel"/>
        <s v="Rishi Das"/>
        <s v="Rishi Dutta"/>
        <s v="Samarth Pillai"/>
        <s v="Ayaan Agarwal"/>
        <s v="Lavanya Mishra"/>
        <s v="Sara Mishra"/>
        <s v="Naira Sinha"/>
        <s v="Shivansh Mehta"/>
        <s v="Inaaya Desai"/>
        <s v="Aaryan Thakur"/>
        <s v="Myra Bhatt"/>
        <s v="Gauri Sinha"/>
        <s v="Dev Verma"/>
        <s v="Charvi Thakur"/>
        <s v="Saanvi Chopra"/>
        <s v="Yashvi Mishra"/>
        <s v="Arjun Patel"/>
        <s v="Saanvi Bhatt"/>
        <s v="Yashvi Mehta"/>
        <s v="Om Mehta"/>
        <s v="Sara Pillai"/>
        <s v="Sara Bhatt"/>
        <s v="Sai Kapoor"/>
        <s v="Atharv Bhat"/>
        <s v="Dev Chowdhury"/>
        <s v="Ayaan Joshi"/>
        <s v="Samarth Malik"/>
        <s v="Anirudh Bhat"/>
        <s v="Prisha Naidu"/>
        <s v="Aadhya Chopra"/>
        <s v="Ayaan Dutta"/>
        <s v="Lavanya Iyer"/>
        <s v="Krishna Rao"/>
        <s v="Anaya Chopra"/>
        <s v="Aarav Bhat"/>
        <s v="Yashvi Iyer"/>
        <s v="Raghav Rao"/>
        <s v="Charvi Joshi"/>
        <s v="Naira Desai"/>
        <s v="Naira Das"/>
        <s v="Aaryan Verma"/>
        <s v="Anvi Kulkarni"/>
        <s v="Ayaan Naidu"/>
        <s v="Lavanya Das"/>
        <s v="Diya Joshi"/>
        <s v="Harsh Prasad"/>
        <s v="Om Patel"/>
        <s v="Aarohi Joshi"/>
        <s v="Anirudh Nair"/>
        <s v="Samarth Desai"/>
        <s v="Kabir Chowdhury"/>
        <s v="Dhanush Iyer"/>
        <s v="Anvi Mishra"/>
        <s v="Aadhya Mehta"/>
        <s v="Manya Nair"/>
        <s v="Aarohi Sinha"/>
        <s v="Gauri Jain"/>
        <s v="Kyra Das"/>
        <s v="Ayaan Thakur"/>
        <s v="Harsh Sharma"/>
        <s v="Reyansh Kulkarni"/>
        <s v="Om Chowdhury"/>
        <s v="Anaya Reddy"/>
        <s v="Arnav Agarwal"/>
        <s v="Laksh Bhat"/>
        <s v="Vihaan Dutta"/>
        <s v="Naira Naidu"/>
        <s v="Arnav Kulkarni"/>
        <s v="Mahira Rao"/>
        <s v="Rudra Kulkarni"/>
        <s v="Parth Sinha"/>
        <s v="Krishna Malik"/>
        <s v="Yashvi Prasad"/>
        <s v="Shanaya Das"/>
        <s v="Vihaan Mishra"/>
        <s v="Vivaan Kulkarni"/>
        <s v="Krishna Nair"/>
        <s v="Om Chopra"/>
        <s v="Rishi Desai"/>
        <s v="Aarav Naidu"/>
        <s v="Aaryan Kapoor"/>
        <s v="Om Dutta"/>
        <s v="Saanvi Malik"/>
        <s v="Arjun Jain"/>
        <s v="Parth Jain"/>
        <s v="Rudra Kumar"/>
        <s v="Kyra Iyer"/>
        <s v="Rudra Chopra"/>
        <s v="Arnav Rao"/>
        <s v="Kian Mehta"/>
        <s v="Myra Desai"/>
        <s v="Aryan Das"/>
        <s v="Vanya Pillai"/>
        <s v="Siddharth Das"/>
        <s v="Laksh Sharma"/>
        <s v="Aditya Mishra"/>
        <s v="Yashvi Dutta"/>
        <s v="Parth Mishra"/>
        <s v="Ayaan Rao"/>
        <s v="Ishaan Prasad"/>
        <s v="Reyansh Malik"/>
        <s v="Shaurya Desai"/>
        <s v="Aditya Jain"/>
        <s v="Kashvi Dutta"/>
        <s v="Siya Kulkarni"/>
        <s v="Yashvi Sharma"/>
        <s v="Eva Reddy"/>
        <s v="Om Iyer"/>
        <s v="Aarohi Agarwal"/>
        <s v="Vanya Mehta"/>
        <s v="Laksh Prasad"/>
        <s v="Mahira Desai"/>
        <s v="Aaradhya Bhat"/>
        <s v="Anirudh Bhatt"/>
        <s v="Manya Reddy"/>
        <s v="Manya Thakur"/>
        <s v="Kyra Nair"/>
        <s v="Charvi Iyer"/>
        <s v="Avni Das"/>
        <s v="Parth Chowdhury"/>
        <s v="Aditya Sinha"/>
        <s v="Reyansh Nair"/>
        <s v="Laksh Kapoor"/>
        <s v="Anirudh Gupta"/>
        <s v="Navya Kapoor"/>
        <s v="Kashvi Mehta"/>
        <s v="Sai Chowdhury"/>
        <s v="Aaradhya Dutta"/>
        <s v="Shaurya Kumar"/>
        <s v="Charvi Agarwal"/>
        <s v="Dev Prasad"/>
        <s v="Aarav Iyer"/>
        <s v="Aaradhya Chopra"/>
        <s v="Sai Sharma"/>
        <s v="Rudra Thakur"/>
        <s v="Parth Patel"/>
        <s v="Aaradhya Kumar"/>
        <s v="Diya Bhatt"/>
        <s v="Vivaan Mehta"/>
        <s v="Eva Jain"/>
        <s v="Charvi Nair"/>
        <s v="Myra Rao"/>
        <s v="Mishka Joshi"/>
        <s v="Dhanush Nair"/>
        <s v="Mahira Prasad"/>
        <s v="Dev Nair"/>
        <s v="Kashvi Bhatt"/>
        <s v="Avni Chopra"/>
        <s v="Prisha Prasad"/>
        <s v="Siya Thakur"/>
        <s v="Saanvi Joshi"/>
        <s v="Ira Mishra"/>
        <s v="Yashvi Thakur"/>
        <s v="Riddhi Reddy"/>
        <s v="Mishka Patel"/>
        <s v="Krishna Reddy"/>
        <s v="Charvi Mehta"/>
        <s v="Anirudh Reddy"/>
        <s v="Atharv Patel"/>
        <s v="Sai Thakur"/>
        <s v="Samarth Thakur"/>
        <s v="Kabir Iyer"/>
        <s v="Myra Malik"/>
        <s v="Dev Gupta"/>
        <s v="Avni Desai"/>
        <s v="Kyra Bhat"/>
        <s v="Reyansh Agarwal"/>
        <s v="Tara Kumar"/>
        <s v="Tara Gupta"/>
        <s v="Aditya Verma"/>
        <s v="Manya Agarwal"/>
        <s v="Reyansh Bhatt"/>
        <s v="Kian Bhat"/>
        <s v="Saanvi Mishra"/>
        <s v="Om Kumar"/>
        <s v="Atharv Dutta"/>
        <s v="Parth Agarwal"/>
        <s v="Myra Joshi"/>
        <s v="Inaaya Chopra"/>
        <s v="Tara Singh"/>
        <s v="Dev Naidu"/>
        <s v="Aryan Patel"/>
        <s v="Shanaya Mishra"/>
        <s v="Mahira Singh"/>
        <s v="Aaryan Malik"/>
        <s v="Manya Bhat"/>
        <s v="Om Das"/>
        <s v="Kabir Bhat"/>
        <s v="Kabir Mehta"/>
        <s v="Diya Verma"/>
        <s v="Naira Nair"/>
        <s v="Shivansh Iyer"/>
        <s v="Lavanya Kapoor"/>
        <s v="Sai Desai"/>
        <s v="Gauri Mehta"/>
        <s v="Anirudh Sinha"/>
        <s v="Eva Singh"/>
        <s v="Kashvi Kulkarni"/>
        <s v="Aaradhya Desai"/>
        <s v="Dev Malik"/>
        <s v="Prisha Pillai"/>
        <s v="Aarohi Kapoor"/>
        <s v="Ayaan Kumar"/>
        <s v="Arnav Joshi"/>
        <s v="Sai Sinha"/>
        <s v="Arnav Desai"/>
        <s v="Sara Singh"/>
        <s v="Vihaan Singh"/>
        <s v="Rudra Bhatt"/>
        <s v="Saanvi Gupta"/>
        <s v="Arjun Sinha"/>
        <s v="Aditya Sharma"/>
        <s v="Navya Mehta"/>
        <s v="Om Desai"/>
        <s v="Aryan Singh"/>
        <s v="Reyansh Chowdhury"/>
        <s v="Dev Mishra"/>
        <s v="Vanya Sharma"/>
        <s v="Sai Agarwal"/>
        <s v="Saanvi Thakur"/>
        <s v="Sai Patel"/>
      </sharedItems>
    </cacheField>
    <cacheField name="Gender" numFmtId="0">
      <sharedItems>
        <s v="Male"/>
        <s v="Female"/>
      </sharedItems>
    </cacheField>
    <cacheField name="Salutation" numFmtId="0">
      <sharedItems>
        <s v="Mr."/>
        <s v="Ms."/>
      </sharedItems>
    </cacheField>
    <cacheField name="Proper Name" numFmtId="0">
      <sharedItems>
        <s v="Mr. Aarav Dutta"/>
        <s v="Mr.Dev Joshi"/>
        <s v="Aarav Dutta"/>
        <s v="Mr. Samarth Iyer"/>
        <s v="Ms. Mishka Jain"/>
        <s v="Ms. Ira Naidu"/>
        <s v="Mr. Aaryan Sinha"/>
        <s v="Mr. Arnav Nair"/>
        <s v="Ms. Lavanya Pillai"/>
        <s v="Mr. Aaryan Mehta"/>
        <s v="Ms. Diya Gupta"/>
        <s v="Mr. Kian Mishra"/>
        <s v="Mr. Ayaan Kapoor"/>
        <s v="Ms. Manya Malik"/>
        <s v="Mr. Laksh Dutta"/>
        <s v="Ms. Aaradhya Sharma"/>
        <s v="Ms. Ira Joshi"/>
        <s v="Mr. Samarth Nair"/>
        <s v="Mr. Sai Singh"/>
        <s v="Mr. Dev Sharma"/>
        <s v="Mr. Vihaan Pillai"/>
        <s v="Ms. Manya Pillai"/>
        <s v="Mr. Om Thakur"/>
        <s v="Ms. Naira Rao"/>
        <s v="Ms. Aarohi Reddy"/>
        <s v="Ms. Anvi Verma"/>
        <s v="Ms. Tara Sinha"/>
        <s v="Mr. Vihaan Jain"/>
        <s v="Ms. Diya Sharma"/>
        <s v="Mr. Vivaan Reddy"/>
        <s v="Ms. Saanvi Naidu"/>
        <s v="Ms. Riddhi Malik"/>
        <s v="Mr. Aaryan Bhatt"/>
        <s v="Ms. Charvi Bhatt"/>
        <s v="Mr. Aryan Nair"/>
        <s v="Mr. Aaryan Kumar"/>
        <s v="Mr. Samarth Kapoor"/>
        <s v="Ms. Gauri Chopra"/>
        <s v="Mr. Vivaan Singh"/>
        <s v="Ms. Vanya Malik"/>
        <s v="Ms. Ira Gupta"/>
        <s v="Mr. Laksh Kulkarni"/>
        <s v="Mr. Atharv Singh"/>
        <s v="Ms. Saanvi Kulkarni"/>
        <s v="Ms. Vanya Nair"/>
        <s v="Ms. Aarohi Gupta"/>
        <s v="Ms. Siya Jain"/>
        <s v="Mr. Sai Malik"/>
        <s v="Mr. Harsh Desai"/>
        <s v="Mr. Om Reddy"/>
        <s v="Ms. Diya Sinha"/>
        <s v="Mr. Harsh Verma"/>
        <s v="Ms. Mahira Gupta"/>
        <s v="Ms. Prisha Reddy"/>
        <s v="Ms. Naira Bhat"/>
        <s v="Ms. Inaaya Mishra"/>
        <s v="Mr. Kabir Thakur"/>
        <s v="Ms. Gauri Patel"/>
        <s v="Mr. Atharv Prasad"/>
        <s v="Mr. Kabir Nair"/>
        <s v="Ms. Kyra Verma"/>
        <s v="Ms. Myra Dutta"/>
        <s v="Mr. Samarth Jain"/>
        <s v="Mr. Krishna Thakur"/>
        <s v="Ms. Aarohi Sharma"/>
        <s v="Ms. Anaya Singh"/>
        <s v="Mr. Shaurya Pillai"/>
        <s v="Mr. Aryan Reddy"/>
        <s v="Ms. Vanya Bhatt"/>
        <s v="Ms. Aarohi Malik"/>
        <s v="Mr. Vihaan Kulkarni"/>
        <s v="Mr. Vihaan Reddy"/>
        <s v="Mr. Vihaan Rao"/>
        <s v="Mr. Shaurya Mishra"/>
        <s v="Mr. Vivaan Sharma"/>
        <s v="Mr. Raghav Iyer"/>
        <s v="Ms. Siya Desai"/>
        <s v="Mr. Kian Agarwal"/>
        <s v="Ms. Ira Thakur"/>
        <s v="Ms. Aarohi Chopra"/>
        <s v="Mr. Vivaan Patel"/>
        <s v="Ms. Siya Joshi"/>
        <s v="Mr. Siddharth Iyer"/>
        <s v="Ms. Manya Desai"/>
        <s v="Ms. Eva Sinha"/>
        <s v="Mr. Aaryan Nair"/>
        <s v="Ms. Avni Verma"/>
        <s v="Mr. Raghav Patel"/>
        <s v="Mr. Raghav Thakur"/>
        <s v="Mr. Raghav Chowdhury"/>
        <s v="Ms. Ira Kapoor"/>
        <s v="Mr. Aditya Chowdhury"/>
        <s v="Mr. Aditya Naidu"/>
        <s v="Mr. Arjun Naidu"/>
        <s v="Ms. Charvi Naidu"/>
        <s v="Ms. Ira Sinha"/>
        <s v="Mr. Rishi Verma"/>
        <s v="Mr. Aditya Bhatt"/>
        <s v="Mr. Dhanush Verma"/>
        <s v="Mr. Shivansh Thakur"/>
        <s v="Mr. Ayaan Reddy"/>
        <s v="Mr. Raghav Kumar"/>
        <s v="Mr. Aaryan Dutta"/>
        <s v="Mr. Arjun Chowdhury"/>
        <s v="Mr. Parth Kumar"/>
        <s v="Mr. Raghav Reddy"/>
        <s v="Mr. Raghav Bhat"/>
        <s v="Ms. Saanvi Kumar"/>
        <s v="Mr. Arnav Jain"/>
        <s v="Mr. Arjun Mehta"/>
        <s v="Ms. Kashvi Das"/>
        <s v="Ms. Vanya Naidu"/>
        <s v="Ms. Kyra Thakur"/>
        <s v="Ms. Charvi Gupta"/>
        <s v="Mr. Krishna Prasad"/>
        <s v="Mr. Shaurya Verma"/>
        <s v="Mr. Om Kulkarni"/>
        <s v="Mr. Arnav Malik"/>
        <s v="Mr. Dhanush Rao"/>
        <s v="Mr. Krishna Kapoor"/>
        <s v="Ms. Kashvi Verma"/>
        <s v="Mr. Kian Sharma"/>
        <s v="Ms. Navya Singh"/>
        <s v="Ms. Sara Nair"/>
        <s v="Ms. Gauri Joshi"/>
        <s v="Ms. Riddhi Sinha"/>
        <s v="Mr. Dev Kapoor"/>
        <s v="Mr. Kian Sinha"/>
        <s v="Ms. Aarohi Prasad"/>
        <s v="Ms. Charvi Malik"/>
        <s v="Ms. Avni Sinha"/>
        <s v="Ms. Avni Agarwal"/>
        <s v="Mr. Shivansh Jain"/>
        <s v="Mr. Aryan Bhatt"/>
        <s v="Mr. Ayaan Chowdhury"/>
        <s v="Ms. Naira Singh"/>
        <s v="Ms. Kyra Kumar"/>
        <s v="Ms. Anvi Chopra"/>
        <s v="Ms. Kyra Sinha"/>
        <s v="Mr. Reyansh Reddy"/>
        <s v="Ms. Avni Nair"/>
        <s v="Ms. Lavanya Verma"/>
        <s v="Ms. Myra Kulkarni"/>
        <s v="Ms. Mishka Pillai"/>
        <s v="Mr. Parth Rao"/>
        <s v="Ms. Inaaya Reddy"/>
        <s v="Ms. Vanya Gupta"/>
        <s v="Ms. Lavanya Reddy"/>
        <s v="Mr. Shivansh Bhat"/>
        <s v="Mr. Shivansh Mishra"/>
        <s v="Ms. Navya Iyer"/>
        <s v="Mr. Ishaan Singh"/>
        <s v="Mr. Krishna Desai"/>
        <s v="Mr. Reyansh Jain"/>
        <s v="Ms. Diya Desai"/>
        <s v="Ms. Vanya Sinha"/>
        <s v="Ms. Eva Chopra"/>
        <s v="Ms. Aaradhya Pillai"/>
        <s v="Ms. Riddhi Gupta"/>
        <s v="Mr. Raghav Gupta"/>
        <s v="Mr. Shaurya Bhatt"/>
        <s v="Ms. Kyra Malik"/>
        <s v="Ms. Mahira Agarwal"/>
        <s v="Mr. Arnav Sharma"/>
        <s v="Mr. Aryan Sharma"/>
        <s v="Ms. Kashvi Patel"/>
        <s v="Ms. Riddhi Kumar"/>
        <s v="Ms. Eva Malik"/>
        <s v="Ms. Tara Sharma"/>
        <s v="Ms. Saanvi Bhat"/>
        <s v="Mr. Shaurya Rao"/>
        <s v="Mr. Parth Das"/>
        <s v="Ms. Sara Chowdhury"/>
        <s v="Ms. Avni Bhatt"/>
        <s v="Ms. Manya Rao"/>
        <s v="Mr. Vihaan Patel"/>
        <s v="Mr. Rishi Agarwal"/>
        <s v="Ms. Naira Reddy"/>
        <s v="Ms. Charvi Chopra"/>
        <s v="Mr. Kabir Agarwal"/>
        <s v="Ms. Tara Patel"/>
        <s v="Ms. Eva Verma"/>
        <s v="Mr. Rishi Sinha"/>
        <s v="Ms. Diya Rao"/>
        <s v="Ms. Saanvi Dutta"/>
        <s v="Ms. Riddhi Sharma"/>
        <s v="Mr. Sai Jain"/>
        <s v="Ms. Anvi Agarwal"/>
        <s v="Ms. Prisha Mishra"/>
        <s v="Ms. Anaya Patel"/>
        <s v="Mr. Raghav Singh"/>
        <s v="Mr. Aarav Mishra"/>
        <s v="Mr. Shaurya Sharma"/>
        <s v="Ms. Inaaya Nair"/>
        <s v="Ms. Aarohi Mehta"/>
        <s v="Ms. Tara Chopra"/>
        <s v="Ms. Myra Agarwal"/>
        <s v="Mr. Ayaan Singh"/>
        <s v="Mr. Vihaan Malik"/>
        <s v="Mr. Dhanush Singh"/>
        <s v="Mr. Aarav Das"/>
        <s v="Ms. Aaradhya Chowdhury"/>
        <s v="Mr. Vihaan Sinha"/>
        <s v="Ms. Shanaya Chowdhury"/>
        <s v="Mr. Reyansh Patel"/>
        <s v="Mr. Arjun Verma"/>
        <s v="Mr. Anirudh Agarwal"/>
        <s v="Ms. Saanvi Singh"/>
        <s v="Ms. Sara Agarwal"/>
        <s v="Ms. Ira Kulkarni"/>
        <s v="Ms. Myra Bhat"/>
        <s v="Ms. Diya Jain"/>
        <s v="Ms. Shanaya Agarwal"/>
        <s v="Mr. Rishi Rao"/>
        <s v="Ms. Charvi Bhat"/>
        <s v="Mr. Arnav Chowdhury"/>
        <s v="Ms. Inaaya Das"/>
        <s v="Mr. Atharv Iyer"/>
        <s v="Mr. Harsh Kulkarni"/>
        <s v="Ms. Ira Pillai"/>
        <s v="Ms. Mishka Singh"/>
        <s v="Ms. Anaya Thakur"/>
        <s v="Mr. Ishaan Gupta"/>
        <s v="Ms. Aadhya Naidu"/>
        <s v="Ms. Aadhya Kapoor"/>
        <s v="Mr. Anirudh Mehta"/>
        <s v="Ms. Aadhya Das"/>
        <s v="Mr. Yashvi Patel"/>
        <s v="Mr. Reyansh Dutta"/>
        <s v="Mr. Kian Rao"/>
        <s v="Ms. Navya Mishra"/>
        <s v="Ms. Naira Bhatt"/>
        <s v="Mr. Vivaan Desai"/>
        <s v="Mr. Kabir Mishra"/>
        <s v="Ms. Kyra Sharma"/>
        <s v="Mr. Ishaan Agarwal"/>
        <s v="Ms. Shanaya Sinha"/>
        <s v="Ms. Ira Bhat"/>
        <s v="Ms. Avni Mishra"/>
        <s v="Mr. Samarth Kulkarni"/>
        <s v="Mr. Harsh Rao"/>
        <s v="Mr. Vivaan Iyer"/>
        <s v="Mr. Reyansh Sharma"/>
        <s v="Ms. Gauri Thakur"/>
        <s v="Ms. Charvi Kulkarni"/>
        <s v="Ms. Mahira Chopra"/>
        <s v="Mr. Raghav Pillai"/>
        <s v="Mr. Shivansh Sinha"/>
        <s v="Ms. Lavanya Bhatt"/>
        <s v="Ms. Shanaya Kumar"/>
        <s v="Mr. Ishaan Kulkarni"/>
        <s v="Ms. Anvi Mehta"/>
        <s v="Mr. Sai Kumar"/>
        <s v="Ms. Prisha Chopra"/>
        <s v="Mr. Aarav Chowdhury"/>
        <s v="Mr. Anirudh Singh"/>
        <s v="Mr. Rishi Malik"/>
        <s v="Mr. Shaurya Singh"/>
        <s v="Mr. Samarth Sinha"/>
        <s v="Mr. Yashvi Verma"/>
        <s v="Ms. Aadhya Pillai"/>
        <s v="Ms. Vanya Desai"/>
        <s v="Ms. Inaaya Gupta"/>
        <s v="Ms. Sara Mehta"/>
        <s v="Ms. Aadhya Dutta"/>
        <s v="Mr. Ayaan Mehta"/>
        <s v="Ms. Riddhi Rao"/>
        <s v="Mr. Kabir Verma"/>
        <s v="Ms. Aadhya Malik"/>
        <s v="Mr. Arjun Chopra"/>
        <s v="Ms. Sara Dutta"/>
        <s v="Mr. Om Gupta"/>
        <s v="Ms. Lavanya Bhat"/>
        <s v="Ms. Anvi Iyer"/>
        <s v="Mr. Aditya Patel"/>
        <s v="Mr. Samarth Agarwal"/>
        <s v="Ms. Sara Verma"/>
        <s v="Ms. Siya Kapoor"/>
        <s v="Ms. Naira Gupta"/>
        <s v="Ms. Aadhya Sinha"/>
        <s v="Ms. Diya Pillai"/>
        <s v="Ms. Anvi Nair"/>
        <s v="Mr. Vivaan Mishra"/>
        <s v="Mr. Ayaan Malik"/>
        <s v="Ms. Anvi Bhatt"/>
        <s v="Mr. Samarth Patel"/>
        <s v="Ms. Shanaya Pillai"/>
        <s v="Ms. Mahira Sinha"/>
        <s v="Mr. Samarth Dutta"/>
        <s v="Mr. Shivansh Kumar"/>
        <s v="Ms. Aaradhya Gupta"/>
        <s v="Mr. Rudra Iyer"/>
        <s v="Ms. Mishka Sinha"/>
        <s v="Mr. Aditya Nair"/>
        <s v="Mr. Samarth Rao"/>
        <s v="Ms. Ira Rao"/>
        <s v="Ms. Diya Mehta"/>
        <s v="Mr. Shivansh Agarwal"/>
        <s v="Mr. Ayaan Bhat"/>
        <s v="Ms. Diya Prasad"/>
        <s v="Ms. Anvi Dutta"/>
        <s v="Mr. Dhanush Sinha"/>
        <s v="Ms. Anaya Kumar"/>
        <s v="Mr. Arnav Dutta"/>
        <s v="Mr. Kian Bhatt"/>
        <s v="Ms. Gauri Desai"/>
        <s v="Ms. Eva Iyer"/>
        <s v="Ms. Aarohi Pillai"/>
        <s v="Mr. Om Rao"/>
        <s v="Mr. Aryan Dutta"/>
        <s v="Ms. Siya Malik"/>
        <s v="Mr. Kian Kumar"/>
        <s v="Mr. Reyansh Gupta"/>
        <s v="Ms. Kyra Patel"/>
        <s v="Mr. Dhanush Gupta"/>
        <s v="Ms. Mishka Sharma"/>
        <s v="Mr. Vivaan Agarwal"/>
        <s v="Mr. Ayaan Verma"/>
        <s v="Mr. Kian Dutta"/>
        <s v="Ms. Shanaya Jain"/>
        <s v="Mr. Dev Reddy"/>
        <s v="Ms. Sara Chopra"/>
        <s v="Ms. Mishka Nair"/>
        <s v="Ms. Aadhya Verma"/>
        <s v="Ms. Siya Chopra"/>
        <s v="Ms. Vanya Jain"/>
        <s v="Ms. Vanya Rao"/>
        <s v="Ms. Aarohi Mishra"/>
        <s v="Mr. Kabir Naidu"/>
        <s v="Mr. Rishi Naidu"/>
        <s v="Ms. Riddhi Bhat"/>
        <s v="Mr. Atharv Bhatt"/>
        <s v="Ms. Navya Bhat"/>
        <s v="Ms. Kyra Agarwal"/>
        <s v="Ms. Ira Dutta"/>
        <s v="Ms. Tara Mehta"/>
        <s v="Mr. Shaurya Naidu"/>
        <s v="Mr. Siddharth Thakur"/>
        <s v="Ms. Siya Bhatt"/>
        <s v="Ms. Avni Reddy"/>
        <s v="Mr. Shivansh Sharma"/>
        <s v="Ms. Kashvi Naidu"/>
        <s v="Mr. Krishna Iyer"/>
        <s v="Ms. Siya Agarwal"/>
        <s v="Mr. Arnav Patel"/>
        <s v="Ms. Charvi Das"/>
        <s v="Mr. Krishna Singh"/>
        <s v="Ms. Siya Sharma"/>
        <s v="Ms. Inaaya Sharma"/>
        <s v="Mr. Reyansh Prasad"/>
        <s v="Ms. Saanvi Patel"/>
        <s v="Ms. Siya Das"/>
        <s v="Ms. Aaradhya Prasad"/>
        <s v="Mr. Siddharth Verma"/>
        <s v="Mr. Rishi Mishra"/>
        <s v="Mr. Krishna Sharma"/>
        <s v="Mr. Rudra Jain"/>
        <s v="Ms. Charvi Kapoor"/>
        <s v="Mr. Ishaan Mehta"/>
        <s v="Mr. Ishaan Bhat"/>
        <s v="Ms. Myra Chowdhury"/>
        <s v="Ms. Tara Naidu"/>
        <s v="Mr. Kian Chopra"/>
        <s v="Ms. Anvi Gupta"/>
        <s v="Ms. Mishka Bhatt"/>
        <s v="Mr. Parth Chopra"/>
        <s v="Ms. Lavanya Jain"/>
        <s v="Mr. Rishi Joshi"/>
        <s v="Mr. Dev Sinha"/>
        <s v="Ms. Diya Kulkarni"/>
        <s v="Ms. Anaya Agarwal"/>
        <s v="Ms. Kashvi Iyer"/>
        <s v="Mr. Ishaan Joshi"/>
        <s v="Mr. Aditya Chopra"/>
        <s v="Ms. Aadhya Chowdhury"/>
        <s v="Ms. Prisha Kumar"/>
        <s v="Mr. Laksh Agarwal"/>
        <s v="Mr. Aaryan Bhat"/>
        <s v="Mr. Parth Desai"/>
        <s v="Ms. Aadhya Thakur"/>
        <s v="Mr. Aryan Kumar"/>
        <s v="Ms. Anvi Prasad"/>
        <s v="Ms. Gauri Malik"/>
        <s v="Mr. Aarav Chopra"/>
        <s v="Mr. Arnav Bhat"/>
        <s v="Ms. Anvi Singh"/>
        <s v="Mr. Ishaan Sharma"/>
        <s v="Mr. Sai Pillai"/>
        <s v="Ms. Inaaya Kulkarni"/>
        <s v="Mr. Ishaan Kapoor"/>
        <s v="Mr. Arnav Verma"/>
        <s v="Ms. Diya Naidu"/>
        <s v="Ms. Mahira Naidu"/>
        <s v="Mr. Aarav Prasad"/>
        <s v="Ms. Kyra Chopra"/>
        <s v="Mr. Rishi Reddy"/>
        <s v="Ms. Ira Patel"/>
        <s v="Ms. Mahira Iyer"/>
        <s v="Mr. Raghav Jain"/>
        <s v="Ms. Siya Bhat"/>
        <s v="Mr. Aarav Sinha"/>
        <s v="Mr. Kabir Rao"/>
        <s v="Mr. Arnav Mishra"/>
        <s v="Mr. Kabir Patel"/>
        <s v="Ms. Riddhi Prasad"/>
        <s v="Ms. Ira Verma"/>
        <s v="Ms. Inaaya Bhatt"/>
        <s v="Mr. Laksh Das"/>
        <s v="Ms. Navya Malik"/>
        <s v="Ms. Lavanya Patel"/>
        <s v="Ms. Anaya Sharma"/>
        <s v="Ms. Mahira Chowdhury"/>
        <s v="Ms. Siya Sinha"/>
        <s v="Ms. Aaradhya Mehta"/>
        <s v="Ms. Sara Das"/>
        <s v="Ms. Manya Sharma"/>
        <s v="Mr. Ishaan Chopra"/>
        <s v="Mr. Vivaan Bhatt"/>
        <s v="Ms. Aadhya Bhatt"/>
        <s v="Ms. Diya Agarwal"/>
        <s v="Ms. Charvi Kumar"/>
        <s v="Ms. Aaradhya Iyer"/>
        <s v="Mr. Yashvi Singh"/>
        <s v="Ms. Gauri Iyer"/>
        <s v="Mr. Shivansh Rao"/>
        <s v="Ms. Prisha Bhat"/>
        <s v="Mr. Rudra Sharma"/>
        <s v="Ms. Diya Mishra"/>
        <s v="Ms. Naira Kulkarni"/>
        <s v="Mr. Atharv Agarwal"/>
        <s v="Ms. Ira Iyer"/>
        <s v="Ms. Mahira Malik"/>
        <s v="Ms. Avni Mehta"/>
        <s v="Ms. Avni Sharma"/>
        <s v="Ms. Sara Prasad"/>
        <s v="Ms. Tara Dutta"/>
        <s v="Mr. Dhanush Pillai"/>
        <s v="Mr. Aryan Mehta"/>
        <s v="Mr. Aaryan Desai"/>
        <s v="Ms. Avni Kumar"/>
        <s v="Ms. Anvi Chowdhury"/>
        <s v="Mr. Sai Verma"/>
        <s v="Mr. Arjun Gupta"/>
        <s v="Mr. Shaurya Chopra"/>
        <s v="Mr. Reyansh Naidu"/>
        <s v="Mr. Ishaan Desai"/>
        <s v="Mr. Siddharth Jain"/>
        <s v="Mr. Reyansh Kapoor"/>
        <s v="Mr. Aarav Malik"/>
        <s v="Ms. Gauri Bhat"/>
        <s v="Mr. Atharv Joshi"/>
        <s v="Ms. Sara Kumar"/>
        <s v="Ms. Riddhi Mishra"/>
        <s v="Ms. Vanya Chowdhury"/>
        <s v="Ms. Prisha Verma"/>
        <s v="Mr. Rudra Verma"/>
        <s v="Mr. Siddharth Gupta"/>
        <s v="Ms. Eva Rao"/>
        <s v="Mr. Aditya Kulkarni"/>
        <s v="Ms. Aaradhya Das"/>
        <s v="Ms. Sara Sharma"/>
        <s v="Mr. Shivansh Naidu"/>
        <s v="Ms. Siya Naidu"/>
        <s v="Mr. Vivaan Chowdhury"/>
        <s v="Ms. Avni Joshi"/>
        <s v="Ms. Anvi Rao"/>
        <s v="Mr. Reyansh Verma"/>
        <s v="Mr. Reyansh Desai"/>
        <s v="Mr. Rishi Kapoor"/>
        <s v="Mr. Shaurya Kapoor"/>
        <s v="Mr. Kabir Kapoor"/>
        <s v="Ms. Charvi Jain"/>
        <s v="Mr. Vihaan Mehta"/>
        <s v="Mr. Sai Das"/>
        <s v="Ms. Inaaya Prasad"/>
        <s v="Mr. Dhanush Bhat"/>
        <s v="Ms. Myra Sharma"/>
        <s v="Mr. Vihaan Prasad"/>
        <s v="Mr. Vivaan Sinha"/>
        <s v="Ms. Siya Verma"/>
        <s v="Mr. Om Malik"/>
        <s v="Mr. Laksh Chopra"/>
        <s v="Mr. Rishi Thakur"/>
        <s v="Mr. Parth Bhat"/>
        <s v="Ms. Lavanya Dutta"/>
        <s v="Ms. Aadhya Desai"/>
        <s v="Mr. Siddharth Bhat"/>
        <s v="Ms. Aarohi Iyer"/>
        <s v="Mr. Om Sinha"/>
        <s v="Mr. Arjun Nair"/>
        <s v="Mr. Rudra Nair"/>
        <s v="Ms. Ira Sharma"/>
        <s v="Mr. Vihaan Bhatt"/>
        <s v="Mr. Raghav Dutta"/>
        <s v="Mr. Aarav Patel"/>
        <s v="Mr. Arnav Singh"/>
        <s v="Mr. Ishaan Reddy"/>
        <s v="Mr. Kabir Desai"/>
        <s v="Ms. Anvi Patel"/>
        <s v="Mr. Ishaan Pillai"/>
        <s v="Ms. Siya Gupta"/>
        <s v="Ms. Kyra Prasad"/>
        <s v="Mr. Shaurya Agarwal"/>
        <s v="Mr. Atharv Nair"/>
        <s v="Mr. Aaryan Rao"/>
        <s v="Ms. Naira Mehta"/>
        <s v="Mr. Yashvi Naidu"/>
        <s v="Mr. Rishi Kulkarni"/>
        <s v="Mr. Dhanush Dutta"/>
        <s v="Ms. Eva Bhat"/>
        <s v="Mr. Kabir Reddy"/>
        <s v="Mr. Krishna Patel"/>
        <s v="Ms. Ira Desai"/>
        <s v="Mr. Krishna Jain"/>
        <s v="Mr. Krishna Agarwal"/>
        <s v="Ms. Mishka Rao"/>
        <s v="Ms. Avni Singh"/>
        <s v="Mr. Arjun Thakur"/>
        <s v="Ms. Shanaya Bhatt"/>
        <s v="Ms. Aaradhya Thakur"/>
        <s v="Mr. Aarav Kumar"/>
        <s v="Ms. Inaaya Rao"/>
        <s v="Ms. Myra Kumar"/>
        <s v="Mr. Raghav Sinha"/>
        <s v="Ms. Vanya Joshi"/>
        <s v="Mr. Reyansh Pillai"/>
        <s v="Mr. Siddharth Naidu"/>
        <s v="Ms. Aaradhya Joshi"/>
        <s v="Mr. Vivaan Rao"/>
        <s v="Ms. Vanya Kapoor"/>
        <s v="Ms. Sara Joshi"/>
        <s v="Ms. Manya Mishra"/>
        <s v="Ms. Vanya Verma"/>
        <s v="Ms. Riddhi Iyer"/>
        <s v="Mr. Sai Mishra"/>
        <s v="Ms. Anvi Pillai"/>
        <s v="Ms. Manya Kumar"/>
        <s v="Ms. Manya Naidu"/>
        <s v="Ms. Tara Rao"/>
        <s v="Mr. Arnav Das"/>
        <s v="Mr. Dev Kumar"/>
        <s v="Ms. Tara Joshi"/>
        <s v="Mr. Ayaan Prasad"/>
        <s v="Mr. Rudra Patel"/>
        <s v="Mr. Harsh Malik"/>
        <s v="Mr. Arjun Rao"/>
        <s v="Mr. Atharv Sharma"/>
        <s v="Ms. Inaaya Pillai"/>
        <s v="Ms. Kashvi Sinha"/>
        <s v="Mr. Yashvi Kulkarni"/>
        <s v="Ms. Siya Patel"/>
        <s v="Mr. Rishi Das"/>
        <s v="Mr. Rishi Dutta"/>
        <s v="Mr. Samarth Pillai"/>
        <s v="Mr. Ayaan Agarwal"/>
        <s v="Ms. Lavanya Mishra"/>
        <s v="Ms. Sara Mishra"/>
        <s v="Ms. Naira Sinha"/>
        <s v="Mr. Shivansh Mehta"/>
        <s v="Ms. Inaaya Desai"/>
        <s v="Mr. Aaryan Thakur"/>
        <s v="Ms. Myra Bhatt"/>
        <s v="Ms. Gauri Sinha"/>
        <s v="Mr. Dev Verma"/>
        <s v="Ms. Charvi Thakur"/>
        <s v="Ms. Saanvi Chopra"/>
        <s v="Mr. Yashvi Mishra"/>
        <s v="Mr. Arjun Patel"/>
        <s v="Ms. Saanvi Bhatt"/>
        <s v="Mr. Yashvi Mehta"/>
        <s v="Mr. Om Mehta"/>
        <s v="Ms. Sara Pillai"/>
        <s v="Ms. Sara Bhatt"/>
        <s v="Mr. Sai Kapoor"/>
        <s v="Mr. Atharv Bhat"/>
        <s v="Mr. Dev Chowdhury"/>
        <s v="Mr. Ayaan Joshi"/>
        <s v="Mr. Samarth Malik"/>
        <s v="Mr. Anirudh Bhat"/>
        <s v="Ms. Prisha Naidu"/>
        <s v="Ms. Aadhya Chopra"/>
        <s v="Mr. Ayaan Dutta"/>
        <s v="Ms. Lavanya Iyer"/>
        <s v="Mr. Krishna Rao"/>
        <s v="Ms. Anaya Chopra"/>
        <s v="Mr. Aarav Bhat"/>
        <s v="Mr. Yashvi Iyer"/>
        <s v="Mr. Raghav Rao"/>
        <s v="Ms. Charvi Joshi"/>
        <s v="Ms. Naira Desai"/>
        <s v="Ms. Naira Das"/>
        <s v="Mr. Aaryan Verma"/>
        <s v="Ms. Anvi Kulkarni"/>
        <s v="Mr. Ayaan Naidu"/>
        <s v="Ms. Lavanya Das"/>
        <s v="Ms. Diya Joshi"/>
        <s v="Mr. Harsh Prasad"/>
        <s v="Mr. Om Patel"/>
        <s v="Ms. Aarohi Joshi"/>
        <s v="Mr. Anirudh Nair"/>
        <s v="Mr. Samarth Desai"/>
        <s v="Mr. Kabir Chowdhury"/>
        <s v="Mr. Dhanush Iyer"/>
        <s v="Ms. Anvi Mishra"/>
        <s v="Ms. Aadhya Mehta"/>
        <s v="Ms. Manya Nair"/>
        <s v="Ms. Aarohi Sinha"/>
        <s v="Ms. Gauri Jain"/>
        <s v="Ms. Kyra Das"/>
        <s v="Mr. Ayaan Thakur"/>
        <s v="Mr. Harsh Sharma"/>
        <s v="Mr. Reyansh Kulkarni"/>
        <s v="Mr. Om Chowdhury"/>
        <s v="Ms. Anaya Reddy"/>
        <s v="Mr. Arnav Agarwal"/>
        <s v="Mr. Laksh Bhat"/>
        <s v="Mr. Vihaan Dutta"/>
        <s v="Ms. Naira Naidu"/>
        <s v="Mr. Arnav Kulkarni"/>
        <s v="Ms. Mahira Rao"/>
        <s v="Mr. Rudra Kulkarni"/>
        <s v="Mr. Parth Sinha"/>
        <s v="Mr. Krishna Malik"/>
        <s v="Mr. Yashvi Prasad"/>
        <s v="Ms. Shanaya Das"/>
        <s v="Mr. Vihaan Mishra"/>
        <s v="Mr. Vivaan Kulkarni"/>
        <s v="Mr. Krishna Nair"/>
        <s v="Mr. Om Chopra"/>
        <s v="Mr. Rishi Desai"/>
        <s v="Mr. Aarav Naidu"/>
        <s v="Mr. Aaryan Kapoor"/>
        <s v="Mr. Om Dutta"/>
        <s v="Ms. Saanvi Malik"/>
        <s v="Mr. Arjun Jain"/>
        <s v="Mr. Parth Jain"/>
        <s v="Mr. Rudra Kumar"/>
        <s v="Ms. Kyra Iyer"/>
        <s v="Mr. Rudra Chopra"/>
        <s v="Mr. Arnav Rao"/>
        <s v="Mr. Kian Mehta"/>
        <s v="Ms. Myra Desai"/>
        <s v="Mr. Aryan Das"/>
        <s v="Ms. Vanya Pillai"/>
        <s v="Mr. Siddharth Das"/>
        <s v="Mr. Laksh Sharma"/>
        <s v="Mr. Aditya Mishra"/>
        <s v="Mr. Yashvi Dutta"/>
        <s v="Mr. Parth Mishra"/>
        <s v="Mr. Ayaan Rao"/>
        <s v="Mr. Ishaan Prasad"/>
        <s v="Mr. Reyansh Malik"/>
        <s v="Mr. Shaurya Desai"/>
        <s v="Mr. Aditya Jain"/>
        <s v="Ms. Kashvi Dutta"/>
        <s v="Ms. Siya Kulkarni"/>
        <s v="Mr. Yashvi Sharma"/>
        <s v="Ms. Eva Reddy"/>
        <s v="Mr. Om Iyer"/>
        <s v="Ms. Aarohi Agarwal"/>
        <s v="Ms. Vanya Mehta"/>
        <s v="Mr. Laksh Prasad"/>
        <s v="Ms. Mahira Desai"/>
        <s v="Ms. Aaradhya Bhat"/>
        <s v="Mr. Anirudh Bhatt"/>
        <s v="Ms. Manya Reddy"/>
        <s v="Ms. Manya Thakur"/>
        <s v="Ms. Kyra Nair"/>
        <s v="Ms. Charvi Iyer"/>
        <s v="Ms. Avni Das"/>
        <s v="Mr. Parth Chowdhury"/>
        <s v="Mr. Aditya Sinha"/>
        <s v="Mr. Reyansh Nair"/>
        <s v="Mr. Laksh Kapoor"/>
        <s v="Mr. Anirudh Gupta"/>
        <s v="Ms. Navya Kapoor"/>
        <s v="Ms. Kashvi Mehta"/>
        <s v="Mr. Sai Chowdhury"/>
        <s v="Ms. Aaradhya Dutta"/>
        <s v="Mr. Shaurya Kumar"/>
        <s v="Ms. Charvi Agarwal"/>
        <s v="Mr. Dev Prasad"/>
        <s v="Mr. Aarav Iyer"/>
        <s v="Ms. Aaradhya Chopra"/>
        <s v="Mr. Sai Sharma"/>
        <s v="Mr. Rudra Thakur"/>
        <s v="Mr. Parth Patel"/>
        <s v="Ms. Aaradhya Kumar"/>
        <s v="Ms. Diya Bhatt"/>
        <s v="Mr. Vivaan Mehta"/>
        <s v="Ms. Eva Jain"/>
        <s v="Ms. Charvi Nair"/>
        <s v="Ms. Myra Rao"/>
        <s v="Ms. Mishka Joshi"/>
        <s v="Mr. Dhanush Nair"/>
        <s v="Ms. Mahira Prasad"/>
        <s v="Mr. Dev Nair"/>
        <s v="Ms. Kashvi Bhatt"/>
        <s v="Ms. Avni Chopra"/>
        <s v="Ms. Prisha Prasad"/>
        <s v="Ms. Siya Thakur"/>
        <s v="Ms. Saanvi Joshi"/>
        <s v="Ms. Ira Mishra"/>
        <s v="Mr. Yashvi Thakur"/>
        <s v="Ms. Riddhi Reddy"/>
        <s v="Ms. Mishka Patel"/>
        <s v="Mr. Krishna Reddy"/>
        <s v="Ms. Charvi Mehta"/>
        <s v="Mr. Anirudh Reddy"/>
        <s v="Mr. Atharv Patel"/>
        <s v="Mr. Sai Thakur"/>
        <s v="Mr. Samarth Thakur"/>
        <s v="Mr. Kabir Iyer"/>
        <s v="Ms. Myra Malik"/>
        <s v="Mr. Dev Gupta"/>
        <s v="Ms. Avni Desai"/>
        <s v="Ms. Kyra Bhat"/>
        <s v="Mr. Reyansh Agarwal"/>
        <s v="Ms. Tara Kumar"/>
        <s v="Ms. Tara Gupta"/>
        <s v="Mr. Aditya Verma"/>
        <s v="Ms. Manya Agarwal"/>
        <s v="Mr. Reyansh Bhatt"/>
        <s v="Mr. Kian Bhat"/>
        <s v="Ms. Saanvi Mishra"/>
        <s v="Mr. Om Kumar"/>
        <s v="Mr. Atharv Dutta"/>
        <s v="Mr. Parth Agarwal"/>
        <s v="Ms. Myra Joshi"/>
        <s v="Ms. Inaaya Chopra"/>
        <s v="Ms. Tara Singh"/>
        <s v="Mr. Dev Naidu"/>
        <s v="Mr. Aryan Patel"/>
        <s v="Ms. Shanaya Mishra"/>
        <s v="Ms. Mahira Singh"/>
        <s v="Mr. Aaryan Malik"/>
        <s v="Ms. Manya Bhat"/>
        <s v="Mr. Om Das"/>
        <s v="Mr. Kabir Bhat"/>
        <s v="Mr. Kabir Mehta"/>
        <s v="Ms. Diya Verma"/>
        <s v="Ms. Naira Nair"/>
        <s v="Mr. Shivansh Iyer"/>
        <s v="Ms. Lavanya Kapoor"/>
        <s v="Mr. Sai Desai"/>
        <s v="Ms. Gauri Mehta"/>
        <s v="Mr. Anirudh Sinha"/>
        <s v="Ms. Eva Singh"/>
        <s v="Ms. Kashvi Kulkarni"/>
        <s v="Ms. Aaradhya Desai"/>
        <s v="Mr. Dev Malik"/>
        <s v="Ms. Prisha Pillai"/>
        <s v="Ms. Aarohi Kapoor"/>
        <s v="Mr. Ayaan Kumar"/>
        <s v="Mr. Arnav Joshi"/>
        <s v="Mr. Sai Sinha"/>
        <s v="Mr. Arnav Desai"/>
        <s v="Ms. Sara Singh"/>
        <s v="Mr. Vihaan Singh"/>
        <s v="Mr. Rudra Bhatt"/>
        <s v="Ms. Saanvi Gupta"/>
        <s v="Mr. Arjun Sinha"/>
        <s v="Mr. Aditya Sharma"/>
        <s v="Ms. Navya Mehta"/>
        <s v="Mr. Om Desai"/>
        <s v="Mr. Aryan Singh"/>
        <s v="Mr. Reyansh Chowdhury"/>
        <s v="Mr. Dev Mishra"/>
        <s v="Ms. Vanya Sharma"/>
        <s v="Mr. Sai Agarwal"/>
        <s v="Ms. Saanvi Thakur"/>
        <s v="Mr. Sai Patel"/>
      </sharedItems>
    </cacheField>
    <cacheField name="First Name" numFmtId="0">
      <sharedItems>
        <s v="Aarav"/>
        <s v="Dev"/>
        <s v="Manya"/>
        <s v="Samarth"/>
        <s v="Mishka"/>
        <s v="Ira"/>
        <s v="Aaryan"/>
        <s v="Arnav"/>
        <s v="Lavanya"/>
        <s v="Diya"/>
        <s v="Kian"/>
        <s v="Ayaan"/>
        <s v="Laksh"/>
        <s v="Aaradhya"/>
        <s v="Sai"/>
        <s v="Vihaan"/>
        <s v="Om"/>
        <s v="Naira"/>
        <s v="Aarohi"/>
        <s v="Anvi"/>
        <s v="Tara"/>
        <s v="Vivaan"/>
        <s v="Saanvi"/>
        <s v="Riddhi"/>
        <s v="Charvi"/>
        <s v="Aryan"/>
        <s v="Gauri"/>
        <s v="Vanya"/>
        <s v="Atharv"/>
        <s v="Siya"/>
        <s v="Harsh"/>
        <s v="Mahira"/>
        <s v="Prisha"/>
        <s v="Inaaya"/>
        <s v="Kabir"/>
        <s v="Kyra"/>
        <s v="Myra"/>
        <s v="Krishna"/>
        <s v="Anaya"/>
        <s v="Shaurya"/>
        <s v="Raghav"/>
        <s v="Siddharth"/>
        <s v="Eva"/>
        <s v="Avni"/>
        <s v="Aditya"/>
        <s v="Arjun"/>
        <s v="Rishi"/>
        <s v="Dhanush"/>
        <s v="Shivansh"/>
        <s v="Parth"/>
        <s v="Kashvi"/>
        <s v="Navya"/>
        <s v="Sara"/>
        <s v="Reyansh"/>
        <s v="Ishaan"/>
        <s v="Shanaya"/>
        <s v="Anirudh"/>
        <s v="Aadhya"/>
        <s v="Yashvi"/>
        <s v="Rudra"/>
      </sharedItems>
    </cacheField>
    <cacheField name="Last Name" numFmtId="0">
      <sharedItems>
        <s v="Dutta"/>
        <s v="Joshi"/>
        <s v="Sharma"/>
        <s v="Iyer"/>
        <s v="Jain"/>
        <s v="Naidu"/>
        <s v="Sinha"/>
        <s v="Nair"/>
        <s v="Pillai"/>
        <s v="Mehta"/>
        <s v="Gupta"/>
        <s v="Mishra"/>
        <s v="Kapoor"/>
        <s v="Malik"/>
        <s v="Singh"/>
        <s v="Thakur"/>
        <s v="Rao"/>
        <s v="Reddy"/>
        <s v="Verma"/>
        <s v="Bhatt"/>
        <s v="Kumar"/>
        <s v="Chopra"/>
        <s v="Kulkarni"/>
        <s v="Desai"/>
        <s v="Bhat"/>
        <s v="Patel"/>
        <s v="Prasad"/>
        <s v="Agarwal"/>
        <s v="Chowdhury"/>
        <s v="Das"/>
      </sharedItems>
    </cacheField>
    <cacheField name="Region" numFmtId="0">
      <sharedItems>
        <s v="West"/>
        <s v="North"/>
        <s v="South"/>
        <s v="East"/>
      </sharedItems>
    </cacheField>
    <cacheField name="PassingYear" numFmtId="0">
      <sharedItems containsSemiMixedTypes="0" containsString="0" containsNumber="1" containsInteger="1">
        <n v="2022.0"/>
        <n v="2020.0"/>
        <n v="2019.0"/>
        <n v="2024.0"/>
        <n v="2023.0"/>
        <n v="2016.0"/>
        <n v="2018.0"/>
        <n v="2025.0"/>
        <n v="2021.0"/>
        <n v="2026.0"/>
        <n v="2017.0"/>
        <n v="2027.0"/>
        <n v="2028.0"/>
        <n v="2013.0"/>
        <n v="2014.0"/>
        <n v="2002.0"/>
        <n v="2009.0"/>
        <n v="2012.0"/>
        <n v="2029.0"/>
        <n v="2015.0"/>
        <n v="2003.0"/>
        <n v="2006.0"/>
      </sharedItems>
    </cacheField>
    <cacheField name="Price" numFmtId="0">
      <sharedItems containsSemiMixedTypes="0" containsString="0" containsNumber="1" containsInteger="1">
        <n v="5000.0"/>
        <n v="10000.0"/>
      </sharedItems>
    </cacheField>
    <cacheField name="Payment Status" numFmtId="0">
      <sharedItems>
        <s v="Pending"/>
        <s v="Completed"/>
        <s v="Payment in Process"/>
      </sharedItems>
    </cacheField>
    <cacheField name="TotalPoints" numFmtId="0">
      <sharedItems containsSemiMixedTypes="0" containsString="0" containsNumber="1" containsInteger="1">
        <n v="108.0"/>
        <n v="23879.0"/>
        <n v="9454.0"/>
        <n v="0.0"/>
        <n v="1618.0"/>
        <n v="1698.0"/>
        <n v="33696.0"/>
        <n v="1026.0"/>
        <n v="389.0"/>
        <n v="1660.0"/>
        <n v="250.0"/>
        <n v="4902.0"/>
        <n v="2589.0"/>
        <n v="424.0"/>
        <n v="18697.0"/>
        <n v="12779.0"/>
        <n v="265.0"/>
        <n v="9147.0"/>
        <n v="6964.0"/>
        <n v="10827.0"/>
        <n v="24189.0"/>
        <n v="4106.0"/>
        <n v="2180.0"/>
        <n v="17593.0"/>
        <n v="12568.0"/>
        <n v="2482.0"/>
        <n v="5819.0"/>
        <n v="3622.0"/>
        <n v="5730.0"/>
        <n v="228.0"/>
        <n v="1830.0"/>
        <n v="15621.0"/>
        <n v="1645.0"/>
        <n v="276.0"/>
        <n v="18304.0"/>
        <n v="22555.0"/>
        <n v="6434.0"/>
        <n v="2816.0"/>
        <n v="1630.0"/>
        <n v="19473.0"/>
        <n v="16356.0"/>
        <n v="16692.0"/>
        <n v="4885.0"/>
        <n v="2770.0"/>
        <n v="3220.0"/>
        <n v="24483.0"/>
        <n v="22524.0"/>
        <n v="1422.0"/>
        <n v="4935.0"/>
        <n v="3470.0"/>
        <n v="414.0"/>
        <n v="12523.0"/>
        <n v="1465.0"/>
        <n v="9361.0"/>
        <n v="75.0"/>
        <n v="19.0"/>
        <n v="12274.0"/>
        <n v="4032.0"/>
        <n v="20316.0"/>
        <n v="10071.0"/>
        <n v="301.0"/>
        <n v="11727.0"/>
        <n v="6320.0"/>
        <n v="15248.0"/>
        <n v="2653.0"/>
        <n v="25.0"/>
        <n v="21084.0"/>
        <n v="3602.0"/>
        <n v="295.0"/>
        <n v="2049.0"/>
        <n v="245.0"/>
        <n v="2947.0"/>
        <n v="1273.0"/>
        <n v="4128.0"/>
        <n v="2080.0"/>
        <n v="170.0"/>
        <n v="9339.0"/>
        <n v="6648.0"/>
        <n v="12585.0"/>
        <n v="1558.0"/>
        <n v="28860.0"/>
        <n v="1570.0"/>
        <n v="11835.0"/>
        <n v="5461.0"/>
        <n v="4246.0"/>
        <n v="9414.0"/>
        <n v="5276.0"/>
        <n v="22896.0"/>
        <n v="6980.0"/>
        <n v="5126.0"/>
        <n v="17714.0"/>
        <n v="684.0"/>
        <n v="14894.0"/>
        <n v="23905.0"/>
        <n v="6.0"/>
        <n v="263.0"/>
        <n v="6720.0"/>
        <n v="8622.0"/>
        <n v="17417.0"/>
        <n v="4044.0"/>
        <n v="5421.0"/>
        <n v="21823.0"/>
        <n v="1490.0"/>
        <n v="21015.0"/>
        <n v="8363.0"/>
        <n v="6744.0"/>
        <n v="14272.0"/>
        <n v="1303.0"/>
        <n v="3817.0"/>
        <n v="20328.0"/>
        <n v="15330.0"/>
        <n v="15986.0"/>
        <n v="3999.0"/>
        <n v="13137.0"/>
        <n v="9561.0"/>
        <n v="13952.0"/>
        <n v="10385.0"/>
        <n v="18036.0"/>
        <n v="212.0"/>
        <n v="1643.0"/>
        <n v="6329.0"/>
        <n v="4695.0"/>
        <n v="1015.0"/>
        <n v="18887.0"/>
        <n v="1755.0"/>
        <n v="608.0"/>
        <n v="19078.0"/>
        <n v="2490.0"/>
        <n v="21158.0"/>
        <n v="15418.0"/>
        <n v="23190.0"/>
        <n v="2731.0"/>
        <n v="7260.0"/>
        <n v="18725.0"/>
        <n v="3210.0"/>
        <n v="12563.0"/>
        <n v="4654.0"/>
        <n v="23176.0"/>
        <n v="412.0"/>
        <n v="4420.0"/>
        <n v="17100.0"/>
        <n v="3095.0"/>
        <n v="13970.0"/>
        <n v="4665.0"/>
        <n v="14150.0"/>
        <n v="58.0"/>
        <n v="20581.0"/>
        <n v="20414.0"/>
        <n v="31798.0"/>
        <n v="270.0"/>
        <n v="20362.0"/>
        <n v="22027.0"/>
        <n v="22830.0"/>
        <n v="21522.0"/>
        <n v="151.0"/>
        <n v="1638.0"/>
        <n v="8338.0"/>
        <n v="12522.0"/>
        <n v="13.0"/>
        <n v="9488.0"/>
        <n v="6110.0"/>
        <n v="4080.0"/>
        <n v="21258.0"/>
        <n v="14099.0"/>
        <n v="545.0"/>
        <n v="4449.0"/>
        <n v="355.0"/>
        <n v="20522.0"/>
        <n v="22485.0"/>
        <n v="6305.0"/>
        <n v="8191.0"/>
        <n v="1808.0"/>
        <n v="7112.0"/>
        <n v="19049.0"/>
        <n v="71.0"/>
        <n v="15543.0"/>
        <n v="17303.0"/>
        <n v="23833.0"/>
        <n v="14716.0"/>
        <n v="2120.0"/>
        <n v="7366.0"/>
        <n v="1536.0"/>
        <n v="13021.0"/>
        <n v="826.0"/>
        <n v="275.0"/>
        <n v="5630.0"/>
        <n v="664.0"/>
        <n v="14088.0"/>
        <n v="812.0"/>
        <n v="168.0"/>
        <n v="4127.0"/>
        <n v="1548.0"/>
        <n v="7780.0"/>
        <n v="244.0"/>
        <n v="3733.0"/>
        <n v="10567.0"/>
        <n v="5853.0"/>
        <n v="14748.0"/>
        <n v="2681.0"/>
        <n v="5265.0"/>
        <n v="16608.0"/>
        <n v="4024.0"/>
        <n v="9611.0"/>
        <n v="1205.0"/>
        <n v="404.0"/>
        <n v="18507.0"/>
        <n v="18044.0"/>
        <n v="253.0"/>
        <n v="1552.0"/>
        <n v="9723.0"/>
        <n v="9405.0"/>
        <n v="19658.0"/>
        <n v="8221.0"/>
        <n v="17164.0"/>
        <n v="21949.0"/>
        <n v="206.0"/>
        <n v="28592.0"/>
        <n v="6129.0"/>
        <n v="4436.0"/>
        <n v="15694.0"/>
        <n v="7907.0"/>
        <n v="803.0"/>
        <n v="6778.0"/>
        <n v="7794.0"/>
        <n v="3505.0"/>
        <n v="10744.0"/>
        <n v="23499.0"/>
        <n v="410.0"/>
        <n v="4572.0"/>
        <n v="10352.0"/>
        <n v="14714.0"/>
        <n v="19818.0"/>
        <n v="4470.0"/>
        <n v="1655.0"/>
        <n v="2194.0"/>
        <n v="2766.0"/>
        <n v="16409.0"/>
        <n v="18500.0"/>
        <n v="20610.0"/>
        <n v="19467.0"/>
        <n v="16042.0"/>
        <n v="17329.0"/>
        <n v="5205.0"/>
        <n v="4049.0"/>
        <n v="13468.0"/>
        <n v="7605.0"/>
        <n v="19020.0"/>
        <n v="20156.0"/>
        <n v="4758.0"/>
        <n v="256.0"/>
        <n v="1417.0"/>
        <n v="2698.0"/>
        <n v="7335.0"/>
        <n v="589.0"/>
        <n v="320.0"/>
        <n v="20910.0"/>
        <n v="5846.0"/>
        <n v="24906.0"/>
        <n v="5156.0"/>
        <n v="6432.0"/>
        <n v="10685.0"/>
        <n v="1013.0"/>
        <n v="395.0"/>
        <n v="225.0"/>
        <n v="9734.0"/>
        <n v="213.0"/>
        <n v="17070.0"/>
        <n v="16924.0"/>
        <n v="15067.0"/>
        <n v="3680.0"/>
        <n v="24809.0"/>
        <n v="9495.0"/>
        <n v="4212.0"/>
        <n v="17595.0"/>
        <n v="8561.0"/>
        <n v="12072.0"/>
        <n v="6995.0"/>
        <n v="16576.0"/>
        <n v="403.0"/>
        <n v="29673.0"/>
        <n v="6976.0"/>
        <n v="2044.0"/>
        <n v="23456.0"/>
        <n v="8850.0"/>
        <n v="9935.0"/>
        <n v="3976.0"/>
        <n v="23426.0"/>
        <n v="4690.0"/>
        <n v="11687.0"/>
        <n v="21794.0"/>
        <n v="21081.0"/>
        <n v="16163.0"/>
        <n v="18076.0"/>
        <n v="12804.0"/>
        <n v="2381.0"/>
        <n v="16040.0"/>
        <n v="3964.0"/>
        <n v="419.0"/>
        <n v="4124.0"/>
        <n v="8612.0"/>
        <n v="6537.0"/>
        <n v="219.0"/>
        <n v="16213.0"/>
        <n v="364.0"/>
        <n v="11595.0"/>
        <n v="17956.0"/>
        <n v="24880.0"/>
        <n v="15545.0"/>
        <n v="15113.0"/>
        <n v="19309.0"/>
        <n v="16847.0"/>
        <n v="14246.0"/>
        <n v="6134.0"/>
        <n v="14417.0"/>
        <n v="4087.0"/>
        <n v="23507.0"/>
        <n v="24041.0"/>
        <n v="23340.0"/>
        <n v="707.0"/>
        <n v="20520.0"/>
        <n v="4168.0"/>
        <n v="15053.0"/>
        <n v="16277.0"/>
        <n v="1623.0"/>
        <n v="1450.0"/>
        <n v="1259.0"/>
        <n v="5467.0"/>
        <n v="6702.0"/>
        <n v="1457.0"/>
        <n v="19656.0"/>
        <n v="3141.0"/>
        <n v="15734.0"/>
        <n v="2491.0"/>
        <n v="12394.0"/>
        <n v="1345.0"/>
        <n v="11285.0"/>
        <n v="4374.0"/>
        <n v="3148.0"/>
        <n v="4868.0"/>
        <n v="21315.0"/>
        <n v="3448.0"/>
        <n v="10150.0"/>
        <n v="9104.0"/>
        <n v="4701.0"/>
        <n v="19370.0"/>
        <n v="20964.0"/>
        <n v="7665.0"/>
        <n v="1040.0"/>
        <n v="1504.0"/>
        <n v="100.0"/>
        <n v="21635.0"/>
        <n v="16230.0"/>
        <n v="26600.0"/>
        <n v="3375.0"/>
        <n v="21518.0"/>
        <n v="5099.0"/>
        <n v="4468.0"/>
        <n v="20697.0"/>
        <n v="13119.0"/>
        <n v="10607.0"/>
        <n v="7160.0"/>
        <n v="3253.0"/>
        <n v="24453.0"/>
        <n v="7408.0"/>
        <n v="6034.0"/>
        <n v="3872.0"/>
        <n v="13987.0"/>
        <n v="4009.0"/>
        <n v="18781.0"/>
        <n v="3329.0"/>
        <n v="7532.0"/>
        <n v="3829.0"/>
        <n v="7330.0"/>
        <n v="4435.0"/>
        <n v="1420.0"/>
        <n v="14227.0"/>
        <n v="18252.0"/>
        <n v="24585.0"/>
        <n v="1397.0"/>
        <n v="10552.0"/>
        <n v="10348.0"/>
        <n v="3805.0"/>
        <n v="8413.0"/>
        <n v="5133.0"/>
        <n v="4025.0"/>
        <n v="445.0"/>
        <n v="11937.0"/>
        <n v="15713.0"/>
        <n v="5137.0"/>
        <n v="23877.0"/>
        <n v="18008.0"/>
        <n v="4455.0"/>
        <n v="13714.0"/>
        <n v="10444.0"/>
        <n v="463.0"/>
        <n v="7429.0"/>
        <n v="7076.0"/>
        <n v="2292.0"/>
        <n v="22727.0"/>
        <n v="1399.0"/>
        <n v="3081.0"/>
        <n v="7430.0"/>
        <n v="923.0"/>
        <n v="21920.0"/>
        <n v="11736.0"/>
        <n v="3621.0"/>
        <n v="5138.0"/>
        <n v="2743.0"/>
        <n v="4522.0"/>
        <n v="3374.0"/>
        <n v="10950.0"/>
        <n v="4155.0"/>
        <n v="5681.0"/>
        <n v="4028.0"/>
        <n v="4132.0"/>
        <n v="4076.0"/>
        <n v="20780.0"/>
        <n v="374.0"/>
        <n v="17676.0"/>
        <n v="128.0"/>
        <n v="19405.0"/>
        <n v="645.0"/>
        <n v="2202.0"/>
        <n v="3630.0"/>
        <n v="795.0"/>
        <n v="1622.0"/>
        <n v="12308.0"/>
        <n v="585.0"/>
        <n v="7615.0"/>
        <n v="4149.0"/>
        <n v="239.0"/>
        <n v="2422.0"/>
        <n v="3624.0"/>
        <n v="243.0"/>
        <n v="3713.0"/>
        <n v="21429.0"/>
        <n v="9809.0"/>
        <n v="1172.0"/>
        <n v="19119.0"/>
        <n v="8696.0"/>
        <n v="1406.0"/>
        <n v="4230.0"/>
        <n v="23564.0"/>
        <n v="4430.0"/>
        <n v="216.0"/>
        <n v="5190.0"/>
        <n v="11799.0"/>
        <n v="14837.0"/>
        <n v="6992.0"/>
        <n v="5365.0"/>
        <n v="9395.0"/>
        <n v="222.0"/>
        <n v="4249.0"/>
        <n v="1355.0"/>
        <n v="1110.0"/>
        <n v="7394.0"/>
        <n v="24265.0"/>
        <n v="289.0"/>
        <n v="8669.0"/>
        <n v="605.0"/>
        <n v="272.0"/>
        <n v="1079.0"/>
        <n v="4670.0"/>
        <n v="21651.0"/>
        <n v="15034.0"/>
        <n v="7303.0"/>
        <n v="6436.0"/>
        <n v="16889.0"/>
        <n v="11625.0"/>
        <n v="1426.0"/>
        <n v="5475.0"/>
        <n v="1593.0"/>
        <n v="23252.0"/>
        <n v="3525.0"/>
        <n v="3655.0"/>
        <n v="19832.0"/>
        <n v="967.0"/>
        <n v="1750.0"/>
        <n v="3584.0"/>
        <n v="3003.0"/>
      </sharedItems>
    </cacheField>
    <cacheField name="Signup Device" numFmtId="0">
      <sharedItems>
        <s v="Mobile"/>
        <s v="Web"/>
        <s v="Tablet"/>
      </sharedItems>
    </cacheField>
    <cacheField name="Streak" numFmtId="0">
      <sharedItems containsSemiMixedTypes="0" containsString="0" containsNumber="1" containsInteger="1">
        <n v="7.0"/>
        <n v="40.0"/>
        <n v="22.0"/>
        <n v="76.0"/>
        <n v="19.0"/>
        <n v="2.0"/>
        <n v="63.0"/>
        <n v="59.0"/>
        <n v="43.0"/>
        <n v="27.0"/>
        <n v="70.0"/>
        <n v="18.0"/>
        <n v="50.0"/>
        <n v="21.0"/>
        <n v="9.0"/>
        <n v="54.0"/>
        <n v="33.0"/>
        <n v="16.0"/>
        <n v="47.0"/>
        <n v="65.0"/>
        <n v="46.0"/>
        <n v="6.0"/>
        <n v="55.0"/>
        <n v="75.0"/>
        <n v="28.0"/>
        <n v="5.0"/>
        <n v="60.0"/>
        <n v="64.0"/>
        <n v="62.0"/>
        <n v="29.0"/>
        <n v="49.0"/>
        <n v="14.0"/>
        <n v="67.0"/>
        <n v="0.0"/>
        <n v="80.0"/>
        <n v="10.0"/>
        <n v="26.0"/>
        <n v="4.0"/>
        <n v="12.0"/>
        <n v="8.0"/>
        <n v="57.0"/>
        <n v="39.0"/>
        <n v="3.0"/>
        <n v="77.0"/>
        <n v="56.0"/>
        <n v="1.0"/>
        <n v="66.0"/>
        <n v="69.0"/>
        <n v="34.0"/>
        <n v="51.0"/>
        <n v="71.0"/>
        <n v="68.0"/>
        <n v="42.0"/>
        <n v="35.0"/>
        <n v="79.0"/>
        <n v="30.0"/>
        <n v="15.0"/>
        <n v="25.0"/>
        <n v="31.0"/>
        <n v="37.0"/>
        <n v="13.0"/>
        <n v="52.0"/>
        <n v="36.0"/>
        <n v="61.0"/>
        <n v="23.0"/>
        <n v="24.0"/>
        <n v="32.0"/>
        <n v="45.0"/>
        <n v="44.0"/>
        <n v="53.0"/>
        <n v="48.0"/>
        <n v="41.0"/>
        <n v="17.0"/>
        <n v="58.0"/>
        <n v="20.0"/>
        <n v="72.0"/>
        <n v="73.0"/>
        <n v="38.0"/>
        <n v="74.0"/>
        <n v="78.0"/>
        <n v="11.0"/>
      </sharedItems>
    </cacheField>
    <cacheField name="Course Name" numFmtId="0">
      <sharedItems>
        <s v="Competitive Coding"/>
        <s v="Kickstarting Web Dev"/>
        <s v="Data Structure and Algorithms"/>
      </sharedItems>
    </cacheField>
    <cacheField name="DegreeCategories - DegreeCategoryId → Name" numFmtId="0">
      <sharedItems>
        <s v="BE / BTech - Non CS / IT"/>
        <s v="BCA / MCA"/>
        <s v="BE / BTech - CS / IT"/>
        <s v="Non-Coding, Non Engineering"/>
        <s v="Diplom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egion has highest number of lo" cacheId="0" dataCaption="" compact="0" compactData="0">
  <location ref="A1:B7" firstHeaderRow="0" firstDataRow="1" firstDataCol="0"/>
  <pivotFields>
    <pivotField name="User ID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gion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Device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2"/>
  </rowFields>
  <dataFields>
    <dataField name="COUNT of User ID " fld="0" subtotal="countNums" baseField="0"/>
  </dataFields>
</pivotTableDefinition>
</file>

<file path=xl/pivotTables/pivotTable2.xml><?xml version="1.0" encoding="utf-8"?>
<pivotTableDefinition xmlns="http://schemas.openxmlformats.org/spreadsheetml/2006/main" name="Average Total Points" cacheId="1" dataCaption="" compact="0" compactData="0">
  <location ref="A1:B7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Salutation" compact="0" outline="0" multipleItemSelectionAllowed="1" showAll="0">
      <items>
        <item x="0"/>
        <item x="1"/>
        <item x="2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gion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ice" compact="0" outline="0" multipleItemSelectionAllowed="1" showAll="0">
      <items>
        <item x="0"/>
        <item x="1"/>
        <item x="2"/>
        <item t="default"/>
      </items>
    </pivotField>
    <pivotField name="Payment Status" compact="0" outline="0" multipleItemSelectionAllowed="1" showAll="0">
      <items>
        <item x="0"/>
        <item x="1"/>
        <item x="2"/>
        <item x="3"/>
        <item t="default"/>
      </items>
    </pivotField>
    <pivotField name="TotalPoi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Signup Device" compact="0" outline="0" multipleItemSelectionAllowed="1" showAll="0">
      <items>
        <item x="0"/>
        <item x="1"/>
        <item x="2"/>
        <item x="3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ourse Name" compact="0" outline="0" multipleItemSelectionAllowed="1" showAll="0">
      <items>
        <item x="0"/>
        <item x="1"/>
        <item x="2"/>
        <item x="3"/>
        <item t="default"/>
      </items>
    </pivotField>
    <pivotField name="DegreeCategories - DegreeCategoryId →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Collecte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7"/>
  </rowFields>
  <dataFields>
    <dataField name="AVERAGE of TotalPoints" fld="11" subtotal="average" baseField="0"/>
  </dataFields>
</pivotTableDefinition>
</file>

<file path=xl/pivotTables/pivotTable3.xml><?xml version="1.0" encoding="utf-8"?>
<pivotTableDefinition xmlns="http://schemas.openxmlformats.org/spreadsheetml/2006/main" name="Which region has the lowest use" cacheId="2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utation" compact="0" outline="0" multipleItemSelectionAllowed="1" showAll="0">
      <items>
        <item x="0"/>
        <item x="1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compact="0" outline="0" multipleItemSelectionAllowed="1" showAll="0">
      <items>
        <item x="0"/>
        <item x="1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Total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Signup Device" compact="0" outline="0" multipleItemSelectionAllowed="1" showAll="0">
      <items>
        <item x="0"/>
        <item x="1"/>
        <item x="2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Course Name" dataField="1" compact="0" outline="0" multipleItemSelectionAllowed="1" showAll="0">
      <items>
        <item x="0"/>
        <item x="1"/>
        <item x="2"/>
        <item t="default"/>
      </items>
    </pivotField>
    <pivotField name="DegreeCategories - DegreeCategoryId →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Collected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dataFields>
    <dataField name="COUNTA of Course Name" fld="14" subtotal="count" baseField="0"/>
  </dataFields>
</pivotTableDefinition>
</file>

<file path=xl/pivotTables/pivotTable4.xml><?xml version="1.0" encoding="utf-8"?>
<pivotTableDefinition xmlns="http://schemas.openxmlformats.org/spreadsheetml/2006/main" name="Highest Average Streak Count" cacheId="2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alutation" compact="0" outline="0" multipleItemSelectionAllowed="1" showAll="0">
      <items>
        <item x="0"/>
        <item x="1"/>
        <item t="default"/>
      </items>
    </pivotField>
    <pivotField name="Prop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gion" axis="axisRow" compact="0" outline="0" multipleItemSelectionAllowed="1" showAll="0" sortType="descending">
      <items>
        <item x="0"/>
        <item x="2"/>
        <item x="1"/>
        <item x="3"/>
        <item t="default"/>
      </items>
    </pivotField>
    <pivotField name="Passing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rice" compact="0" outline="0" multipleItemSelectionAllowed="1" showAll="0">
      <items>
        <item x="0"/>
        <item x="1"/>
        <item t="default"/>
      </items>
    </pivotField>
    <pivotField name="Payment Status" compact="0" outline="0" multipleItemSelectionAllowed="1" showAll="0">
      <items>
        <item x="0"/>
        <item x="1"/>
        <item x="2"/>
        <item t="default"/>
      </items>
    </pivotField>
    <pivotField name="TotalPo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Signup Device" compact="0" outline="0" multipleItemSelectionAllowed="1" showAll="0">
      <items>
        <item x="0"/>
        <item x="1"/>
        <item x="2"/>
        <item t="default"/>
      </items>
    </pivotField>
    <pivotField name="Strea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Course Name" compact="0" outline="0" multipleItemSelectionAllowed="1" showAll="0">
      <items>
        <item x="0"/>
        <item x="1"/>
        <item x="2"/>
        <item t="default"/>
      </items>
    </pivotField>
    <pivotField name="DegreeCategories - DegreeCategoryId →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Collected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dataFields>
    <dataField name="AVERAGE of Streak" fld="13" subtotal="average" baseField="0"/>
  </dataFields>
</pivotTableDefinition>
</file>

<file path=xl/tables/table1.xml><?xml version="1.0" encoding="utf-8"?>
<table xmlns="http://schemas.openxmlformats.org/spreadsheetml/2006/main" ref="A1:P32" displayName="Table_1" name="Table_1" id="1">
  <tableColumns count="16">
    <tableColumn name="ID" id="1"/>
    <tableColumn name="Names" id="2"/>
    <tableColumn name="Gender" id="3"/>
    <tableColumn name="Salutation" id="4"/>
    <tableColumn name="Proper Name" id="5"/>
    <tableColumn name="First Name" id="6"/>
    <tableColumn name="Last Name" id="7"/>
    <tableColumn name="Region" id="8"/>
    <tableColumn name="PassingYear" id="9"/>
    <tableColumn name="Price" id="10"/>
    <tableColumn name="Payment Status" id="11"/>
    <tableColumn name="TotalPoints" id="12"/>
    <tableColumn name="Signup Device" id="13"/>
    <tableColumn name="Streak" id="14"/>
    <tableColumn name="Course Name" id="15"/>
    <tableColumn name="DegreeCategories - DegreeCategoryId → Name" id="16"/>
  </tableColumns>
  <tableStyleInfo name="Detail1-Diplo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11" max="11" width="23.63"/>
    <col customWidth="1" min="15" max="15" width="23.63"/>
    <col customWidth="1" min="16" max="16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>
      <c r="A2" s="3">
        <v>64576.0</v>
      </c>
      <c r="B2" s="3" t="s">
        <v>17</v>
      </c>
      <c r="C2" s="3" t="s">
        <v>18</v>
      </c>
      <c r="D2" s="4" t="str">
        <f t="shared" ref="D2:D1001" si="1">IF(C2="Male","Mr.","Ms.")</f>
        <v>Mr.</v>
      </c>
      <c r="E2" s="5" t="str">
        <f>PROPER(D2&amp;" " &amp;B2)</f>
        <v>Mr. Aarav Dutta</v>
      </c>
      <c r="F2" s="3" t="str">
        <f>IFERROR(__xludf.DUMMYFUNCTION("SPLIT(B2,"" "")"),"Aarav")</f>
        <v>Aarav</v>
      </c>
      <c r="G2" s="3" t="str">
        <f>IFERROR(__xludf.DUMMYFUNCTION("""COMPUTED_VALUE"""),"Dutta")</f>
        <v>Dutta</v>
      </c>
      <c r="H2" s="3" t="s">
        <v>19</v>
      </c>
      <c r="I2" s="3">
        <v>2022.0</v>
      </c>
      <c r="J2" s="3">
        <f t="shared" ref="J2:J1001" si="2">IF(OR(H2="North", H2="South"), 10000, 5000)</f>
        <v>5000</v>
      </c>
      <c r="K2" s="3" t="s">
        <v>20</v>
      </c>
      <c r="L2" s="3">
        <v>108.0</v>
      </c>
      <c r="M2" s="3" t="s">
        <v>21</v>
      </c>
      <c r="N2" s="3">
        <v>7.0</v>
      </c>
      <c r="O2" s="3" t="s">
        <v>22</v>
      </c>
      <c r="P2" s="3" t="s">
        <v>23</v>
      </c>
      <c r="Q2" s="6">
        <f t="shared" ref="Q2:Q1001" si="3">SUMIFS(J:J, K:K, "Completed", P:P, P2)
</f>
        <v>430000</v>
      </c>
    </row>
    <row r="3">
      <c r="A3" s="3">
        <v>64578.0</v>
      </c>
      <c r="B3" s="3" t="s">
        <v>24</v>
      </c>
      <c r="C3" s="3" t="s">
        <v>18</v>
      </c>
      <c r="D3" s="4" t="str">
        <f t="shared" si="1"/>
        <v>Mr.</v>
      </c>
      <c r="E3" s="7" t="str">
        <f>CONCAT(D3,B3)</f>
        <v>Mr.Dev Joshi</v>
      </c>
      <c r="F3" s="3" t="str">
        <f>IFERROR(__xludf.DUMMYFUNCTION("SPLIT(B3,"" "")"),"Dev")</f>
        <v>Dev</v>
      </c>
      <c r="G3" s="3" t="str">
        <f>IFERROR(__xludf.DUMMYFUNCTION("""COMPUTED_VALUE"""),"Joshi")</f>
        <v>Joshi</v>
      </c>
      <c r="H3" s="3" t="s">
        <v>25</v>
      </c>
      <c r="I3" s="3">
        <v>2020.0</v>
      </c>
      <c r="J3" s="3">
        <f t="shared" si="2"/>
        <v>10000</v>
      </c>
      <c r="K3" s="3" t="s">
        <v>26</v>
      </c>
      <c r="L3" s="3">
        <v>23879.0</v>
      </c>
      <c r="M3" s="3" t="s">
        <v>21</v>
      </c>
      <c r="N3" s="3">
        <v>40.0</v>
      </c>
      <c r="O3" s="3" t="s">
        <v>27</v>
      </c>
      <c r="P3" s="3" t="s">
        <v>28</v>
      </c>
      <c r="Q3" s="6">
        <f t="shared" si="3"/>
        <v>400000</v>
      </c>
    </row>
    <row r="4">
      <c r="A4" s="3">
        <v>64580.0</v>
      </c>
      <c r="B4" s="3" t="s">
        <v>29</v>
      </c>
      <c r="C4" s="3" t="s">
        <v>18</v>
      </c>
      <c r="D4" s="4" t="str">
        <f t="shared" si="1"/>
        <v>Mr.</v>
      </c>
      <c r="E4" s="8" t="str">
        <f>TEXTJOIN(TRUE, A2,B2)</f>
        <v>Aarav Dutta</v>
      </c>
      <c r="F4" s="3" t="str">
        <f>IFERROR(__xludf.DUMMYFUNCTION("SPLIT(B4,"" "")"),"Manya")</f>
        <v>Manya</v>
      </c>
      <c r="G4" s="3" t="str">
        <f>IFERROR(__xludf.DUMMYFUNCTION("""COMPUTED_VALUE"""),"Sharma")</f>
        <v>Sharma</v>
      </c>
      <c r="H4" s="3" t="s">
        <v>19</v>
      </c>
      <c r="I4" s="3">
        <v>2022.0</v>
      </c>
      <c r="J4" s="3">
        <f t="shared" si="2"/>
        <v>5000</v>
      </c>
      <c r="K4" s="3" t="s">
        <v>26</v>
      </c>
      <c r="L4" s="3">
        <v>9454.0</v>
      </c>
      <c r="M4" s="3" t="s">
        <v>30</v>
      </c>
      <c r="N4" s="3">
        <v>22.0</v>
      </c>
      <c r="O4" s="3" t="s">
        <v>22</v>
      </c>
      <c r="P4" s="3" t="s">
        <v>31</v>
      </c>
      <c r="Q4" s="6">
        <f t="shared" si="3"/>
        <v>910000</v>
      </c>
    </row>
    <row r="5">
      <c r="A5" s="3">
        <v>64582.0</v>
      </c>
      <c r="B5" s="3" t="s">
        <v>32</v>
      </c>
      <c r="C5" s="3" t="s">
        <v>18</v>
      </c>
      <c r="D5" s="4" t="str">
        <f t="shared" si="1"/>
        <v>Mr.</v>
      </c>
      <c r="E5" s="9" t="str">
        <f t="shared" ref="E5:E1002" si="4">PROPER(D5&amp;" " &amp;B5)</f>
        <v>Mr. Samarth Iyer</v>
      </c>
      <c r="F5" s="3" t="str">
        <f>IFERROR(__xludf.DUMMYFUNCTION("SPLIT(B5,"" "")"),"Samarth")</f>
        <v>Samarth</v>
      </c>
      <c r="G5" s="3" t="str">
        <f>IFERROR(__xludf.DUMMYFUNCTION("""COMPUTED_VALUE"""),"Iyer")</f>
        <v>Iyer</v>
      </c>
      <c r="H5" s="3" t="s">
        <v>33</v>
      </c>
      <c r="I5" s="3">
        <v>2019.0</v>
      </c>
      <c r="J5" s="3">
        <f t="shared" si="2"/>
        <v>10000</v>
      </c>
      <c r="K5" s="3" t="s">
        <v>20</v>
      </c>
      <c r="L5" s="3">
        <v>0.0</v>
      </c>
      <c r="M5" s="3" t="s">
        <v>30</v>
      </c>
      <c r="N5" s="3">
        <v>76.0</v>
      </c>
      <c r="O5" s="3" t="s">
        <v>27</v>
      </c>
      <c r="P5" s="3" t="s">
        <v>28</v>
      </c>
      <c r="Q5" s="6">
        <f t="shared" si="3"/>
        <v>400000</v>
      </c>
    </row>
    <row r="6">
      <c r="A6" s="3">
        <v>64583.0</v>
      </c>
      <c r="B6" s="3" t="s">
        <v>34</v>
      </c>
      <c r="C6" s="3" t="s">
        <v>35</v>
      </c>
      <c r="D6" s="4" t="str">
        <f t="shared" si="1"/>
        <v>Ms.</v>
      </c>
      <c r="E6" s="3" t="str">
        <f t="shared" si="4"/>
        <v>Ms. Mishka Jain</v>
      </c>
      <c r="F6" s="3" t="str">
        <f>IFERROR(__xludf.DUMMYFUNCTION("SPLIT(B6,"" "")"),"Mishka")</f>
        <v>Mishka</v>
      </c>
      <c r="G6" s="3" t="str">
        <f>IFERROR(__xludf.DUMMYFUNCTION("""COMPUTED_VALUE"""),"Jain")</f>
        <v>Jain</v>
      </c>
      <c r="H6" s="3" t="s">
        <v>25</v>
      </c>
      <c r="I6" s="3">
        <v>2024.0</v>
      </c>
      <c r="J6" s="3">
        <f t="shared" si="2"/>
        <v>10000</v>
      </c>
      <c r="K6" s="3" t="s">
        <v>20</v>
      </c>
      <c r="L6" s="3">
        <v>0.0</v>
      </c>
      <c r="M6" s="3" t="s">
        <v>30</v>
      </c>
      <c r="N6" s="3">
        <v>19.0</v>
      </c>
      <c r="O6" s="3" t="s">
        <v>27</v>
      </c>
      <c r="P6" s="3" t="s">
        <v>28</v>
      </c>
      <c r="Q6" s="6">
        <f t="shared" si="3"/>
        <v>400000</v>
      </c>
    </row>
    <row r="7">
      <c r="A7" s="3">
        <v>64584.0</v>
      </c>
      <c r="B7" s="3" t="s">
        <v>36</v>
      </c>
      <c r="C7" s="3" t="s">
        <v>35</v>
      </c>
      <c r="D7" s="4" t="str">
        <f t="shared" si="1"/>
        <v>Ms.</v>
      </c>
      <c r="E7" s="3" t="str">
        <f t="shared" si="4"/>
        <v>Ms. Ira Naidu</v>
      </c>
      <c r="F7" s="3" t="str">
        <f>IFERROR(__xludf.DUMMYFUNCTION("SPLIT(B7,"" "")"),"Ira")</f>
        <v>Ira</v>
      </c>
      <c r="G7" s="3" t="str">
        <f>IFERROR(__xludf.DUMMYFUNCTION("""COMPUTED_VALUE"""),"Naidu")</f>
        <v>Naidu</v>
      </c>
      <c r="H7" s="3" t="s">
        <v>19</v>
      </c>
      <c r="I7" s="3">
        <v>2023.0</v>
      </c>
      <c r="J7" s="3">
        <f t="shared" si="2"/>
        <v>5000</v>
      </c>
      <c r="K7" s="3" t="s">
        <v>37</v>
      </c>
      <c r="L7" s="3">
        <v>0.0</v>
      </c>
      <c r="M7" s="3" t="s">
        <v>21</v>
      </c>
      <c r="N7" s="3">
        <v>2.0</v>
      </c>
      <c r="O7" s="3" t="s">
        <v>27</v>
      </c>
      <c r="P7" s="3" t="s">
        <v>38</v>
      </c>
      <c r="Q7" s="6">
        <f t="shared" si="3"/>
        <v>635000</v>
      </c>
      <c r="U7" s="6" t="s">
        <v>39</v>
      </c>
    </row>
    <row r="8">
      <c r="A8" s="3">
        <v>64585.0</v>
      </c>
      <c r="B8" s="3" t="s">
        <v>40</v>
      </c>
      <c r="C8" s="3" t="s">
        <v>18</v>
      </c>
      <c r="D8" s="4" t="str">
        <f t="shared" si="1"/>
        <v>Mr.</v>
      </c>
      <c r="E8" s="3" t="str">
        <f t="shared" si="4"/>
        <v>Mr. Aaryan Sinha</v>
      </c>
      <c r="F8" s="3" t="str">
        <f>IFERROR(__xludf.DUMMYFUNCTION("SPLIT(B8,"" "")"),"Aaryan")</f>
        <v>Aaryan</v>
      </c>
      <c r="G8" s="3" t="str">
        <f>IFERROR(__xludf.DUMMYFUNCTION("""COMPUTED_VALUE"""),"Sinha")</f>
        <v>Sinha</v>
      </c>
      <c r="H8" s="3" t="s">
        <v>33</v>
      </c>
      <c r="I8" s="3">
        <v>2016.0</v>
      </c>
      <c r="J8" s="3">
        <f t="shared" si="2"/>
        <v>10000</v>
      </c>
      <c r="K8" s="3" t="s">
        <v>26</v>
      </c>
      <c r="L8" s="10">
        <v>1618.0</v>
      </c>
      <c r="M8" s="3" t="s">
        <v>30</v>
      </c>
      <c r="N8" s="3">
        <v>76.0</v>
      </c>
      <c r="O8" s="3" t="s">
        <v>41</v>
      </c>
      <c r="P8" s="3" t="s">
        <v>38</v>
      </c>
      <c r="Q8" s="6">
        <f t="shared" si="3"/>
        <v>635000</v>
      </c>
      <c r="U8" s="6" t="s">
        <v>42</v>
      </c>
    </row>
    <row r="9">
      <c r="A9" s="3">
        <v>64586.0</v>
      </c>
      <c r="B9" s="3" t="s">
        <v>43</v>
      </c>
      <c r="C9" s="3" t="s">
        <v>18</v>
      </c>
      <c r="D9" s="4" t="str">
        <f t="shared" si="1"/>
        <v>Mr.</v>
      </c>
      <c r="E9" s="3" t="str">
        <f t="shared" si="4"/>
        <v>Mr. Arnav Nair</v>
      </c>
      <c r="F9" s="3" t="str">
        <f>IFERROR(__xludf.DUMMYFUNCTION("SPLIT(B9,"" "")"),"Arnav")</f>
        <v>Arnav</v>
      </c>
      <c r="G9" s="3" t="str">
        <f>IFERROR(__xludf.DUMMYFUNCTION("""COMPUTED_VALUE"""),"Nair")</f>
        <v>Nair</v>
      </c>
      <c r="H9" s="3" t="s">
        <v>25</v>
      </c>
      <c r="I9" s="3">
        <v>2018.0</v>
      </c>
      <c r="J9" s="3">
        <f t="shared" si="2"/>
        <v>10000</v>
      </c>
      <c r="K9" s="3" t="s">
        <v>26</v>
      </c>
      <c r="L9" s="10">
        <v>1698.0</v>
      </c>
      <c r="M9" s="3" t="s">
        <v>30</v>
      </c>
      <c r="N9" s="3">
        <v>63.0</v>
      </c>
      <c r="O9" s="3" t="s">
        <v>22</v>
      </c>
      <c r="P9" s="3" t="s">
        <v>31</v>
      </c>
      <c r="Q9" s="6">
        <f t="shared" si="3"/>
        <v>910000</v>
      </c>
    </row>
    <row r="10">
      <c r="A10" s="3">
        <v>64588.0</v>
      </c>
      <c r="B10" s="3" t="s">
        <v>44</v>
      </c>
      <c r="C10" s="3" t="s">
        <v>35</v>
      </c>
      <c r="D10" s="4" t="str">
        <f t="shared" si="1"/>
        <v>Ms.</v>
      </c>
      <c r="E10" s="3" t="str">
        <f t="shared" si="4"/>
        <v>Ms. Lavanya Pillai</v>
      </c>
      <c r="F10" s="3" t="str">
        <f>IFERROR(__xludf.DUMMYFUNCTION("SPLIT(B10,"" "")"),"Lavanya")</f>
        <v>Lavanya</v>
      </c>
      <c r="G10" s="3" t="str">
        <f>IFERROR(__xludf.DUMMYFUNCTION("""COMPUTED_VALUE"""),"Pillai")</f>
        <v>Pillai</v>
      </c>
      <c r="H10" s="3" t="s">
        <v>33</v>
      </c>
      <c r="I10" s="3">
        <v>2025.0</v>
      </c>
      <c r="J10" s="3">
        <f t="shared" si="2"/>
        <v>10000</v>
      </c>
      <c r="K10" s="3" t="s">
        <v>26</v>
      </c>
      <c r="L10" s="10">
        <v>33696.0</v>
      </c>
      <c r="M10" s="3" t="s">
        <v>30</v>
      </c>
      <c r="N10" s="3">
        <v>59.0</v>
      </c>
      <c r="O10" s="3" t="s">
        <v>27</v>
      </c>
      <c r="P10" s="3" t="s">
        <v>31</v>
      </c>
      <c r="Q10" s="6">
        <f t="shared" si="3"/>
        <v>910000</v>
      </c>
    </row>
    <row r="11">
      <c r="A11" s="3">
        <v>64595.0</v>
      </c>
      <c r="B11" s="3" t="s">
        <v>45</v>
      </c>
      <c r="C11" s="3" t="s">
        <v>18</v>
      </c>
      <c r="D11" s="4" t="str">
        <f t="shared" si="1"/>
        <v>Mr.</v>
      </c>
      <c r="E11" s="3" t="str">
        <f t="shared" si="4"/>
        <v>Mr. Aaryan Mehta</v>
      </c>
      <c r="F11" s="3" t="str">
        <f>IFERROR(__xludf.DUMMYFUNCTION("SPLIT(B11,"" "")"),"Aaryan")</f>
        <v>Aaryan</v>
      </c>
      <c r="G11" s="3" t="str">
        <f>IFERROR(__xludf.DUMMYFUNCTION("""COMPUTED_VALUE"""),"Mehta")</f>
        <v>Mehta</v>
      </c>
      <c r="H11" s="3" t="s">
        <v>46</v>
      </c>
      <c r="I11" s="3">
        <v>2018.0</v>
      </c>
      <c r="J11" s="3">
        <f t="shared" si="2"/>
        <v>5000</v>
      </c>
      <c r="K11" s="3" t="s">
        <v>20</v>
      </c>
      <c r="L11" s="10">
        <v>1026.0</v>
      </c>
      <c r="M11" s="3" t="s">
        <v>30</v>
      </c>
      <c r="N11" s="3">
        <v>43.0</v>
      </c>
      <c r="O11" s="3" t="s">
        <v>22</v>
      </c>
      <c r="P11" s="3" t="s">
        <v>38</v>
      </c>
      <c r="Q11" s="6">
        <f t="shared" si="3"/>
        <v>635000</v>
      </c>
    </row>
    <row r="12">
      <c r="A12" s="3">
        <v>64596.0</v>
      </c>
      <c r="B12" s="3" t="s">
        <v>47</v>
      </c>
      <c r="C12" s="3" t="s">
        <v>35</v>
      </c>
      <c r="D12" s="4" t="str">
        <f t="shared" si="1"/>
        <v>Ms.</v>
      </c>
      <c r="E12" s="3" t="str">
        <f t="shared" si="4"/>
        <v>Ms. Diya Gupta</v>
      </c>
      <c r="F12" s="3" t="str">
        <f>IFERROR(__xludf.DUMMYFUNCTION("SPLIT(B12,"" "")"),"Diya")</f>
        <v>Diya</v>
      </c>
      <c r="G12" s="3" t="str">
        <f>IFERROR(__xludf.DUMMYFUNCTION("""COMPUTED_VALUE"""),"Gupta")</f>
        <v>Gupta</v>
      </c>
      <c r="H12" s="3" t="s">
        <v>19</v>
      </c>
      <c r="I12" s="3">
        <v>2016.0</v>
      </c>
      <c r="J12" s="3">
        <f t="shared" si="2"/>
        <v>5000</v>
      </c>
      <c r="K12" s="3" t="s">
        <v>37</v>
      </c>
      <c r="L12" s="3">
        <v>0.0</v>
      </c>
      <c r="M12" s="3" t="s">
        <v>21</v>
      </c>
      <c r="N12" s="3">
        <v>40.0</v>
      </c>
      <c r="O12" s="3" t="s">
        <v>41</v>
      </c>
      <c r="P12" s="3" t="s">
        <v>31</v>
      </c>
      <c r="Q12" s="6">
        <f t="shared" si="3"/>
        <v>910000</v>
      </c>
    </row>
    <row r="13">
      <c r="A13" s="3">
        <v>64599.0</v>
      </c>
      <c r="B13" s="3" t="s">
        <v>48</v>
      </c>
      <c r="C13" s="3" t="s">
        <v>18</v>
      </c>
      <c r="D13" s="4" t="str">
        <f t="shared" si="1"/>
        <v>Mr.</v>
      </c>
      <c r="E13" s="3" t="str">
        <f t="shared" si="4"/>
        <v>Mr. Kian Mishra</v>
      </c>
      <c r="F13" s="3" t="str">
        <f>IFERROR(__xludf.DUMMYFUNCTION("SPLIT(B13,"" "")"),"Kian")</f>
        <v>Kian</v>
      </c>
      <c r="G13" s="3" t="str">
        <f>IFERROR(__xludf.DUMMYFUNCTION("""COMPUTED_VALUE"""),"Mishra")</f>
        <v>Mishra</v>
      </c>
      <c r="H13" s="3" t="s">
        <v>25</v>
      </c>
      <c r="I13" s="3">
        <v>2025.0</v>
      </c>
      <c r="J13" s="3">
        <f t="shared" si="2"/>
        <v>10000</v>
      </c>
      <c r="K13" s="3" t="s">
        <v>20</v>
      </c>
      <c r="L13" s="3">
        <v>0.0</v>
      </c>
      <c r="M13" s="3" t="s">
        <v>30</v>
      </c>
      <c r="N13" s="3">
        <v>27.0</v>
      </c>
      <c r="O13" s="3" t="s">
        <v>27</v>
      </c>
      <c r="P13" s="3" t="s">
        <v>38</v>
      </c>
      <c r="Q13" s="6">
        <f t="shared" si="3"/>
        <v>635000</v>
      </c>
    </row>
    <row r="14">
      <c r="A14" s="3">
        <v>64600.0</v>
      </c>
      <c r="B14" s="3" t="s">
        <v>49</v>
      </c>
      <c r="C14" s="3" t="s">
        <v>18</v>
      </c>
      <c r="D14" s="4" t="str">
        <f t="shared" si="1"/>
        <v>Mr.</v>
      </c>
      <c r="E14" s="3" t="str">
        <f t="shared" si="4"/>
        <v>Mr. Ayaan Kapoor</v>
      </c>
      <c r="F14" s="3" t="str">
        <f>IFERROR(__xludf.DUMMYFUNCTION("SPLIT(B14,"" "")"),"Ayaan")</f>
        <v>Ayaan</v>
      </c>
      <c r="G14" s="3" t="str">
        <f>IFERROR(__xludf.DUMMYFUNCTION("""COMPUTED_VALUE"""),"Kapoor")</f>
        <v>Kapoor</v>
      </c>
      <c r="H14" s="3" t="s">
        <v>25</v>
      </c>
      <c r="I14" s="3">
        <v>2024.0</v>
      </c>
      <c r="J14" s="3">
        <f t="shared" si="2"/>
        <v>10000</v>
      </c>
      <c r="K14" s="3" t="s">
        <v>20</v>
      </c>
      <c r="L14" s="3">
        <v>0.0</v>
      </c>
      <c r="M14" s="3" t="s">
        <v>21</v>
      </c>
      <c r="N14" s="3">
        <f>RANDBETWEEN(0,10)</f>
        <v>2</v>
      </c>
      <c r="O14" s="3" t="s">
        <v>27</v>
      </c>
      <c r="P14" s="3" t="s">
        <v>31</v>
      </c>
      <c r="Q14" s="6">
        <f t="shared" si="3"/>
        <v>910000</v>
      </c>
    </row>
    <row r="15">
      <c r="A15" s="3">
        <v>64601.0</v>
      </c>
      <c r="B15" s="3" t="s">
        <v>50</v>
      </c>
      <c r="C15" s="3" t="s">
        <v>35</v>
      </c>
      <c r="D15" s="4" t="str">
        <f t="shared" si="1"/>
        <v>Ms.</v>
      </c>
      <c r="E15" s="3" t="str">
        <f t="shared" si="4"/>
        <v>Ms. Manya Malik</v>
      </c>
      <c r="F15" s="3" t="str">
        <f>IFERROR(__xludf.DUMMYFUNCTION("SPLIT(B15,"" "")"),"Manya")</f>
        <v>Manya</v>
      </c>
      <c r="G15" s="3" t="str">
        <f>IFERROR(__xludf.DUMMYFUNCTION("""COMPUTED_VALUE"""),"Malik")</f>
        <v>Malik</v>
      </c>
      <c r="H15" s="3" t="s">
        <v>25</v>
      </c>
      <c r="I15" s="3">
        <v>2021.0</v>
      </c>
      <c r="J15" s="3">
        <f t="shared" si="2"/>
        <v>10000</v>
      </c>
      <c r="K15" s="3" t="s">
        <v>20</v>
      </c>
      <c r="L15" s="3">
        <v>389.0</v>
      </c>
      <c r="M15" s="3" t="s">
        <v>21</v>
      </c>
      <c r="N15" s="3">
        <v>70.0</v>
      </c>
      <c r="O15" s="3" t="s">
        <v>27</v>
      </c>
      <c r="P15" s="3" t="s">
        <v>38</v>
      </c>
      <c r="Q15" s="6">
        <f t="shared" si="3"/>
        <v>635000</v>
      </c>
    </row>
    <row r="16">
      <c r="A16" s="3">
        <v>64602.0</v>
      </c>
      <c r="B16" s="3" t="s">
        <v>51</v>
      </c>
      <c r="C16" s="3" t="s">
        <v>18</v>
      </c>
      <c r="D16" s="4" t="str">
        <f t="shared" si="1"/>
        <v>Mr.</v>
      </c>
      <c r="E16" s="3" t="str">
        <f t="shared" si="4"/>
        <v>Mr. Laksh Dutta</v>
      </c>
      <c r="F16" s="3" t="str">
        <f>IFERROR(__xludf.DUMMYFUNCTION("SPLIT(B16,"" "")"),"Laksh")</f>
        <v>Laksh</v>
      </c>
      <c r="G16" s="3" t="str">
        <f>IFERROR(__xludf.DUMMYFUNCTION("""COMPUTED_VALUE"""),"Dutta")</f>
        <v>Dutta</v>
      </c>
      <c r="H16" s="3" t="s">
        <v>25</v>
      </c>
      <c r="I16" s="3">
        <v>2026.0</v>
      </c>
      <c r="J16" s="3">
        <f t="shared" si="2"/>
        <v>10000</v>
      </c>
      <c r="K16" s="3" t="s">
        <v>26</v>
      </c>
      <c r="L16" s="10">
        <v>1660.0</v>
      </c>
      <c r="M16" s="3" t="s">
        <v>21</v>
      </c>
      <c r="N16" s="3">
        <v>18.0</v>
      </c>
      <c r="O16" s="3" t="s">
        <v>41</v>
      </c>
      <c r="P16" s="3" t="s">
        <v>38</v>
      </c>
      <c r="Q16" s="6">
        <f t="shared" si="3"/>
        <v>635000</v>
      </c>
    </row>
    <row r="17">
      <c r="A17" s="3">
        <v>64603.0</v>
      </c>
      <c r="B17" s="3" t="s">
        <v>52</v>
      </c>
      <c r="C17" s="3" t="s">
        <v>35</v>
      </c>
      <c r="D17" s="4" t="str">
        <f t="shared" si="1"/>
        <v>Ms.</v>
      </c>
      <c r="E17" s="3" t="str">
        <f t="shared" si="4"/>
        <v>Ms. Aaradhya Sharma</v>
      </c>
      <c r="F17" s="3" t="str">
        <f>IFERROR(__xludf.DUMMYFUNCTION("SPLIT(B17,"" "")"),"Aaradhya")</f>
        <v>Aaradhya</v>
      </c>
      <c r="G17" s="3" t="str">
        <f>IFERROR(__xludf.DUMMYFUNCTION("""COMPUTED_VALUE"""),"Sharma")</f>
        <v>Sharma</v>
      </c>
      <c r="H17" s="3" t="s">
        <v>46</v>
      </c>
      <c r="I17" s="3">
        <v>2023.0</v>
      </c>
      <c r="J17" s="3">
        <f t="shared" si="2"/>
        <v>5000</v>
      </c>
      <c r="K17" s="3" t="s">
        <v>20</v>
      </c>
      <c r="L17" s="3">
        <v>0.0</v>
      </c>
      <c r="M17" s="3" t="s">
        <v>21</v>
      </c>
      <c r="N17" s="3">
        <v>50.0</v>
      </c>
      <c r="O17" s="3" t="s">
        <v>27</v>
      </c>
      <c r="P17" s="3" t="s">
        <v>38</v>
      </c>
      <c r="Q17" s="6">
        <f t="shared" si="3"/>
        <v>635000</v>
      </c>
    </row>
    <row r="18">
      <c r="A18" s="3">
        <v>64604.0</v>
      </c>
      <c r="B18" s="3" t="s">
        <v>53</v>
      </c>
      <c r="C18" s="3" t="s">
        <v>35</v>
      </c>
      <c r="D18" s="4" t="str">
        <f t="shared" si="1"/>
        <v>Ms.</v>
      </c>
      <c r="E18" s="3" t="str">
        <f t="shared" si="4"/>
        <v>Ms. Ira Joshi</v>
      </c>
      <c r="F18" s="3" t="str">
        <f>IFERROR(__xludf.DUMMYFUNCTION("SPLIT(B18,"" "")"),"Ira")</f>
        <v>Ira</v>
      </c>
      <c r="G18" s="3" t="str">
        <f>IFERROR(__xludf.DUMMYFUNCTION("""COMPUTED_VALUE"""),"Joshi")</f>
        <v>Joshi</v>
      </c>
      <c r="H18" s="3" t="s">
        <v>46</v>
      </c>
      <c r="I18" s="3">
        <v>2026.0</v>
      </c>
      <c r="J18" s="3">
        <f t="shared" si="2"/>
        <v>5000</v>
      </c>
      <c r="K18" s="3" t="s">
        <v>20</v>
      </c>
      <c r="L18" s="3">
        <v>250.0</v>
      </c>
      <c r="M18" s="3" t="s">
        <v>21</v>
      </c>
      <c r="N18" s="3">
        <f>RANDBETWEEN(0,10)</f>
        <v>7</v>
      </c>
      <c r="O18" s="3" t="s">
        <v>41</v>
      </c>
      <c r="P18" s="3" t="s">
        <v>31</v>
      </c>
      <c r="Q18" s="6">
        <f t="shared" si="3"/>
        <v>910000</v>
      </c>
    </row>
    <row r="19">
      <c r="A19" s="3">
        <v>64605.0</v>
      </c>
      <c r="B19" s="3" t="s">
        <v>54</v>
      </c>
      <c r="C19" s="3" t="s">
        <v>18</v>
      </c>
      <c r="D19" s="4" t="str">
        <f t="shared" si="1"/>
        <v>Mr.</v>
      </c>
      <c r="E19" s="3" t="str">
        <f t="shared" si="4"/>
        <v>Mr. Samarth Nair</v>
      </c>
      <c r="F19" s="3" t="str">
        <f>IFERROR(__xludf.DUMMYFUNCTION("SPLIT(B19,"" "")"),"Samarth")</f>
        <v>Samarth</v>
      </c>
      <c r="G19" s="3" t="str">
        <f>IFERROR(__xludf.DUMMYFUNCTION("""COMPUTED_VALUE"""),"Nair")</f>
        <v>Nair</v>
      </c>
      <c r="H19" s="3" t="s">
        <v>33</v>
      </c>
      <c r="I19" s="3">
        <v>2017.0</v>
      </c>
      <c r="J19" s="3">
        <f t="shared" si="2"/>
        <v>10000</v>
      </c>
      <c r="K19" s="3" t="s">
        <v>26</v>
      </c>
      <c r="L19" s="10">
        <v>4902.0</v>
      </c>
      <c r="M19" s="3" t="s">
        <v>30</v>
      </c>
      <c r="N19" s="3">
        <v>21.0</v>
      </c>
      <c r="O19" s="3" t="s">
        <v>22</v>
      </c>
      <c r="P19" s="3" t="s">
        <v>31</v>
      </c>
      <c r="Q19" s="6">
        <f t="shared" si="3"/>
        <v>910000</v>
      </c>
    </row>
    <row r="20">
      <c r="A20" s="3">
        <v>64606.0</v>
      </c>
      <c r="B20" s="3" t="s">
        <v>55</v>
      </c>
      <c r="C20" s="3" t="s">
        <v>18</v>
      </c>
      <c r="D20" s="4" t="str">
        <f t="shared" si="1"/>
        <v>Mr.</v>
      </c>
      <c r="E20" s="3" t="str">
        <f t="shared" si="4"/>
        <v>Mr. Sai Singh</v>
      </c>
      <c r="F20" s="3" t="str">
        <f>IFERROR(__xludf.DUMMYFUNCTION("SPLIT(B20,"" "")"),"Sai")</f>
        <v>Sai</v>
      </c>
      <c r="G20" s="3" t="str">
        <f>IFERROR(__xludf.DUMMYFUNCTION("""COMPUTED_VALUE"""),"Singh")</f>
        <v>Singh</v>
      </c>
      <c r="H20" s="3" t="s">
        <v>46</v>
      </c>
      <c r="I20" s="3">
        <v>2026.0</v>
      </c>
      <c r="J20" s="3">
        <f t="shared" si="2"/>
        <v>5000</v>
      </c>
      <c r="K20" s="3" t="s">
        <v>26</v>
      </c>
      <c r="L20" s="10">
        <v>2589.0</v>
      </c>
      <c r="M20" s="3" t="s">
        <v>21</v>
      </c>
      <c r="N20" s="3">
        <f t="shared" ref="N20:N21" si="5">RANDBETWEEN(0,10)</f>
        <v>2</v>
      </c>
      <c r="O20" s="3" t="s">
        <v>41</v>
      </c>
      <c r="P20" s="3" t="s">
        <v>38</v>
      </c>
      <c r="Q20" s="6">
        <f t="shared" si="3"/>
        <v>635000</v>
      </c>
    </row>
    <row r="21">
      <c r="A21" s="3">
        <v>64607.0</v>
      </c>
      <c r="B21" s="3" t="s">
        <v>56</v>
      </c>
      <c r="C21" s="3" t="s">
        <v>18</v>
      </c>
      <c r="D21" s="4" t="str">
        <f t="shared" si="1"/>
        <v>Mr.</v>
      </c>
      <c r="E21" s="3" t="str">
        <f t="shared" si="4"/>
        <v>Mr. Dev Sharma</v>
      </c>
      <c r="F21" s="3" t="str">
        <f>IFERROR(__xludf.DUMMYFUNCTION("SPLIT(B21,"" "")"),"Dev")</f>
        <v>Dev</v>
      </c>
      <c r="G21" s="3" t="str">
        <f>IFERROR(__xludf.DUMMYFUNCTION("""COMPUTED_VALUE"""),"Sharma")</f>
        <v>Sharma</v>
      </c>
      <c r="H21" s="3" t="s">
        <v>25</v>
      </c>
      <c r="I21" s="3">
        <v>2025.0</v>
      </c>
      <c r="J21" s="3">
        <f t="shared" si="2"/>
        <v>10000</v>
      </c>
      <c r="K21" s="3" t="s">
        <v>20</v>
      </c>
      <c r="L21" s="3">
        <v>0.0</v>
      </c>
      <c r="M21" s="3" t="s">
        <v>21</v>
      </c>
      <c r="N21" s="3">
        <f t="shared" si="5"/>
        <v>9</v>
      </c>
      <c r="O21" s="3" t="s">
        <v>27</v>
      </c>
      <c r="P21" s="3" t="s">
        <v>38</v>
      </c>
      <c r="Q21" s="6">
        <f t="shared" si="3"/>
        <v>635000</v>
      </c>
    </row>
    <row r="22">
      <c r="A22" s="3">
        <v>64608.0</v>
      </c>
      <c r="B22" s="3" t="s">
        <v>57</v>
      </c>
      <c r="C22" s="3" t="s">
        <v>18</v>
      </c>
      <c r="D22" s="4" t="str">
        <f t="shared" si="1"/>
        <v>Mr.</v>
      </c>
      <c r="E22" s="3" t="str">
        <f t="shared" si="4"/>
        <v>Mr. Vihaan Pillai</v>
      </c>
      <c r="F22" s="3" t="str">
        <f>IFERROR(__xludf.DUMMYFUNCTION("SPLIT(B22,"" "")"),"Vihaan")</f>
        <v>Vihaan</v>
      </c>
      <c r="G22" s="3" t="str">
        <f>IFERROR(__xludf.DUMMYFUNCTION("""COMPUTED_VALUE"""),"Pillai")</f>
        <v>Pillai</v>
      </c>
      <c r="H22" s="3" t="s">
        <v>25</v>
      </c>
      <c r="I22" s="3">
        <v>2024.0</v>
      </c>
      <c r="J22" s="3">
        <f t="shared" si="2"/>
        <v>10000</v>
      </c>
      <c r="K22" s="3" t="s">
        <v>20</v>
      </c>
      <c r="L22" s="3">
        <v>424.0</v>
      </c>
      <c r="M22" s="3" t="s">
        <v>21</v>
      </c>
      <c r="N22" s="3">
        <v>54.0</v>
      </c>
      <c r="O22" s="3" t="s">
        <v>22</v>
      </c>
      <c r="P22" s="3" t="s">
        <v>28</v>
      </c>
      <c r="Q22" s="6">
        <f t="shared" si="3"/>
        <v>400000</v>
      </c>
    </row>
    <row r="23">
      <c r="A23" s="3">
        <v>64609.0</v>
      </c>
      <c r="B23" s="3" t="s">
        <v>58</v>
      </c>
      <c r="C23" s="3" t="s">
        <v>35</v>
      </c>
      <c r="D23" s="4" t="str">
        <f t="shared" si="1"/>
        <v>Ms.</v>
      </c>
      <c r="E23" s="3" t="str">
        <f t="shared" si="4"/>
        <v>Ms. Manya Pillai</v>
      </c>
      <c r="F23" s="3" t="str">
        <f>IFERROR(__xludf.DUMMYFUNCTION("SPLIT(B23,"" "")"),"Manya")</f>
        <v>Manya</v>
      </c>
      <c r="G23" s="3" t="str">
        <f>IFERROR(__xludf.DUMMYFUNCTION("""COMPUTED_VALUE"""),"Pillai")</f>
        <v>Pillai</v>
      </c>
      <c r="H23" s="3" t="s">
        <v>25</v>
      </c>
      <c r="I23" s="3">
        <v>2021.0</v>
      </c>
      <c r="J23" s="3">
        <f t="shared" si="2"/>
        <v>10000</v>
      </c>
      <c r="K23" s="3" t="s">
        <v>20</v>
      </c>
      <c r="L23" s="3">
        <v>0.0</v>
      </c>
      <c r="M23" s="3" t="s">
        <v>21</v>
      </c>
      <c r="N23" s="3">
        <v>33.0</v>
      </c>
      <c r="O23" s="3" t="s">
        <v>27</v>
      </c>
      <c r="P23" s="3" t="s">
        <v>38</v>
      </c>
      <c r="Q23" s="6">
        <f t="shared" si="3"/>
        <v>635000</v>
      </c>
    </row>
    <row r="24">
      <c r="A24" s="3">
        <v>64610.0</v>
      </c>
      <c r="B24" s="3" t="s">
        <v>59</v>
      </c>
      <c r="C24" s="3" t="s">
        <v>18</v>
      </c>
      <c r="D24" s="4" t="str">
        <f t="shared" si="1"/>
        <v>Mr.</v>
      </c>
      <c r="E24" s="3" t="str">
        <f t="shared" si="4"/>
        <v>Mr. Om Thakur</v>
      </c>
      <c r="F24" s="3" t="str">
        <f>IFERROR(__xludf.DUMMYFUNCTION("SPLIT(B24,"" "")"),"Om")</f>
        <v>Om</v>
      </c>
      <c r="G24" s="3" t="str">
        <f>IFERROR(__xludf.DUMMYFUNCTION("""COMPUTED_VALUE"""),"Thakur")</f>
        <v>Thakur</v>
      </c>
      <c r="H24" s="3" t="s">
        <v>25</v>
      </c>
      <c r="I24" s="3">
        <v>2023.0</v>
      </c>
      <c r="J24" s="3">
        <f t="shared" si="2"/>
        <v>10000</v>
      </c>
      <c r="K24" s="3" t="s">
        <v>26</v>
      </c>
      <c r="L24" s="3">
        <v>18697.0</v>
      </c>
      <c r="M24" s="3" t="s">
        <v>30</v>
      </c>
      <c r="N24" s="3">
        <v>16.0</v>
      </c>
      <c r="O24" s="3" t="s">
        <v>22</v>
      </c>
      <c r="P24" s="3" t="s">
        <v>38</v>
      </c>
      <c r="Q24" s="6">
        <f t="shared" si="3"/>
        <v>635000</v>
      </c>
    </row>
    <row r="25">
      <c r="A25" s="3">
        <v>64611.0</v>
      </c>
      <c r="B25" s="3" t="s">
        <v>60</v>
      </c>
      <c r="C25" s="3" t="s">
        <v>35</v>
      </c>
      <c r="D25" s="4" t="str">
        <f t="shared" si="1"/>
        <v>Ms.</v>
      </c>
      <c r="E25" s="3" t="str">
        <f t="shared" si="4"/>
        <v>Ms. Naira Rao</v>
      </c>
      <c r="F25" s="3" t="str">
        <f>IFERROR(__xludf.DUMMYFUNCTION("SPLIT(B25,"" "")"),"Naira")</f>
        <v>Naira</v>
      </c>
      <c r="G25" s="3" t="str">
        <f>IFERROR(__xludf.DUMMYFUNCTION("""COMPUTED_VALUE"""),"Rao")</f>
        <v>Rao</v>
      </c>
      <c r="H25" s="3" t="s">
        <v>19</v>
      </c>
      <c r="I25" s="3">
        <v>2023.0</v>
      </c>
      <c r="J25" s="3">
        <f t="shared" si="2"/>
        <v>5000</v>
      </c>
      <c r="K25" s="3" t="s">
        <v>20</v>
      </c>
      <c r="L25" s="3">
        <v>0.0</v>
      </c>
      <c r="M25" s="3" t="s">
        <v>21</v>
      </c>
      <c r="N25" s="3">
        <v>47.0</v>
      </c>
      <c r="O25" s="3" t="s">
        <v>27</v>
      </c>
      <c r="P25" s="3" t="s">
        <v>31</v>
      </c>
      <c r="Q25" s="6">
        <f t="shared" si="3"/>
        <v>910000</v>
      </c>
    </row>
    <row r="26">
      <c r="A26" s="3">
        <v>64612.0</v>
      </c>
      <c r="B26" s="3" t="s">
        <v>61</v>
      </c>
      <c r="C26" s="3" t="s">
        <v>35</v>
      </c>
      <c r="D26" s="4" t="str">
        <f t="shared" si="1"/>
        <v>Ms.</v>
      </c>
      <c r="E26" s="3" t="str">
        <f t="shared" si="4"/>
        <v>Ms. Aarohi Reddy</v>
      </c>
      <c r="F26" s="3" t="str">
        <f>IFERROR(__xludf.DUMMYFUNCTION("SPLIT(B26,"" "")"),"Aarohi")</f>
        <v>Aarohi</v>
      </c>
      <c r="G26" s="3" t="str">
        <f>IFERROR(__xludf.DUMMYFUNCTION("""COMPUTED_VALUE"""),"Reddy")</f>
        <v>Reddy</v>
      </c>
      <c r="H26" s="3" t="s">
        <v>25</v>
      </c>
      <c r="I26" s="3">
        <v>2022.0</v>
      </c>
      <c r="J26" s="3">
        <f t="shared" si="2"/>
        <v>10000</v>
      </c>
      <c r="K26" s="3" t="s">
        <v>20</v>
      </c>
      <c r="L26" s="3">
        <v>0.0</v>
      </c>
      <c r="M26" s="3" t="s">
        <v>21</v>
      </c>
      <c r="N26" s="3">
        <v>65.0</v>
      </c>
      <c r="O26" s="3" t="s">
        <v>27</v>
      </c>
      <c r="P26" s="3" t="s">
        <v>38</v>
      </c>
      <c r="Q26" s="6">
        <f t="shared" si="3"/>
        <v>635000</v>
      </c>
    </row>
    <row r="27">
      <c r="A27" s="3">
        <v>64613.0</v>
      </c>
      <c r="B27" s="3" t="s">
        <v>62</v>
      </c>
      <c r="C27" s="3" t="s">
        <v>35</v>
      </c>
      <c r="D27" s="4" t="str">
        <f t="shared" si="1"/>
        <v>Ms.</v>
      </c>
      <c r="E27" s="3" t="str">
        <f t="shared" si="4"/>
        <v>Ms. Anvi Verma</v>
      </c>
      <c r="F27" s="3" t="str">
        <f>IFERROR(__xludf.DUMMYFUNCTION("SPLIT(B27,"" "")"),"Anvi")</f>
        <v>Anvi</v>
      </c>
      <c r="G27" s="3" t="str">
        <f>IFERROR(__xludf.DUMMYFUNCTION("""COMPUTED_VALUE"""),"Verma")</f>
        <v>Verma</v>
      </c>
      <c r="H27" s="3" t="s">
        <v>19</v>
      </c>
      <c r="I27" s="3">
        <v>2025.0</v>
      </c>
      <c r="J27" s="3">
        <f t="shared" si="2"/>
        <v>5000</v>
      </c>
      <c r="K27" s="3" t="s">
        <v>20</v>
      </c>
      <c r="L27" s="3">
        <v>0.0</v>
      </c>
      <c r="M27" s="3" t="s">
        <v>21</v>
      </c>
      <c r="N27" s="3">
        <v>46.0</v>
      </c>
      <c r="O27" s="3" t="s">
        <v>27</v>
      </c>
      <c r="P27" s="3" t="s">
        <v>28</v>
      </c>
      <c r="Q27" s="6">
        <f t="shared" si="3"/>
        <v>400000</v>
      </c>
    </row>
    <row r="28">
      <c r="A28" s="3">
        <v>64614.0</v>
      </c>
      <c r="B28" s="3" t="s">
        <v>63</v>
      </c>
      <c r="C28" s="3" t="s">
        <v>35</v>
      </c>
      <c r="D28" s="4" t="str">
        <f t="shared" si="1"/>
        <v>Ms.</v>
      </c>
      <c r="E28" s="3" t="str">
        <f t="shared" si="4"/>
        <v>Ms. Tara Sinha</v>
      </c>
      <c r="F28" s="3" t="str">
        <f>IFERROR(__xludf.DUMMYFUNCTION("SPLIT(B28,"" "")"),"Tara")</f>
        <v>Tara</v>
      </c>
      <c r="G28" s="3" t="str">
        <f>IFERROR(__xludf.DUMMYFUNCTION("""COMPUTED_VALUE"""),"Sinha")</f>
        <v>Sinha</v>
      </c>
      <c r="H28" s="3" t="s">
        <v>33</v>
      </c>
      <c r="I28" s="3">
        <v>2026.0</v>
      </c>
      <c r="J28" s="3">
        <f t="shared" si="2"/>
        <v>10000</v>
      </c>
      <c r="K28" s="3" t="s">
        <v>20</v>
      </c>
      <c r="L28" s="3">
        <v>0.0</v>
      </c>
      <c r="M28" s="3" t="s">
        <v>21</v>
      </c>
      <c r="N28" s="3">
        <f>RANDBETWEEN(0,10)</f>
        <v>6</v>
      </c>
      <c r="O28" s="3" t="s">
        <v>27</v>
      </c>
      <c r="P28" s="3" t="s">
        <v>23</v>
      </c>
      <c r="Q28" s="6">
        <f t="shared" si="3"/>
        <v>430000</v>
      </c>
    </row>
    <row r="29">
      <c r="A29" s="3">
        <v>64618.0</v>
      </c>
      <c r="B29" s="3" t="s">
        <v>64</v>
      </c>
      <c r="C29" s="3" t="s">
        <v>18</v>
      </c>
      <c r="D29" s="4" t="str">
        <f t="shared" si="1"/>
        <v>Mr.</v>
      </c>
      <c r="E29" s="3" t="str">
        <f t="shared" si="4"/>
        <v>Mr. Vihaan Jain</v>
      </c>
      <c r="F29" s="3" t="str">
        <f>IFERROR(__xludf.DUMMYFUNCTION("SPLIT(B29,"" "")"),"Vihaan")</f>
        <v>Vihaan</v>
      </c>
      <c r="G29" s="3" t="str">
        <f>IFERROR(__xludf.DUMMYFUNCTION("""COMPUTED_VALUE"""),"Jain")</f>
        <v>Jain</v>
      </c>
      <c r="H29" s="3" t="s">
        <v>19</v>
      </c>
      <c r="I29" s="3">
        <v>2023.0</v>
      </c>
      <c r="J29" s="3">
        <f t="shared" si="2"/>
        <v>5000</v>
      </c>
      <c r="K29" s="3" t="s">
        <v>20</v>
      </c>
      <c r="L29" s="3">
        <v>0.0</v>
      </c>
      <c r="M29" s="3" t="s">
        <v>21</v>
      </c>
      <c r="N29" s="3">
        <v>55.0</v>
      </c>
      <c r="O29" s="3" t="s">
        <v>27</v>
      </c>
      <c r="P29" s="3" t="s">
        <v>31</v>
      </c>
      <c r="Q29" s="6">
        <f t="shared" si="3"/>
        <v>910000</v>
      </c>
    </row>
    <row r="30">
      <c r="A30" s="3">
        <v>64619.0</v>
      </c>
      <c r="B30" s="3" t="s">
        <v>65</v>
      </c>
      <c r="C30" s="3" t="s">
        <v>35</v>
      </c>
      <c r="D30" s="4" t="str">
        <f t="shared" si="1"/>
        <v>Ms.</v>
      </c>
      <c r="E30" s="3" t="str">
        <f t="shared" si="4"/>
        <v>Ms. Diya Sharma</v>
      </c>
      <c r="F30" s="3" t="str">
        <f>IFERROR(__xludf.DUMMYFUNCTION("SPLIT(B30,"" "")"),"Diya")</f>
        <v>Diya</v>
      </c>
      <c r="G30" s="3" t="str">
        <f>IFERROR(__xludf.DUMMYFUNCTION("""COMPUTED_VALUE"""),"Sharma")</f>
        <v>Sharma</v>
      </c>
      <c r="H30" s="3" t="s">
        <v>33</v>
      </c>
      <c r="I30" s="3">
        <v>2026.0</v>
      </c>
      <c r="J30" s="3">
        <f t="shared" si="2"/>
        <v>10000</v>
      </c>
      <c r="K30" s="3" t="s">
        <v>26</v>
      </c>
      <c r="L30" s="3">
        <v>12779.0</v>
      </c>
      <c r="M30" s="3" t="s">
        <v>21</v>
      </c>
      <c r="N30" s="3">
        <v>75.0</v>
      </c>
      <c r="O30" s="3" t="s">
        <v>27</v>
      </c>
      <c r="P30" s="3" t="s">
        <v>31</v>
      </c>
      <c r="Q30" s="6">
        <f t="shared" si="3"/>
        <v>910000</v>
      </c>
    </row>
    <row r="31">
      <c r="A31" s="3">
        <v>64620.0</v>
      </c>
      <c r="B31" s="3" t="s">
        <v>66</v>
      </c>
      <c r="C31" s="3" t="s">
        <v>18</v>
      </c>
      <c r="D31" s="4" t="str">
        <f t="shared" si="1"/>
        <v>Mr.</v>
      </c>
      <c r="E31" s="3" t="str">
        <f t="shared" si="4"/>
        <v>Mr. Vivaan Reddy</v>
      </c>
      <c r="F31" s="3" t="str">
        <f>IFERROR(__xludf.DUMMYFUNCTION("SPLIT(B31,"" "")"),"Vivaan")</f>
        <v>Vivaan</v>
      </c>
      <c r="G31" s="3" t="str">
        <f>IFERROR(__xludf.DUMMYFUNCTION("""COMPUTED_VALUE"""),"Reddy")</f>
        <v>Reddy</v>
      </c>
      <c r="H31" s="3" t="s">
        <v>25</v>
      </c>
      <c r="I31" s="3">
        <v>2023.0</v>
      </c>
      <c r="J31" s="3">
        <f t="shared" si="2"/>
        <v>10000</v>
      </c>
      <c r="K31" s="3" t="s">
        <v>20</v>
      </c>
      <c r="L31" s="3">
        <v>265.0</v>
      </c>
      <c r="M31" s="3" t="s">
        <v>21</v>
      </c>
      <c r="N31" s="3">
        <v>28.0</v>
      </c>
      <c r="O31" s="3" t="s">
        <v>41</v>
      </c>
      <c r="P31" s="3" t="s">
        <v>31</v>
      </c>
      <c r="Q31" s="6">
        <f t="shared" si="3"/>
        <v>910000</v>
      </c>
    </row>
    <row r="32">
      <c r="A32" s="3">
        <v>64621.0</v>
      </c>
      <c r="B32" s="3" t="s">
        <v>67</v>
      </c>
      <c r="C32" s="3" t="s">
        <v>35</v>
      </c>
      <c r="D32" s="4" t="str">
        <f t="shared" si="1"/>
        <v>Ms.</v>
      </c>
      <c r="E32" s="3" t="str">
        <f t="shared" si="4"/>
        <v>Ms. Saanvi Naidu</v>
      </c>
      <c r="F32" s="3" t="str">
        <f>IFERROR(__xludf.DUMMYFUNCTION("SPLIT(B32,"" "")"),"Saanvi")</f>
        <v>Saanvi</v>
      </c>
      <c r="G32" s="3" t="str">
        <f>IFERROR(__xludf.DUMMYFUNCTION("""COMPUTED_VALUE"""),"Naidu")</f>
        <v>Naidu</v>
      </c>
      <c r="H32" s="3" t="s">
        <v>46</v>
      </c>
      <c r="I32" s="3">
        <v>2025.0</v>
      </c>
      <c r="J32" s="3">
        <f t="shared" si="2"/>
        <v>5000</v>
      </c>
      <c r="K32" s="3" t="s">
        <v>20</v>
      </c>
      <c r="L32" s="3">
        <v>0.0</v>
      </c>
      <c r="M32" s="3" t="s">
        <v>21</v>
      </c>
      <c r="N32" s="3">
        <f>RANDBETWEEN(0,10)</f>
        <v>5</v>
      </c>
      <c r="O32" s="3" t="s">
        <v>27</v>
      </c>
      <c r="P32" s="3" t="s">
        <v>38</v>
      </c>
      <c r="Q32" s="6">
        <f t="shared" si="3"/>
        <v>635000</v>
      </c>
    </row>
    <row r="33">
      <c r="A33" s="3">
        <v>64622.0</v>
      </c>
      <c r="B33" s="3" t="s">
        <v>68</v>
      </c>
      <c r="C33" s="3" t="s">
        <v>35</v>
      </c>
      <c r="D33" s="4" t="str">
        <f t="shared" si="1"/>
        <v>Ms.</v>
      </c>
      <c r="E33" s="3" t="str">
        <f t="shared" si="4"/>
        <v>Ms. Riddhi Malik</v>
      </c>
      <c r="F33" s="3" t="str">
        <f>IFERROR(__xludf.DUMMYFUNCTION("SPLIT(B33,"" "")"),"Riddhi")</f>
        <v>Riddhi</v>
      </c>
      <c r="G33" s="3" t="str">
        <f>IFERROR(__xludf.DUMMYFUNCTION("""COMPUTED_VALUE"""),"Malik")</f>
        <v>Malik</v>
      </c>
      <c r="H33" s="3" t="s">
        <v>25</v>
      </c>
      <c r="I33" s="3">
        <v>2024.0</v>
      </c>
      <c r="J33" s="3">
        <f t="shared" si="2"/>
        <v>10000</v>
      </c>
      <c r="K33" s="3" t="s">
        <v>26</v>
      </c>
      <c r="L33" s="3">
        <v>9147.0</v>
      </c>
      <c r="M33" s="3" t="s">
        <v>21</v>
      </c>
      <c r="N33" s="3">
        <v>60.0</v>
      </c>
      <c r="O33" s="3" t="s">
        <v>27</v>
      </c>
      <c r="P33" s="3" t="s">
        <v>38</v>
      </c>
      <c r="Q33" s="6">
        <f t="shared" si="3"/>
        <v>635000</v>
      </c>
    </row>
    <row r="34">
      <c r="A34" s="3">
        <v>64624.0</v>
      </c>
      <c r="B34" s="3" t="s">
        <v>69</v>
      </c>
      <c r="C34" s="3" t="s">
        <v>18</v>
      </c>
      <c r="D34" s="4" t="str">
        <f t="shared" si="1"/>
        <v>Mr.</v>
      </c>
      <c r="E34" s="3" t="str">
        <f t="shared" si="4"/>
        <v>Mr. Aaryan Bhatt</v>
      </c>
      <c r="F34" s="3" t="str">
        <f>IFERROR(__xludf.DUMMYFUNCTION("SPLIT(B34,"" "")"),"Aaryan")</f>
        <v>Aaryan</v>
      </c>
      <c r="G34" s="3" t="str">
        <f>IFERROR(__xludf.DUMMYFUNCTION("""COMPUTED_VALUE"""),"Bhatt")</f>
        <v>Bhatt</v>
      </c>
      <c r="H34" s="3" t="s">
        <v>46</v>
      </c>
      <c r="I34" s="3">
        <v>2019.0</v>
      </c>
      <c r="J34" s="3">
        <f t="shared" si="2"/>
        <v>5000</v>
      </c>
      <c r="K34" s="3" t="s">
        <v>37</v>
      </c>
      <c r="L34" s="3">
        <v>0.0</v>
      </c>
      <c r="M34" s="3" t="s">
        <v>21</v>
      </c>
      <c r="N34" s="3">
        <v>64.0</v>
      </c>
      <c r="O34" s="3" t="s">
        <v>41</v>
      </c>
      <c r="P34" s="3" t="s">
        <v>38</v>
      </c>
      <c r="Q34" s="6">
        <f t="shared" si="3"/>
        <v>635000</v>
      </c>
    </row>
    <row r="35">
      <c r="A35" s="3">
        <v>64625.0</v>
      </c>
      <c r="B35" s="3" t="s">
        <v>70</v>
      </c>
      <c r="C35" s="3" t="s">
        <v>35</v>
      </c>
      <c r="D35" s="4" t="str">
        <f t="shared" si="1"/>
        <v>Ms.</v>
      </c>
      <c r="E35" s="3" t="str">
        <f t="shared" si="4"/>
        <v>Ms. Charvi Bhatt</v>
      </c>
      <c r="F35" s="3" t="str">
        <f>IFERROR(__xludf.DUMMYFUNCTION("SPLIT(B35,"" "")"),"Charvi")</f>
        <v>Charvi</v>
      </c>
      <c r="G35" s="3" t="str">
        <f>IFERROR(__xludf.DUMMYFUNCTION("""COMPUTED_VALUE"""),"Bhatt")</f>
        <v>Bhatt</v>
      </c>
      <c r="H35" s="3" t="s">
        <v>33</v>
      </c>
      <c r="I35" s="3">
        <v>2026.0</v>
      </c>
      <c r="J35" s="3">
        <f t="shared" si="2"/>
        <v>10000</v>
      </c>
      <c r="K35" s="3" t="s">
        <v>26</v>
      </c>
      <c r="L35" s="3">
        <v>6964.0</v>
      </c>
      <c r="M35" s="3" t="s">
        <v>21</v>
      </c>
      <c r="N35" s="3">
        <v>62.0</v>
      </c>
      <c r="O35" s="3" t="s">
        <v>41</v>
      </c>
      <c r="P35" s="3" t="s">
        <v>38</v>
      </c>
      <c r="Q35" s="6">
        <f t="shared" si="3"/>
        <v>635000</v>
      </c>
    </row>
    <row r="36">
      <c r="A36" s="3">
        <v>64626.0</v>
      </c>
      <c r="B36" s="3" t="s">
        <v>71</v>
      </c>
      <c r="C36" s="3" t="s">
        <v>18</v>
      </c>
      <c r="D36" s="4" t="str">
        <f t="shared" si="1"/>
        <v>Mr.</v>
      </c>
      <c r="E36" s="3" t="str">
        <f t="shared" si="4"/>
        <v>Mr. Aryan Nair</v>
      </c>
      <c r="F36" s="3" t="str">
        <f>IFERROR(__xludf.DUMMYFUNCTION("SPLIT(B36,"" "")"),"Aryan")</f>
        <v>Aryan</v>
      </c>
      <c r="G36" s="3" t="str">
        <f>IFERROR(__xludf.DUMMYFUNCTION("""COMPUTED_VALUE"""),"Nair")</f>
        <v>Nair</v>
      </c>
      <c r="H36" s="3" t="s">
        <v>46</v>
      </c>
      <c r="I36" s="3">
        <v>2022.0</v>
      </c>
      <c r="J36" s="3">
        <f t="shared" si="2"/>
        <v>5000</v>
      </c>
      <c r="K36" s="3" t="s">
        <v>26</v>
      </c>
      <c r="L36" s="3">
        <v>10827.0</v>
      </c>
      <c r="M36" s="3" t="s">
        <v>21</v>
      </c>
      <c r="N36" s="3">
        <v>29.0</v>
      </c>
      <c r="O36" s="3" t="s">
        <v>41</v>
      </c>
      <c r="P36" s="3" t="s">
        <v>28</v>
      </c>
      <c r="Q36" s="6">
        <f t="shared" si="3"/>
        <v>400000</v>
      </c>
    </row>
    <row r="37">
      <c r="A37" s="3">
        <v>64627.0</v>
      </c>
      <c r="B37" s="3" t="s">
        <v>72</v>
      </c>
      <c r="C37" s="3" t="s">
        <v>18</v>
      </c>
      <c r="D37" s="4" t="str">
        <f t="shared" si="1"/>
        <v>Mr.</v>
      </c>
      <c r="E37" s="3" t="str">
        <f t="shared" si="4"/>
        <v>Mr. Aaryan Kumar</v>
      </c>
      <c r="F37" s="3" t="str">
        <f>IFERROR(__xludf.DUMMYFUNCTION("SPLIT(B37,"" "")"),"Aaryan")</f>
        <v>Aaryan</v>
      </c>
      <c r="G37" s="3" t="str">
        <f>IFERROR(__xludf.DUMMYFUNCTION("""COMPUTED_VALUE"""),"Kumar")</f>
        <v>Kumar</v>
      </c>
      <c r="H37" s="3" t="s">
        <v>19</v>
      </c>
      <c r="I37" s="3">
        <v>2024.0</v>
      </c>
      <c r="J37" s="3">
        <f t="shared" si="2"/>
        <v>5000</v>
      </c>
      <c r="K37" s="3" t="s">
        <v>20</v>
      </c>
      <c r="L37" s="3">
        <v>0.0</v>
      </c>
      <c r="M37" s="3" t="s">
        <v>21</v>
      </c>
      <c r="N37" s="3">
        <v>49.0</v>
      </c>
      <c r="O37" s="3" t="s">
        <v>41</v>
      </c>
      <c r="P37" s="3" t="s">
        <v>38</v>
      </c>
      <c r="Q37" s="6">
        <f t="shared" si="3"/>
        <v>635000</v>
      </c>
    </row>
    <row r="38">
      <c r="A38" s="3">
        <v>64628.0</v>
      </c>
      <c r="B38" s="3" t="s">
        <v>73</v>
      </c>
      <c r="C38" s="3" t="s">
        <v>18</v>
      </c>
      <c r="D38" s="4" t="str">
        <f t="shared" si="1"/>
        <v>Mr.</v>
      </c>
      <c r="E38" s="3" t="str">
        <f t="shared" si="4"/>
        <v>Mr. Samarth Kapoor</v>
      </c>
      <c r="F38" s="3" t="str">
        <f>IFERROR(__xludf.DUMMYFUNCTION("SPLIT(B38,"" "")"),"Samarth")</f>
        <v>Samarth</v>
      </c>
      <c r="G38" s="3" t="str">
        <f>IFERROR(__xludf.DUMMYFUNCTION("""COMPUTED_VALUE"""),"Kapoor")</f>
        <v>Kapoor</v>
      </c>
      <c r="H38" s="3" t="s">
        <v>19</v>
      </c>
      <c r="I38" s="3">
        <v>2021.0</v>
      </c>
      <c r="J38" s="3">
        <f t="shared" si="2"/>
        <v>5000</v>
      </c>
      <c r="K38" s="3" t="s">
        <v>20</v>
      </c>
      <c r="L38" s="3">
        <v>0.0</v>
      </c>
      <c r="M38" s="3" t="s">
        <v>21</v>
      </c>
      <c r="N38" s="3">
        <v>14.0</v>
      </c>
      <c r="O38" s="3" t="s">
        <v>41</v>
      </c>
      <c r="P38" s="3" t="s">
        <v>28</v>
      </c>
      <c r="Q38" s="6">
        <f t="shared" si="3"/>
        <v>400000</v>
      </c>
    </row>
    <row r="39">
      <c r="A39" s="3">
        <v>64629.0</v>
      </c>
      <c r="B39" s="3" t="s">
        <v>74</v>
      </c>
      <c r="C39" s="3" t="s">
        <v>35</v>
      </c>
      <c r="D39" s="4" t="str">
        <f t="shared" si="1"/>
        <v>Ms.</v>
      </c>
      <c r="E39" s="3" t="str">
        <f t="shared" si="4"/>
        <v>Ms. Gauri Chopra</v>
      </c>
      <c r="F39" s="3" t="str">
        <f>IFERROR(__xludf.DUMMYFUNCTION("SPLIT(B39,"" "")"),"Gauri")</f>
        <v>Gauri</v>
      </c>
      <c r="G39" s="3" t="str">
        <f>IFERROR(__xludf.DUMMYFUNCTION("""COMPUTED_VALUE"""),"Chopra")</f>
        <v>Chopra</v>
      </c>
      <c r="H39" s="3" t="s">
        <v>19</v>
      </c>
      <c r="I39" s="3">
        <v>2024.0</v>
      </c>
      <c r="J39" s="3">
        <f t="shared" si="2"/>
        <v>5000</v>
      </c>
      <c r="K39" s="3" t="s">
        <v>26</v>
      </c>
      <c r="L39" s="3">
        <v>24189.0</v>
      </c>
      <c r="M39" s="3" t="s">
        <v>30</v>
      </c>
      <c r="N39" s="3">
        <v>67.0</v>
      </c>
      <c r="O39" s="3" t="s">
        <v>22</v>
      </c>
      <c r="P39" s="3" t="s">
        <v>31</v>
      </c>
      <c r="Q39" s="6">
        <f t="shared" si="3"/>
        <v>910000</v>
      </c>
    </row>
    <row r="40">
      <c r="A40" s="3">
        <v>64630.0</v>
      </c>
      <c r="B40" s="3" t="s">
        <v>75</v>
      </c>
      <c r="C40" s="3" t="s">
        <v>18</v>
      </c>
      <c r="D40" s="4" t="str">
        <f t="shared" si="1"/>
        <v>Mr.</v>
      </c>
      <c r="E40" s="3" t="str">
        <f t="shared" si="4"/>
        <v>Mr. Vivaan Singh</v>
      </c>
      <c r="F40" s="3" t="str">
        <f>IFERROR(__xludf.DUMMYFUNCTION("SPLIT(B40,"" "")"),"Vivaan")</f>
        <v>Vivaan</v>
      </c>
      <c r="G40" s="3" t="str">
        <f>IFERROR(__xludf.DUMMYFUNCTION("""COMPUTED_VALUE"""),"Singh")</f>
        <v>Singh</v>
      </c>
      <c r="H40" s="3" t="s">
        <v>33</v>
      </c>
      <c r="I40" s="3">
        <v>2018.0</v>
      </c>
      <c r="J40" s="3">
        <f t="shared" si="2"/>
        <v>10000</v>
      </c>
      <c r="K40" s="3" t="s">
        <v>20</v>
      </c>
      <c r="L40" s="10">
        <v>4106.0</v>
      </c>
      <c r="M40" s="3" t="s">
        <v>30</v>
      </c>
      <c r="N40" s="3">
        <v>54.0</v>
      </c>
      <c r="O40" s="3" t="s">
        <v>22</v>
      </c>
      <c r="P40" s="3" t="s">
        <v>28</v>
      </c>
      <c r="Q40" s="6">
        <f t="shared" si="3"/>
        <v>400000</v>
      </c>
    </row>
    <row r="41">
      <c r="A41" s="3">
        <v>64631.0</v>
      </c>
      <c r="B41" s="3" t="s">
        <v>76</v>
      </c>
      <c r="C41" s="3" t="s">
        <v>35</v>
      </c>
      <c r="D41" s="4" t="str">
        <f t="shared" si="1"/>
        <v>Ms.</v>
      </c>
      <c r="E41" s="3" t="str">
        <f t="shared" si="4"/>
        <v>Ms. Vanya Malik</v>
      </c>
      <c r="F41" s="3" t="str">
        <f>IFERROR(__xludf.DUMMYFUNCTION("SPLIT(B41,"" "")"),"Vanya")</f>
        <v>Vanya</v>
      </c>
      <c r="G41" s="3" t="str">
        <f>IFERROR(__xludf.DUMMYFUNCTION("""COMPUTED_VALUE"""),"Malik")</f>
        <v>Malik</v>
      </c>
      <c r="H41" s="3" t="s">
        <v>19</v>
      </c>
      <c r="I41" s="3">
        <v>2026.0</v>
      </c>
      <c r="J41" s="3">
        <f t="shared" si="2"/>
        <v>5000</v>
      </c>
      <c r="K41" s="3" t="s">
        <v>20</v>
      </c>
      <c r="L41" s="3">
        <v>0.0</v>
      </c>
      <c r="M41" s="3" t="s">
        <v>30</v>
      </c>
      <c r="N41" s="3">
        <f>RANDBETWEEN(0,10)</f>
        <v>0</v>
      </c>
      <c r="O41" s="3" t="s">
        <v>41</v>
      </c>
      <c r="P41" s="3" t="s">
        <v>38</v>
      </c>
      <c r="Q41" s="6">
        <f t="shared" si="3"/>
        <v>635000</v>
      </c>
    </row>
    <row r="42">
      <c r="A42" s="3">
        <v>64632.0</v>
      </c>
      <c r="B42" s="3" t="s">
        <v>77</v>
      </c>
      <c r="C42" s="3" t="s">
        <v>35</v>
      </c>
      <c r="D42" s="4" t="str">
        <f t="shared" si="1"/>
        <v>Ms.</v>
      </c>
      <c r="E42" s="3" t="str">
        <f t="shared" si="4"/>
        <v>Ms. Ira Gupta</v>
      </c>
      <c r="F42" s="3" t="str">
        <f>IFERROR(__xludf.DUMMYFUNCTION("SPLIT(B42,"" "")"),"Ira")</f>
        <v>Ira</v>
      </c>
      <c r="G42" s="3" t="str">
        <f>IFERROR(__xludf.DUMMYFUNCTION("""COMPUTED_VALUE"""),"Gupta")</f>
        <v>Gupta</v>
      </c>
      <c r="H42" s="3" t="s">
        <v>19</v>
      </c>
      <c r="I42" s="3">
        <v>2026.0</v>
      </c>
      <c r="J42" s="3">
        <f t="shared" si="2"/>
        <v>5000</v>
      </c>
      <c r="K42" s="3" t="s">
        <v>20</v>
      </c>
      <c r="L42" s="3">
        <v>0.0</v>
      </c>
      <c r="M42" s="3" t="s">
        <v>21</v>
      </c>
      <c r="N42" s="3">
        <v>80.0</v>
      </c>
      <c r="O42" s="3" t="s">
        <v>41</v>
      </c>
      <c r="P42" s="3" t="s">
        <v>78</v>
      </c>
      <c r="Q42" s="6">
        <f t="shared" si="3"/>
        <v>255000</v>
      </c>
    </row>
    <row r="43">
      <c r="A43" s="3">
        <v>64633.0</v>
      </c>
      <c r="B43" s="3" t="s">
        <v>79</v>
      </c>
      <c r="C43" s="3" t="s">
        <v>18</v>
      </c>
      <c r="D43" s="4" t="str">
        <f t="shared" si="1"/>
        <v>Mr.</v>
      </c>
      <c r="E43" s="3" t="str">
        <f t="shared" si="4"/>
        <v>Mr. Laksh Kulkarni</v>
      </c>
      <c r="F43" s="3" t="str">
        <f>IFERROR(__xludf.DUMMYFUNCTION("SPLIT(B43,"" "")"),"Laksh")</f>
        <v>Laksh</v>
      </c>
      <c r="G43" s="3" t="str">
        <f>IFERROR(__xludf.DUMMYFUNCTION("""COMPUTED_VALUE"""),"Kulkarni")</f>
        <v>Kulkarni</v>
      </c>
      <c r="H43" s="3" t="s">
        <v>33</v>
      </c>
      <c r="I43" s="3">
        <v>2027.0</v>
      </c>
      <c r="J43" s="3">
        <f t="shared" si="2"/>
        <v>10000</v>
      </c>
      <c r="K43" s="3" t="s">
        <v>26</v>
      </c>
      <c r="L43" s="10">
        <v>2180.0</v>
      </c>
      <c r="M43" s="3" t="s">
        <v>21</v>
      </c>
      <c r="N43" s="3">
        <v>0.0</v>
      </c>
      <c r="O43" s="3" t="s">
        <v>41</v>
      </c>
      <c r="P43" s="3" t="s">
        <v>31</v>
      </c>
      <c r="Q43" s="6">
        <f t="shared" si="3"/>
        <v>910000</v>
      </c>
    </row>
    <row r="44">
      <c r="A44" s="3">
        <v>64634.0</v>
      </c>
      <c r="B44" s="3" t="s">
        <v>80</v>
      </c>
      <c r="C44" s="3" t="s">
        <v>18</v>
      </c>
      <c r="D44" s="4" t="str">
        <f t="shared" si="1"/>
        <v>Mr.</v>
      </c>
      <c r="E44" s="3" t="str">
        <f t="shared" si="4"/>
        <v>Mr. Atharv Singh</v>
      </c>
      <c r="F44" s="3" t="str">
        <f>IFERROR(__xludf.DUMMYFUNCTION("SPLIT(B44,"" "")"),"Atharv")</f>
        <v>Atharv</v>
      </c>
      <c r="G44" s="3" t="str">
        <f>IFERROR(__xludf.DUMMYFUNCTION("""COMPUTED_VALUE"""),"Singh")</f>
        <v>Singh</v>
      </c>
      <c r="H44" s="3" t="s">
        <v>25</v>
      </c>
      <c r="I44" s="3">
        <v>2026.0</v>
      </c>
      <c r="J44" s="3">
        <f t="shared" si="2"/>
        <v>10000</v>
      </c>
      <c r="K44" s="3" t="s">
        <v>20</v>
      </c>
      <c r="L44" s="3">
        <v>0.0</v>
      </c>
      <c r="M44" s="3" t="s">
        <v>21</v>
      </c>
      <c r="N44" s="3">
        <f t="shared" ref="N44:N45" si="6">RANDBETWEEN(0,10)</f>
        <v>0</v>
      </c>
      <c r="O44" s="3" t="s">
        <v>41</v>
      </c>
      <c r="P44" s="3" t="s">
        <v>31</v>
      </c>
      <c r="Q44" s="6">
        <f t="shared" si="3"/>
        <v>910000</v>
      </c>
    </row>
    <row r="45">
      <c r="A45" s="3">
        <v>64635.0</v>
      </c>
      <c r="B45" s="3" t="s">
        <v>81</v>
      </c>
      <c r="C45" s="3" t="s">
        <v>35</v>
      </c>
      <c r="D45" s="4" t="str">
        <f t="shared" si="1"/>
        <v>Ms.</v>
      </c>
      <c r="E45" s="3" t="str">
        <f t="shared" si="4"/>
        <v>Ms. Saanvi Kulkarni</v>
      </c>
      <c r="F45" s="3" t="str">
        <f>IFERROR(__xludf.DUMMYFUNCTION("SPLIT(B45,"" "")"),"Saanvi")</f>
        <v>Saanvi</v>
      </c>
      <c r="G45" s="3" t="str">
        <f>IFERROR(__xludf.DUMMYFUNCTION("""COMPUTED_VALUE"""),"Kulkarni")</f>
        <v>Kulkarni</v>
      </c>
      <c r="H45" s="3" t="s">
        <v>33</v>
      </c>
      <c r="I45" s="3">
        <v>2017.0</v>
      </c>
      <c r="J45" s="3">
        <f t="shared" si="2"/>
        <v>10000</v>
      </c>
      <c r="K45" s="3" t="s">
        <v>26</v>
      </c>
      <c r="L45" s="3">
        <v>17593.0</v>
      </c>
      <c r="M45" s="3" t="s">
        <v>21</v>
      </c>
      <c r="N45" s="3">
        <f t="shared" si="6"/>
        <v>10</v>
      </c>
      <c r="O45" s="3" t="s">
        <v>41</v>
      </c>
      <c r="P45" s="3" t="s">
        <v>28</v>
      </c>
      <c r="Q45" s="6">
        <f t="shared" si="3"/>
        <v>400000</v>
      </c>
    </row>
    <row r="46">
      <c r="A46" s="3">
        <v>64636.0</v>
      </c>
      <c r="B46" s="3" t="s">
        <v>82</v>
      </c>
      <c r="C46" s="3" t="s">
        <v>35</v>
      </c>
      <c r="D46" s="4" t="str">
        <f t="shared" si="1"/>
        <v>Ms.</v>
      </c>
      <c r="E46" s="3" t="str">
        <f t="shared" si="4"/>
        <v>Ms. Vanya Nair</v>
      </c>
      <c r="F46" s="3" t="str">
        <f>IFERROR(__xludf.DUMMYFUNCTION("SPLIT(B46,"" "")"),"Vanya")</f>
        <v>Vanya</v>
      </c>
      <c r="G46" s="3" t="str">
        <f>IFERROR(__xludf.DUMMYFUNCTION("""COMPUTED_VALUE"""),"Nair")</f>
        <v>Nair</v>
      </c>
      <c r="H46" s="3" t="s">
        <v>25</v>
      </c>
      <c r="I46" s="3">
        <v>2027.0</v>
      </c>
      <c r="J46" s="3">
        <f t="shared" si="2"/>
        <v>10000</v>
      </c>
      <c r="K46" s="3" t="s">
        <v>20</v>
      </c>
      <c r="L46" s="3">
        <v>0.0</v>
      </c>
      <c r="M46" s="3" t="s">
        <v>21</v>
      </c>
      <c r="N46" s="3">
        <v>0.0</v>
      </c>
      <c r="O46" s="3" t="s">
        <v>41</v>
      </c>
      <c r="P46" s="3" t="s">
        <v>31</v>
      </c>
      <c r="Q46" s="6">
        <f t="shared" si="3"/>
        <v>910000</v>
      </c>
    </row>
    <row r="47">
      <c r="A47" s="3">
        <v>64637.0</v>
      </c>
      <c r="B47" s="3" t="s">
        <v>83</v>
      </c>
      <c r="C47" s="3" t="s">
        <v>35</v>
      </c>
      <c r="D47" s="4" t="str">
        <f t="shared" si="1"/>
        <v>Ms.</v>
      </c>
      <c r="E47" s="3" t="str">
        <f t="shared" si="4"/>
        <v>Ms. Aarohi Gupta</v>
      </c>
      <c r="F47" s="3" t="str">
        <f>IFERROR(__xludf.DUMMYFUNCTION("SPLIT(B47,"" "")"),"Aarohi")</f>
        <v>Aarohi</v>
      </c>
      <c r="G47" s="3" t="str">
        <f>IFERROR(__xludf.DUMMYFUNCTION("""COMPUTED_VALUE"""),"Gupta")</f>
        <v>Gupta</v>
      </c>
      <c r="H47" s="3" t="s">
        <v>25</v>
      </c>
      <c r="I47" s="3">
        <v>2026.0</v>
      </c>
      <c r="J47" s="3">
        <f t="shared" si="2"/>
        <v>10000</v>
      </c>
      <c r="K47" s="3" t="s">
        <v>26</v>
      </c>
      <c r="L47" s="3">
        <v>12568.0</v>
      </c>
      <c r="M47" s="3" t="s">
        <v>21</v>
      </c>
      <c r="N47" s="3">
        <f>RANDBETWEEN(0,10)</f>
        <v>10</v>
      </c>
      <c r="O47" s="3" t="s">
        <v>41</v>
      </c>
      <c r="P47" s="3" t="s">
        <v>38</v>
      </c>
      <c r="Q47" s="6">
        <f t="shared" si="3"/>
        <v>635000</v>
      </c>
    </row>
    <row r="48">
      <c r="A48" s="3">
        <v>64638.0</v>
      </c>
      <c r="B48" s="3" t="s">
        <v>84</v>
      </c>
      <c r="C48" s="3" t="s">
        <v>35</v>
      </c>
      <c r="D48" s="4" t="str">
        <f t="shared" si="1"/>
        <v>Ms.</v>
      </c>
      <c r="E48" s="3" t="str">
        <f t="shared" si="4"/>
        <v>Ms. Siya Jain</v>
      </c>
      <c r="F48" s="3" t="str">
        <f>IFERROR(__xludf.DUMMYFUNCTION("SPLIT(B48,"" "")"),"Siya")</f>
        <v>Siya</v>
      </c>
      <c r="G48" s="3" t="str">
        <f>IFERROR(__xludf.DUMMYFUNCTION("""COMPUTED_VALUE"""),"Jain")</f>
        <v>Jain</v>
      </c>
      <c r="H48" s="3" t="s">
        <v>19</v>
      </c>
      <c r="I48" s="3">
        <v>2025.0</v>
      </c>
      <c r="J48" s="3">
        <f t="shared" si="2"/>
        <v>5000</v>
      </c>
      <c r="K48" s="3" t="s">
        <v>20</v>
      </c>
      <c r="L48" s="3">
        <v>0.0</v>
      </c>
      <c r="M48" s="3" t="s">
        <v>21</v>
      </c>
      <c r="N48" s="3">
        <v>26.0</v>
      </c>
      <c r="O48" s="3" t="s">
        <v>41</v>
      </c>
      <c r="P48" s="3" t="s">
        <v>28</v>
      </c>
      <c r="Q48" s="6">
        <f t="shared" si="3"/>
        <v>400000</v>
      </c>
    </row>
    <row r="49">
      <c r="A49" s="3">
        <v>64639.0</v>
      </c>
      <c r="B49" s="3" t="s">
        <v>85</v>
      </c>
      <c r="C49" s="3" t="s">
        <v>18</v>
      </c>
      <c r="D49" s="4" t="str">
        <f t="shared" si="1"/>
        <v>Mr.</v>
      </c>
      <c r="E49" s="3" t="str">
        <f t="shared" si="4"/>
        <v>Mr. Sai Malik</v>
      </c>
      <c r="F49" s="3" t="str">
        <f>IFERROR(__xludf.DUMMYFUNCTION("SPLIT(B49,"" "")"),"Sai")</f>
        <v>Sai</v>
      </c>
      <c r="G49" s="3" t="str">
        <f>IFERROR(__xludf.DUMMYFUNCTION("""COMPUTED_VALUE"""),"Malik")</f>
        <v>Malik</v>
      </c>
      <c r="H49" s="3" t="s">
        <v>33</v>
      </c>
      <c r="I49" s="3">
        <v>2023.0</v>
      </c>
      <c r="J49" s="3">
        <f t="shared" si="2"/>
        <v>10000</v>
      </c>
      <c r="K49" s="3" t="s">
        <v>20</v>
      </c>
      <c r="L49" s="3">
        <v>0.0</v>
      </c>
      <c r="M49" s="3" t="s">
        <v>21</v>
      </c>
      <c r="N49" s="3">
        <f>RANDBETWEEN(0,10)</f>
        <v>10</v>
      </c>
      <c r="O49" s="3" t="s">
        <v>41</v>
      </c>
      <c r="P49" s="3" t="s">
        <v>28</v>
      </c>
      <c r="Q49" s="6">
        <f t="shared" si="3"/>
        <v>400000</v>
      </c>
    </row>
    <row r="50">
      <c r="A50" s="3">
        <v>64640.0</v>
      </c>
      <c r="B50" s="3" t="s">
        <v>86</v>
      </c>
      <c r="C50" s="3" t="s">
        <v>18</v>
      </c>
      <c r="D50" s="4" t="str">
        <f t="shared" si="1"/>
        <v>Mr.</v>
      </c>
      <c r="E50" s="3" t="str">
        <f t="shared" si="4"/>
        <v>Mr. Harsh Desai</v>
      </c>
      <c r="F50" s="3" t="str">
        <f>IFERROR(__xludf.DUMMYFUNCTION("SPLIT(B50,"" "")"),"Harsh")</f>
        <v>Harsh</v>
      </c>
      <c r="G50" s="3" t="str">
        <f>IFERROR(__xludf.DUMMYFUNCTION("""COMPUTED_VALUE"""),"Desai")</f>
        <v>Desai</v>
      </c>
      <c r="H50" s="3" t="s">
        <v>46</v>
      </c>
      <c r="I50" s="3">
        <v>2026.0</v>
      </c>
      <c r="J50" s="3">
        <f t="shared" si="2"/>
        <v>5000</v>
      </c>
      <c r="K50" s="3" t="s">
        <v>20</v>
      </c>
      <c r="L50" s="3">
        <v>0.0</v>
      </c>
      <c r="M50" s="3" t="s">
        <v>21</v>
      </c>
      <c r="N50" s="3">
        <v>64.0</v>
      </c>
      <c r="O50" s="3" t="s">
        <v>41</v>
      </c>
      <c r="P50" s="3" t="s">
        <v>28</v>
      </c>
      <c r="Q50" s="6">
        <f t="shared" si="3"/>
        <v>400000</v>
      </c>
    </row>
    <row r="51">
      <c r="A51" s="3">
        <v>64641.0</v>
      </c>
      <c r="B51" s="3" t="s">
        <v>87</v>
      </c>
      <c r="C51" s="3" t="s">
        <v>18</v>
      </c>
      <c r="D51" s="4" t="str">
        <f t="shared" si="1"/>
        <v>Mr.</v>
      </c>
      <c r="E51" s="3" t="str">
        <f t="shared" si="4"/>
        <v>Mr. Om Reddy</v>
      </c>
      <c r="F51" s="3" t="str">
        <f>IFERROR(__xludf.DUMMYFUNCTION("SPLIT(B51,"" "")"),"Om")</f>
        <v>Om</v>
      </c>
      <c r="G51" s="3" t="str">
        <f>IFERROR(__xludf.DUMMYFUNCTION("""COMPUTED_VALUE"""),"Reddy")</f>
        <v>Reddy</v>
      </c>
      <c r="H51" s="3" t="s">
        <v>46</v>
      </c>
      <c r="I51" s="3">
        <v>2022.0</v>
      </c>
      <c r="J51" s="3">
        <f t="shared" si="2"/>
        <v>5000</v>
      </c>
      <c r="K51" s="3" t="s">
        <v>26</v>
      </c>
      <c r="L51" s="3">
        <v>2482.0</v>
      </c>
      <c r="M51" s="3" t="s">
        <v>21</v>
      </c>
      <c r="N51" s="3">
        <v>43.0</v>
      </c>
      <c r="O51" s="3" t="s">
        <v>41</v>
      </c>
      <c r="P51" s="3" t="s">
        <v>31</v>
      </c>
      <c r="Q51" s="6">
        <f t="shared" si="3"/>
        <v>910000</v>
      </c>
    </row>
    <row r="52">
      <c r="A52" s="3">
        <v>64643.0</v>
      </c>
      <c r="B52" s="3" t="s">
        <v>88</v>
      </c>
      <c r="C52" s="3" t="s">
        <v>35</v>
      </c>
      <c r="D52" s="4" t="str">
        <f t="shared" si="1"/>
        <v>Ms.</v>
      </c>
      <c r="E52" s="3" t="str">
        <f t="shared" si="4"/>
        <v>Ms. Diya Sinha</v>
      </c>
      <c r="F52" s="3" t="str">
        <f>IFERROR(__xludf.DUMMYFUNCTION("SPLIT(B52,"" "")"),"Diya")</f>
        <v>Diya</v>
      </c>
      <c r="G52" s="3" t="str">
        <f>IFERROR(__xludf.DUMMYFUNCTION("""COMPUTED_VALUE"""),"Sinha")</f>
        <v>Sinha</v>
      </c>
      <c r="H52" s="3" t="s">
        <v>25</v>
      </c>
      <c r="I52" s="3">
        <v>2028.0</v>
      </c>
      <c r="J52" s="3">
        <f t="shared" si="2"/>
        <v>10000</v>
      </c>
      <c r="K52" s="3" t="s">
        <v>20</v>
      </c>
      <c r="L52" s="3">
        <v>0.0</v>
      </c>
      <c r="M52" s="3" t="s">
        <v>21</v>
      </c>
      <c r="N52" s="3">
        <f t="shared" ref="N52:N54" si="7">RANDBETWEEN(0,10)</f>
        <v>5</v>
      </c>
      <c r="O52" s="3" t="s">
        <v>41</v>
      </c>
      <c r="P52" s="3" t="s">
        <v>28</v>
      </c>
      <c r="Q52" s="6">
        <f t="shared" si="3"/>
        <v>400000</v>
      </c>
    </row>
    <row r="53">
      <c r="A53" s="3">
        <v>64644.0</v>
      </c>
      <c r="B53" s="3" t="s">
        <v>89</v>
      </c>
      <c r="C53" s="3" t="s">
        <v>18</v>
      </c>
      <c r="D53" s="4" t="str">
        <f t="shared" si="1"/>
        <v>Mr.</v>
      </c>
      <c r="E53" s="3" t="str">
        <f t="shared" si="4"/>
        <v>Mr. Harsh Verma</v>
      </c>
      <c r="F53" s="3" t="str">
        <f>IFERROR(__xludf.DUMMYFUNCTION("SPLIT(B53,"" "")"),"Harsh")</f>
        <v>Harsh</v>
      </c>
      <c r="G53" s="3" t="str">
        <f>IFERROR(__xludf.DUMMYFUNCTION("""COMPUTED_VALUE"""),"Verma")</f>
        <v>Verma</v>
      </c>
      <c r="H53" s="3" t="s">
        <v>33</v>
      </c>
      <c r="I53" s="3">
        <v>2025.0</v>
      </c>
      <c r="J53" s="3">
        <f t="shared" si="2"/>
        <v>10000</v>
      </c>
      <c r="K53" s="3" t="s">
        <v>26</v>
      </c>
      <c r="L53" s="3">
        <v>5819.0</v>
      </c>
      <c r="M53" s="3" t="s">
        <v>21</v>
      </c>
      <c r="N53" s="3">
        <f t="shared" si="7"/>
        <v>4</v>
      </c>
      <c r="O53" s="3" t="s">
        <v>41</v>
      </c>
      <c r="P53" s="3" t="s">
        <v>38</v>
      </c>
      <c r="Q53" s="6">
        <f t="shared" si="3"/>
        <v>635000</v>
      </c>
    </row>
    <row r="54">
      <c r="A54" s="3">
        <v>64645.0</v>
      </c>
      <c r="B54" s="3" t="s">
        <v>90</v>
      </c>
      <c r="C54" s="3" t="s">
        <v>35</v>
      </c>
      <c r="D54" s="4" t="str">
        <f t="shared" si="1"/>
        <v>Ms.</v>
      </c>
      <c r="E54" s="3" t="str">
        <f t="shared" si="4"/>
        <v>Ms. Mahira Gupta</v>
      </c>
      <c r="F54" s="3" t="str">
        <f>IFERROR(__xludf.DUMMYFUNCTION("SPLIT(B54,"" "")"),"Mahira")</f>
        <v>Mahira</v>
      </c>
      <c r="G54" s="3" t="str">
        <f>IFERROR(__xludf.DUMMYFUNCTION("""COMPUTED_VALUE"""),"Gupta")</f>
        <v>Gupta</v>
      </c>
      <c r="H54" s="3" t="s">
        <v>25</v>
      </c>
      <c r="I54" s="3">
        <v>2024.0</v>
      </c>
      <c r="J54" s="3">
        <f t="shared" si="2"/>
        <v>10000</v>
      </c>
      <c r="K54" s="3" t="s">
        <v>26</v>
      </c>
      <c r="L54" s="10">
        <v>3622.0</v>
      </c>
      <c r="M54" s="3" t="s">
        <v>21</v>
      </c>
      <c r="N54" s="3">
        <f t="shared" si="7"/>
        <v>10</v>
      </c>
      <c r="O54" s="3" t="s">
        <v>22</v>
      </c>
      <c r="P54" s="3" t="s">
        <v>78</v>
      </c>
      <c r="Q54" s="6">
        <f t="shared" si="3"/>
        <v>255000</v>
      </c>
    </row>
    <row r="55">
      <c r="A55" s="3">
        <v>64647.0</v>
      </c>
      <c r="B55" s="3" t="s">
        <v>91</v>
      </c>
      <c r="C55" s="3" t="s">
        <v>35</v>
      </c>
      <c r="D55" s="4" t="str">
        <f t="shared" si="1"/>
        <v>Ms.</v>
      </c>
      <c r="E55" s="3" t="str">
        <f t="shared" si="4"/>
        <v>Ms. Prisha Reddy</v>
      </c>
      <c r="F55" s="3" t="str">
        <f>IFERROR(__xludf.DUMMYFUNCTION("SPLIT(B55,"" "")"),"Prisha")</f>
        <v>Prisha</v>
      </c>
      <c r="G55" s="3" t="str">
        <f>IFERROR(__xludf.DUMMYFUNCTION("""COMPUTED_VALUE"""),"Reddy")</f>
        <v>Reddy</v>
      </c>
      <c r="H55" s="3" t="s">
        <v>33</v>
      </c>
      <c r="I55" s="3">
        <v>2025.0</v>
      </c>
      <c r="J55" s="3">
        <f t="shared" si="2"/>
        <v>10000</v>
      </c>
      <c r="K55" s="3" t="s">
        <v>20</v>
      </c>
      <c r="L55" s="10">
        <v>5730.0</v>
      </c>
      <c r="M55" s="3" t="s">
        <v>21</v>
      </c>
      <c r="N55" s="3">
        <v>12.0</v>
      </c>
      <c r="O55" s="3" t="s">
        <v>22</v>
      </c>
      <c r="P55" s="3" t="s">
        <v>38</v>
      </c>
      <c r="Q55" s="6">
        <f t="shared" si="3"/>
        <v>635000</v>
      </c>
    </row>
    <row r="56">
      <c r="A56" s="3">
        <v>64648.0</v>
      </c>
      <c r="B56" s="3" t="s">
        <v>92</v>
      </c>
      <c r="C56" s="3" t="s">
        <v>35</v>
      </c>
      <c r="D56" s="4" t="str">
        <f t="shared" si="1"/>
        <v>Ms.</v>
      </c>
      <c r="E56" s="3" t="str">
        <f t="shared" si="4"/>
        <v>Ms. Naira Bhat</v>
      </c>
      <c r="F56" s="3" t="str">
        <f>IFERROR(__xludf.DUMMYFUNCTION("SPLIT(B56,"" "")"),"Naira")</f>
        <v>Naira</v>
      </c>
      <c r="G56" s="3" t="str">
        <f>IFERROR(__xludf.DUMMYFUNCTION("""COMPUTED_VALUE"""),"Bhat")</f>
        <v>Bhat</v>
      </c>
      <c r="H56" s="3" t="s">
        <v>33</v>
      </c>
      <c r="I56" s="3">
        <v>2028.0</v>
      </c>
      <c r="J56" s="3">
        <f t="shared" si="2"/>
        <v>10000</v>
      </c>
      <c r="K56" s="3" t="s">
        <v>20</v>
      </c>
      <c r="L56" s="3">
        <v>0.0</v>
      </c>
      <c r="M56" s="3" t="s">
        <v>21</v>
      </c>
      <c r="N56" s="3">
        <f t="shared" ref="N56:N57" si="8">RANDBETWEEN(0,10)</f>
        <v>8</v>
      </c>
      <c r="O56" s="3" t="s">
        <v>41</v>
      </c>
      <c r="P56" s="3" t="s">
        <v>31</v>
      </c>
      <c r="Q56" s="6">
        <f t="shared" si="3"/>
        <v>910000</v>
      </c>
    </row>
    <row r="57">
      <c r="A57" s="3">
        <v>64649.0</v>
      </c>
      <c r="B57" s="3" t="s">
        <v>93</v>
      </c>
      <c r="C57" s="3" t="s">
        <v>35</v>
      </c>
      <c r="D57" s="4" t="str">
        <f t="shared" si="1"/>
        <v>Ms.</v>
      </c>
      <c r="E57" s="3" t="str">
        <f t="shared" si="4"/>
        <v>Ms. Inaaya Mishra</v>
      </c>
      <c r="F57" s="3" t="str">
        <f>IFERROR(__xludf.DUMMYFUNCTION("SPLIT(B57,"" "")"),"Inaaya")</f>
        <v>Inaaya</v>
      </c>
      <c r="G57" s="3" t="str">
        <f>IFERROR(__xludf.DUMMYFUNCTION("""COMPUTED_VALUE"""),"Mishra")</f>
        <v>Mishra</v>
      </c>
      <c r="H57" s="3" t="s">
        <v>33</v>
      </c>
      <c r="I57" s="3">
        <v>2022.0</v>
      </c>
      <c r="J57" s="3">
        <f t="shared" si="2"/>
        <v>10000</v>
      </c>
      <c r="K57" s="3" t="s">
        <v>20</v>
      </c>
      <c r="L57" s="3">
        <v>228.0</v>
      </c>
      <c r="M57" s="3" t="s">
        <v>21</v>
      </c>
      <c r="N57" s="3">
        <f t="shared" si="8"/>
        <v>5</v>
      </c>
      <c r="O57" s="3" t="s">
        <v>22</v>
      </c>
      <c r="P57" s="3" t="s">
        <v>78</v>
      </c>
      <c r="Q57" s="6">
        <f t="shared" si="3"/>
        <v>255000</v>
      </c>
    </row>
    <row r="58">
      <c r="A58" s="3">
        <v>64650.0</v>
      </c>
      <c r="B58" s="3" t="s">
        <v>94</v>
      </c>
      <c r="C58" s="3" t="s">
        <v>18</v>
      </c>
      <c r="D58" s="4" t="str">
        <f t="shared" si="1"/>
        <v>Mr.</v>
      </c>
      <c r="E58" s="3" t="str">
        <f t="shared" si="4"/>
        <v>Mr. Kabir Thakur</v>
      </c>
      <c r="F58" s="3" t="str">
        <f>IFERROR(__xludf.DUMMYFUNCTION("SPLIT(B58,"" "")"),"Kabir")</f>
        <v>Kabir</v>
      </c>
      <c r="G58" s="3" t="str">
        <f>IFERROR(__xludf.DUMMYFUNCTION("""COMPUTED_VALUE"""),"Thakur")</f>
        <v>Thakur</v>
      </c>
      <c r="H58" s="3" t="s">
        <v>25</v>
      </c>
      <c r="I58" s="3">
        <v>2027.0</v>
      </c>
      <c r="J58" s="3">
        <f t="shared" si="2"/>
        <v>10000</v>
      </c>
      <c r="K58" s="3" t="s">
        <v>20</v>
      </c>
      <c r="L58" s="10">
        <v>1830.0</v>
      </c>
      <c r="M58" s="3" t="s">
        <v>21</v>
      </c>
      <c r="N58" s="3">
        <v>33.0</v>
      </c>
      <c r="O58" s="3" t="s">
        <v>41</v>
      </c>
      <c r="P58" s="3" t="s">
        <v>28</v>
      </c>
      <c r="Q58" s="6">
        <f t="shared" si="3"/>
        <v>400000</v>
      </c>
    </row>
    <row r="59">
      <c r="A59" s="3">
        <v>64651.0</v>
      </c>
      <c r="B59" s="3" t="s">
        <v>95</v>
      </c>
      <c r="C59" s="3" t="s">
        <v>35</v>
      </c>
      <c r="D59" s="4" t="str">
        <f t="shared" si="1"/>
        <v>Ms.</v>
      </c>
      <c r="E59" s="3" t="str">
        <f t="shared" si="4"/>
        <v>Ms. Gauri Patel</v>
      </c>
      <c r="F59" s="3" t="str">
        <f>IFERROR(__xludf.DUMMYFUNCTION("SPLIT(B59,"" "")"),"Gauri")</f>
        <v>Gauri</v>
      </c>
      <c r="G59" s="3" t="str">
        <f>IFERROR(__xludf.DUMMYFUNCTION("""COMPUTED_VALUE"""),"Patel")</f>
        <v>Patel</v>
      </c>
      <c r="H59" s="3" t="s">
        <v>25</v>
      </c>
      <c r="I59" s="3">
        <v>2025.0</v>
      </c>
      <c r="J59" s="3">
        <f t="shared" si="2"/>
        <v>10000</v>
      </c>
      <c r="K59" s="3" t="s">
        <v>26</v>
      </c>
      <c r="L59" s="3">
        <v>15621.0</v>
      </c>
      <c r="M59" s="3" t="s">
        <v>21</v>
      </c>
      <c r="N59" s="3">
        <v>57.0</v>
      </c>
      <c r="O59" s="3" t="s">
        <v>41</v>
      </c>
      <c r="P59" s="3" t="s">
        <v>31</v>
      </c>
      <c r="Q59" s="6">
        <f t="shared" si="3"/>
        <v>910000</v>
      </c>
    </row>
    <row r="60">
      <c r="A60" s="3">
        <v>64652.0</v>
      </c>
      <c r="B60" s="3" t="s">
        <v>96</v>
      </c>
      <c r="C60" s="3" t="s">
        <v>18</v>
      </c>
      <c r="D60" s="4" t="str">
        <f t="shared" si="1"/>
        <v>Mr.</v>
      </c>
      <c r="E60" s="3" t="str">
        <f t="shared" si="4"/>
        <v>Mr. Atharv Prasad</v>
      </c>
      <c r="F60" s="3" t="str">
        <f>IFERROR(__xludf.DUMMYFUNCTION("SPLIT(B60,"" "")"),"Atharv")</f>
        <v>Atharv</v>
      </c>
      <c r="G60" s="3" t="str">
        <f>IFERROR(__xludf.DUMMYFUNCTION("""COMPUTED_VALUE"""),"Prasad")</f>
        <v>Prasad</v>
      </c>
      <c r="H60" s="3" t="s">
        <v>19</v>
      </c>
      <c r="I60" s="3">
        <v>2025.0</v>
      </c>
      <c r="J60" s="3">
        <f t="shared" si="2"/>
        <v>5000</v>
      </c>
      <c r="K60" s="3" t="s">
        <v>26</v>
      </c>
      <c r="L60" s="10">
        <v>1645.0</v>
      </c>
      <c r="M60" s="3" t="s">
        <v>21</v>
      </c>
      <c r="N60" s="3">
        <f>RANDBETWEEN(0,10)</f>
        <v>0</v>
      </c>
      <c r="O60" s="3" t="s">
        <v>41</v>
      </c>
      <c r="P60" s="3" t="s">
        <v>38</v>
      </c>
      <c r="Q60" s="6">
        <f t="shared" si="3"/>
        <v>635000</v>
      </c>
    </row>
    <row r="61">
      <c r="A61" s="3">
        <v>64653.0</v>
      </c>
      <c r="B61" s="3" t="s">
        <v>97</v>
      </c>
      <c r="C61" s="3" t="s">
        <v>18</v>
      </c>
      <c r="D61" s="4" t="str">
        <f t="shared" si="1"/>
        <v>Mr.</v>
      </c>
      <c r="E61" s="3" t="str">
        <f t="shared" si="4"/>
        <v>Mr. Kabir Nair</v>
      </c>
      <c r="F61" s="3" t="str">
        <f>IFERROR(__xludf.DUMMYFUNCTION("SPLIT(B61,"" "")"),"Kabir")</f>
        <v>Kabir</v>
      </c>
      <c r="G61" s="3" t="str">
        <f>IFERROR(__xludf.DUMMYFUNCTION("""COMPUTED_VALUE"""),"Nair")</f>
        <v>Nair</v>
      </c>
      <c r="H61" s="3" t="s">
        <v>46</v>
      </c>
      <c r="I61" s="3">
        <v>2021.0</v>
      </c>
      <c r="J61" s="3">
        <f t="shared" si="2"/>
        <v>5000</v>
      </c>
      <c r="K61" s="3" t="s">
        <v>20</v>
      </c>
      <c r="L61" s="3">
        <v>0.0</v>
      </c>
      <c r="M61" s="3" t="s">
        <v>21</v>
      </c>
      <c r="N61" s="3">
        <v>63.0</v>
      </c>
      <c r="O61" s="3" t="s">
        <v>41</v>
      </c>
      <c r="P61" s="3" t="s">
        <v>23</v>
      </c>
      <c r="Q61" s="6">
        <f t="shared" si="3"/>
        <v>430000</v>
      </c>
    </row>
    <row r="62">
      <c r="A62" s="3">
        <v>64654.0</v>
      </c>
      <c r="B62" s="3" t="s">
        <v>98</v>
      </c>
      <c r="C62" s="3" t="s">
        <v>35</v>
      </c>
      <c r="D62" s="4" t="str">
        <f t="shared" si="1"/>
        <v>Ms.</v>
      </c>
      <c r="E62" s="3" t="str">
        <f t="shared" si="4"/>
        <v>Ms. Kyra Verma</v>
      </c>
      <c r="F62" s="3" t="str">
        <f>IFERROR(__xludf.DUMMYFUNCTION("SPLIT(B62,"" "")"),"Kyra")</f>
        <v>Kyra</v>
      </c>
      <c r="G62" s="3" t="str">
        <f>IFERROR(__xludf.DUMMYFUNCTION("""COMPUTED_VALUE"""),"Verma")</f>
        <v>Verma</v>
      </c>
      <c r="H62" s="3" t="s">
        <v>46</v>
      </c>
      <c r="I62" s="3">
        <v>2026.0</v>
      </c>
      <c r="J62" s="3">
        <f t="shared" si="2"/>
        <v>5000</v>
      </c>
      <c r="K62" s="3" t="s">
        <v>20</v>
      </c>
      <c r="L62" s="3">
        <v>276.0</v>
      </c>
      <c r="M62" s="3" t="s">
        <v>21</v>
      </c>
      <c r="N62" s="3">
        <v>40.0</v>
      </c>
      <c r="O62" s="3" t="s">
        <v>41</v>
      </c>
      <c r="P62" s="3" t="s">
        <v>31</v>
      </c>
      <c r="Q62" s="6">
        <f t="shared" si="3"/>
        <v>910000</v>
      </c>
    </row>
    <row r="63">
      <c r="A63" s="3">
        <v>64656.0</v>
      </c>
      <c r="B63" s="3" t="s">
        <v>99</v>
      </c>
      <c r="C63" s="3" t="s">
        <v>35</v>
      </c>
      <c r="D63" s="4" t="str">
        <f t="shared" si="1"/>
        <v>Ms.</v>
      </c>
      <c r="E63" s="3" t="str">
        <f t="shared" si="4"/>
        <v>Ms. Myra Dutta</v>
      </c>
      <c r="F63" s="3" t="str">
        <f>IFERROR(__xludf.DUMMYFUNCTION("SPLIT(B63,"" "")"),"Myra")</f>
        <v>Myra</v>
      </c>
      <c r="G63" s="3" t="str">
        <f>IFERROR(__xludf.DUMMYFUNCTION("""COMPUTED_VALUE"""),"Dutta")</f>
        <v>Dutta</v>
      </c>
      <c r="H63" s="3" t="s">
        <v>25</v>
      </c>
      <c r="I63" s="3">
        <v>2022.0</v>
      </c>
      <c r="J63" s="3">
        <f t="shared" si="2"/>
        <v>10000</v>
      </c>
      <c r="K63" s="3" t="s">
        <v>26</v>
      </c>
      <c r="L63" s="3">
        <v>18304.0</v>
      </c>
      <c r="M63" s="3" t="s">
        <v>21</v>
      </c>
      <c r="N63" s="3">
        <v>47.0</v>
      </c>
      <c r="O63" s="3" t="s">
        <v>41</v>
      </c>
      <c r="P63" s="3" t="s">
        <v>31</v>
      </c>
      <c r="Q63" s="6">
        <f t="shared" si="3"/>
        <v>910000</v>
      </c>
    </row>
    <row r="64">
      <c r="A64" s="3">
        <v>64657.0</v>
      </c>
      <c r="B64" s="3" t="s">
        <v>100</v>
      </c>
      <c r="C64" s="3" t="s">
        <v>18</v>
      </c>
      <c r="D64" s="4" t="str">
        <f t="shared" si="1"/>
        <v>Mr.</v>
      </c>
      <c r="E64" s="3" t="str">
        <f t="shared" si="4"/>
        <v>Mr. Samarth Jain</v>
      </c>
      <c r="F64" s="3" t="str">
        <f>IFERROR(__xludf.DUMMYFUNCTION("SPLIT(B64,"" "")"),"Samarth")</f>
        <v>Samarth</v>
      </c>
      <c r="G64" s="3" t="str">
        <f>IFERROR(__xludf.DUMMYFUNCTION("""COMPUTED_VALUE"""),"Jain")</f>
        <v>Jain</v>
      </c>
      <c r="H64" s="3" t="s">
        <v>33</v>
      </c>
      <c r="I64" s="3">
        <v>2022.0</v>
      </c>
      <c r="J64" s="3">
        <f t="shared" si="2"/>
        <v>10000</v>
      </c>
      <c r="K64" s="3" t="s">
        <v>26</v>
      </c>
      <c r="L64" s="3">
        <v>22555.0</v>
      </c>
      <c r="M64" s="3" t="s">
        <v>21</v>
      </c>
      <c r="N64" s="3">
        <f>RANDBETWEEN(0,10)</f>
        <v>9</v>
      </c>
      <c r="O64" s="3" t="s">
        <v>41</v>
      </c>
      <c r="P64" s="3" t="s">
        <v>31</v>
      </c>
      <c r="Q64" s="6">
        <f t="shared" si="3"/>
        <v>910000</v>
      </c>
    </row>
    <row r="65">
      <c r="A65" s="3">
        <v>64658.0</v>
      </c>
      <c r="B65" s="3" t="s">
        <v>101</v>
      </c>
      <c r="C65" s="3" t="s">
        <v>18</v>
      </c>
      <c r="D65" s="4" t="str">
        <f t="shared" si="1"/>
        <v>Mr.</v>
      </c>
      <c r="E65" s="3" t="str">
        <f t="shared" si="4"/>
        <v>Mr. Krishna Thakur</v>
      </c>
      <c r="F65" s="3" t="str">
        <f>IFERROR(__xludf.DUMMYFUNCTION("SPLIT(B65,"" "")"),"Krishna")</f>
        <v>Krishna</v>
      </c>
      <c r="G65" s="3" t="str">
        <f>IFERROR(__xludf.DUMMYFUNCTION("""COMPUTED_VALUE"""),"Thakur")</f>
        <v>Thakur</v>
      </c>
      <c r="H65" s="3" t="s">
        <v>33</v>
      </c>
      <c r="I65" s="3">
        <v>2025.0</v>
      </c>
      <c r="J65" s="3">
        <f t="shared" si="2"/>
        <v>10000</v>
      </c>
      <c r="K65" s="3" t="s">
        <v>20</v>
      </c>
      <c r="L65" s="3">
        <v>0.0</v>
      </c>
      <c r="M65" s="3" t="s">
        <v>21</v>
      </c>
      <c r="N65" s="3">
        <v>7.0</v>
      </c>
      <c r="O65" s="3" t="s">
        <v>41</v>
      </c>
      <c r="P65" s="3" t="s">
        <v>31</v>
      </c>
      <c r="Q65" s="6">
        <f t="shared" si="3"/>
        <v>910000</v>
      </c>
    </row>
    <row r="66">
      <c r="A66" s="3">
        <v>64659.0</v>
      </c>
      <c r="B66" s="3" t="s">
        <v>102</v>
      </c>
      <c r="C66" s="3" t="s">
        <v>35</v>
      </c>
      <c r="D66" s="4" t="str">
        <f t="shared" si="1"/>
        <v>Ms.</v>
      </c>
      <c r="E66" s="3" t="str">
        <f t="shared" si="4"/>
        <v>Ms. Aarohi Sharma</v>
      </c>
      <c r="F66" s="3" t="str">
        <f>IFERROR(__xludf.DUMMYFUNCTION("SPLIT(B66,"" "")"),"Aarohi")</f>
        <v>Aarohi</v>
      </c>
      <c r="G66" s="3" t="str">
        <f>IFERROR(__xludf.DUMMYFUNCTION("""COMPUTED_VALUE"""),"Sharma")</f>
        <v>Sharma</v>
      </c>
      <c r="H66" s="3" t="s">
        <v>46</v>
      </c>
      <c r="I66" s="3">
        <v>2027.0</v>
      </c>
      <c r="J66" s="3">
        <f t="shared" si="2"/>
        <v>5000</v>
      </c>
      <c r="K66" s="3" t="s">
        <v>20</v>
      </c>
      <c r="L66" s="3">
        <v>0.0</v>
      </c>
      <c r="M66" s="3" t="s">
        <v>21</v>
      </c>
      <c r="N66" s="3">
        <v>39.0</v>
      </c>
      <c r="O66" s="3" t="s">
        <v>41</v>
      </c>
      <c r="P66" s="3" t="s">
        <v>23</v>
      </c>
      <c r="Q66" s="6">
        <f t="shared" si="3"/>
        <v>430000</v>
      </c>
    </row>
    <row r="67">
      <c r="A67" s="3">
        <v>64660.0</v>
      </c>
      <c r="B67" s="3" t="s">
        <v>103</v>
      </c>
      <c r="C67" s="3" t="s">
        <v>35</v>
      </c>
      <c r="D67" s="4" t="str">
        <f t="shared" si="1"/>
        <v>Ms.</v>
      </c>
      <c r="E67" s="3" t="str">
        <f t="shared" si="4"/>
        <v>Ms. Anaya Singh</v>
      </c>
      <c r="F67" s="3" t="str">
        <f>IFERROR(__xludf.DUMMYFUNCTION("SPLIT(B67,"" "")"),"Anaya")</f>
        <v>Anaya</v>
      </c>
      <c r="G67" s="3" t="str">
        <f>IFERROR(__xludf.DUMMYFUNCTION("""COMPUTED_VALUE"""),"Singh")</f>
        <v>Singh</v>
      </c>
      <c r="H67" s="3" t="s">
        <v>19</v>
      </c>
      <c r="I67" s="3">
        <v>2017.0</v>
      </c>
      <c r="J67" s="3">
        <f t="shared" si="2"/>
        <v>5000</v>
      </c>
      <c r="K67" s="3" t="s">
        <v>20</v>
      </c>
      <c r="L67" s="3">
        <v>0.0</v>
      </c>
      <c r="M67" s="3" t="s">
        <v>21</v>
      </c>
      <c r="N67" s="3">
        <v>3.0</v>
      </c>
      <c r="O67" s="3" t="s">
        <v>41</v>
      </c>
      <c r="P67" s="3" t="s">
        <v>38</v>
      </c>
      <c r="Q67" s="6">
        <f t="shared" si="3"/>
        <v>635000</v>
      </c>
    </row>
    <row r="68">
      <c r="A68" s="3">
        <v>64661.0</v>
      </c>
      <c r="B68" s="3" t="s">
        <v>104</v>
      </c>
      <c r="C68" s="3" t="s">
        <v>18</v>
      </c>
      <c r="D68" s="4" t="str">
        <f t="shared" si="1"/>
        <v>Mr.</v>
      </c>
      <c r="E68" s="3" t="str">
        <f t="shared" si="4"/>
        <v>Mr. Shaurya Pillai</v>
      </c>
      <c r="F68" s="3" t="str">
        <f>IFERROR(__xludf.DUMMYFUNCTION("SPLIT(B68,"" "")"),"Shaurya")</f>
        <v>Shaurya</v>
      </c>
      <c r="G68" s="3" t="str">
        <f>IFERROR(__xludf.DUMMYFUNCTION("""COMPUTED_VALUE"""),"Pillai")</f>
        <v>Pillai</v>
      </c>
      <c r="H68" s="3" t="s">
        <v>46</v>
      </c>
      <c r="I68" s="3">
        <v>2017.0</v>
      </c>
      <c r="J68" s="3">
        <f t="shared" si="2"/>
        <v>5000</v>
      </c>
      <c r="K68" s="3" t="s">
        <v>26</v>
      </c>
      <c r="L68" s="3">
        <v>6434.0</v>
      </c>
      <c r="M68" s="3" t="s">
        <v>21</v>
      </c>
      <c r="N68" s="3">
        <v>70.0</v>
      </c>
      <c r="O68" s="3" t="s">
        <v>41</v>
      </c>
      <c r="P68" s="3" t="s">
        <v>23</v>
      </c>
      <c r="Q68" s="6">
        <f t="shared" si="3"/>
        <v>430000</v>
      </c>
    </row>
    <row r="69">
      <c r="A69" s="3">
        <v>64662.0</v>
      </c>
      <c r="B69" s="3" t="s">
        <v>105</v>
      </c>
      <c r="C69" s="3" t="s">
        <v>18</v>
      </c>
      <c r="D69" s="4" t="str">
        <f t="shared" si="1"/>
        <v>Mr.</v>
      </c>
      <c r="E69" s="3" t="str">
        <f t="shared" si="4"/>
        <v>Mr. Aryan Reddy</v>
      </c>
      <c r="F69" s="3" t="str">
        <f>IFERROR(__xludf.DUMMYFUNCTION("SPLIT(B69,"" "")"),"Aryan")</f>
        <v>Aryan</v>
      </c>
      <c r="G69" s="3" t="str">
        <f>IFERROR(__xludf.DUMMYFUNCTION("""COMPUTED_VALUE"""),"Reddy")</f>
        <v>Reddy</v>
      </c>
      <c r="H69" s="3" t="s">
        <v>19</v>
      </c>
      <c r="I69" s="3">
        <v>2024.0</v>
      </c>
      <c r="J69" s="3">
        <f t="shared" si="2"/>
        <v>5000</v>
      </c>
      <c r="K69" s="3" t="s">
        <v>20</v>
      </c>
      <c r="L69" s="10">
        <v>2816.0</v>
      </c>
      <c r="M69" s="3" t="s">
        <v>21</v>
      </c>
      <c r="N69" s="3">
        <v>22.0</v>
      </c>
      <c r="O69" s="3" t="s">
        <v>22</v>
      </c>
      <c r="P69" s="3" t="s">
        <v>78</v>
      </c>
      <c r="Q69" s="6">
        <f t="shared" si="3"/>
        <v>255000</v>
      </c>
    </row>
    <row r="70">
      <c r="A70" s="3">
        <v>64663.0</v>
      </c>
      <c r="B70" s="3" t="s">
        <v>106</v>
      </c>
      <c r="C70" s="3" t="s">
        <v>35</v>
      </c>
      <c r="D70" s="4" t="str">
        <f t="shared" si="1"/>
        <v>Ms.</v>
      </c>
      <c r="E70" s="3" t="str">
        <f t="shared" si="4"/>
        <v>Ms. Vanya Bhatt</v>
      </c>
      <c r="F70" s="3" t="str">
        <f>IFERROR(__xludf.DUMMYFUNCTION("SPLIT(B70,"" "")"),"Vanya")</f>
        <v>Vanya</v>
      </c>
      <c r="G70" s="3" t="str">
        <f>IFERROR(__xludf.DUMMYFUNCTION("""COMPUTED_VALUE"""),"Bhatt")</f>
        <v>Bhatt</v>
      </c>
      <c r="H70" s="3" t="s">
        <v>19</v>
      </c>
      <c r="I70" s="3">
        <v>2023.0</v>
      </c>
      <c r="J70" s="3">
        <f t="shared" si="2"/>
        <v>5000</v>
      </c>
      <c r="K70" s="3" t="s">
        <v>20</v>
      </c>
      <c r="L70" s="3">
        <v>0.0</v>
      </c>
      <c r="M70" s="3" t="s">
        <v>21</v>
      </c>
      <c r="N70" s="3">
        <v>22.0</v>
      </c>
      <c r="O70" s="3" t="s">
        <v>22</v>
      </c>
      <c r="P70" s="3" t="s">
        <v>23</v>
      </c>
      <c r="Q70" s="6">
        <f t="shared" si="3"/>
        <v>430000</v>
      </c>
    </row>
    <row r="71">
      <c r="A71" s="3">
        <v>64664.0</v>
      </c>
      <c r="B71" s="3" t="s">
        <v>107</v>
      </c>
      <c r="C71" s="3" t="s">
        <v>35</v>
      </c>
      <c r="D71" s="4" t="str">
        <f t="shared" si="1"/>
        <v>Ms.</v>
      </c>
      <c r="E71" s="3" t="str">
        <f t="shared" si="4"/>
        <v>Ms. Aarohi Malik</v>
      </c>
      <c r="F71" s="3" t="str">
        <f>IFERROR(__xludf.DUMMYFUNCTION("SPLIT(B71,"" "")"),"Aarohi")</f>
        <v>Aarohi</v>
      </c>
      <c r="G71" s="3" t="str">
        <f>IFERROR(__xludf.DUMMYFUNCTION("""COMPUTED_VALUE"""),"Malik")</f>
        <v>Malik</v>
      </c>
      <c r="H71" s="3" t="s">
        <v>33</v>
      </c>
      <c r="I71" s="3">
        <v>2025.0</v>
      </c>
      <c r="J71" s="3">
        <f t="shared" si="2"/>
        <v>10000</v>
      </c>
      <c r="K71" s="3" t="s">
        <v>20</v>
      </c>
      <c r="L71" s="3">
        <v>0.0</v>
      </c>
      <c r="M71" s="3" t="s">
        <v>21</v>
      </c>
      <c r="N71" s="3">
        <v>18.0</v>
      </c>
      <c r="O71" s="3" t="s">
        <v>41</v>
      </c>
      <c r="P71" s="3" t="s">
        <v>31</v>
      </c>
      <c r="Q71" s="6">
        <f t="shared" si="3"/>
        <v>910000</v>
      </c>
    </row>
    <row r="72">
      <c r="A72" s="3">
        <v>64665.0</v>
      </c>
      <c r="B72" s="3" t="s">
        <v>108</v>
      </c>
      <c r="C72" s="3" t="s">
        <v>18</v>
      </c>
      <c r="D72" s="4" t="str">
        <f t="shared" si="1"/>
        <v>Mr.</v>
      </c>
      <c r="E72" s="3" t="str">
        <f t="shared" si="4"/>
        <v>Mr. Vihaan Kulkarni</v>
      </c>
      <c r="F72" s="3" t="str">
        <f>IFERROR(__xludf.DUMMYFUNCTION("SPLIT(B72,"" "")"),"Vihaan")</f>
        <v>Vihaan</v>
      </c>
      <c r="G72" s="3" t="str">
        <f>IFERROR(__xludf.DUMMYFUNCTION("""COMPUTED_VALUE"""),"Kulkarni")</f>
        <v>Kulkarni</v>
      </c>
      <c r="H72" s="3" t="s">
        <v>25</v>
      </c>
      <c r="I72" s="3">
        <v>2027.0</v>
      </c>
      <c r="J72" s="3">
        <f t="shared" si="2"/>
        <v>10000</v>
      </c>
      <c r="K72" s="3" t="s">
        <v>20</v>
      </c>
      <c r="L72" s="3">
        <v>0.0</v>
      </c>
      <c r="M72" s="3" t="s">
        <v>21</v>
      </c>
      <c r="N72" s="3">
        <v>77.0</v>
      </c>
      <c r="O72" s="3" t="s">
        <v>41</v>
      </c>
      <c r="P72" s="3" t="s">
        <v>78</v>
      </c>
      <c r="Q72" s="6">
        <f t="shared" si="3"/>
        <v>255000</v>
      </c>
    </row>
    <row r="73">
      <c r="A73" s="3">
        <v>64666.0</v>
      </c>
      <c r="B73" s="3" t="s">
        <v>109</v>
      </c>
      <c r="C73" s="3" t="s">
        <v>18</v>
      </c>
      <c r="D73" s="4" t="str">
        <f t="shared" si="1"/>
        <v>Mr.</v>
      </c>
      <c r="E73" s="3" t="str">
        <f t="shared" si="4"/>
        <v>Mr. Vihaan Reddy</v>
      </c>
      <c r="F73" s="3" t="str">
        <f>IFERROR(__xludf.DUMMYFUNCTION("SPLIT(B73,"" "")"),"Vihaan")</f>
        <v>Vihaan</v>
      </c>
      <c r="G73" s="3" t="str">
        <f>IFERROR(__xludf.DUMMYFUNCTION("""COMPUTED_VALUE"""),"Reddy")</f>
        <v>Reddy</v>
      </c>
      <c r="H73" s="3" t="s">
        <v>19</v>
      </c>
      <c r="I73" s="3">
        <v>2025.0</v>
      </c>
      <c r="J73" s="3">
        <f t="shared" si="2"/>
        <v>5000</v>
      </c>
      <c r="K73" s="3" t="s">
        <v>20</v>
      </c>
      <c r="L73" s="3">
        <v>0.0</v>
      </c>
      <c r="M73" s="3" t="s">
        <v>21</v>
      </c>
      <c r="N73" s="3">
        <v>39.0</v>
      </c>
      <c r="O73" s="3" t="s">
        <v>41</v>
      </c>
      <c r="P73" s="3" t="s">
        <v>31</v>
      </c>
      <c r="Q73" s="6">
        <f t="shared" si="3"/>
        <v>910000</v>
      </c>
    </row>
    <row r="74">
      <c r="A74" s="3">
        <v>64667.0</v>
      </c>
      <c r="B74" s="3" t="s">
        <v>110</v>
      </c>
      <c r="C74" s="3" t="s">
        <v>18</v>
      </c>
      <c r="D74" s="4" t="str">
        <f t="shared" si="1"/>
        <v>Mr.</v>
      </c>
      <c r="E74" s="3" t="str">
        <f t="shared" si="4"/>
        <v>Mr. Vihaan Rao</v>
      </c>
      <c r="F74" s="3" t="str">
        <f>IFERROR(__xludf.DUMMYFUNCTION("SPLIT(B74,"" "")"),"Vihaan")</f>
        <v>Vihaan</v>
      </c>
      <c r="G74" s="3" t="str">
        <f>IFERROR(__xludf.DUMMYFUNCTION("""COMPUTED_VALUE"""),"Rao")</f>
        <v>Rao</v>
      </c>
      <c r="H74" s="3" t="s">
        <v>25</v>
      </c>
      <c r="I74" s="3">
        <v>2028.0</v>
      </c>
      <c r="J74" s="3">
        <f t="shared" si="2"/>
        <v>10000</v>
      </c>
      <c r="K74" s="3" t="s">
        <v>20</v>
      </c>
      <c r="L74" s="3">
        <v>0.0</v>
      </c>
      <c r="M74" s="3" t="s">
        <v>21</v>
      </c>
      <c r="N74" s="3">
        <v>56.0</v>
      </c>
      <c r="O74" s="3" t="s">
        <v>41</v>
      </c>
      <c r="P74" s="3" t="s">
        <v>23</v>
      </c>
      <c r="Q74" s="6">
        <f t="shared" si="3"/>
        <v>430000</v>
      </c>
    </row>
    <row r="75">
      <c r="A75" s="3">
        <v>64669.0</v>
      </c>
      <c r="B75" s="3" t="s">
        <v>111</v>
      </c>
      <c r="C75" s="3" t="s">
        <v>18</v>
      </c>
      <c r="D75" s="4" t="str">
        <f t="shared" si="1"/>
        <v>Mr.</v>
      </c>
      <c r="E75" s="3" t="str">
        <f t="shared" si="4"/>
        <v>Mr. Shaurya Mishra</v>
      </c>
      <c r="F75" s="3" t="str">
        <f>IFERROR(__xludf.DUMMYFUNCTION("SPLIT(B75,"" "")"),"Shaurya")</f>
        <v>Shaurya</v>
      </c>
      <c r="G75" s="3" t="str">
        <f>IFERROR(__xludf.DUMMYFUNCTION("""COMPUTED_VALUE"""),"Mishra")</f>
        <v>Mishra</v>
      </c>
      <c r="H75" s="3" t="s">
        <v>19</v>
      </c>
      <c r="I75" s="3">
        <v>2025.0</v>
      </c>
      <c r="J75" s="3">
        <f t="shared" si="2"/>
        <v>5000</v>
      </c>
      <c r="K75" s="3" t="s">
        <v>20</v>
      </c>
      <c r="L75" s="3">
        <v>0.0</v>
      </c>
      <c r="M75" s="3" t="s">
        <v>30</v>
      </c>
      <c r="N75" s="3">
        <f>RANDBETWEEN(0,10)</f>
        <v>1</v>
      </c>
      <c r="O75" s="3" t="s">
        <v>41</v>
      </c>
      <c r="P75" s="3" t="s">
        <v>31</v>
      </c>
      <c r="Q75" s="6">
        <f t="shared" si="3"/>
        <v>910000</v>
      </c>
    </row>
    <row r="76">
      <c r="A76" s="3">
        <v>64670.0</v>
      </c>
      <c r="B76" s="3" t="s">
        <v>112</v>
      </c>
      <c r="C76" s="3" t="s">
        <v>18</v>
      </c>
      <c r="D76" s="4" t="str">
        <f t="shared" si="1"/>
        <v>Mr.</v>
      </c>
      <c r="E76" s="3" t="str">
        <f t="shared" si="4"/>
        <v>Mr. Vivaan Sharma</v>
      </c>
      <c r="F76" s="3" t="str">
        <f>IFERROR(__xludf.DUMMYFUNCTION("SPLIT(B76,"" "")"),"Vivaan")</f>
        <v>Vivaan</v>
      </c>
      <c r="G76" s="3" t="str">
        <f>IFERROR(__xludf.DUMMYFUNCTION("""COMPUTED_VALUE"""),"Sharma")</f>
        <v>Sharma</v>
      </c>
      <c r="H76" s="3" t="s">
        <v>25</v>
      </c>
      <c r="I76" s="3">
        <v>2026.0</v>
      </c>
      <c r="J76" s="3">
        <f t="shared" si="2"/>
        <v>10000</v>
      </c>
      <c r="K76" s="3" t="s">
        <v>20</v>
      </c>
      <c r="L76" s="10">
        <v>1630.0</v>
      </c>
      <c r="M76" s="3" t="s">
        <v>21</v>
      </c>
      <c r="N76" s="3">
        <v>66.0</v>
      </c>
      <c r="O76" s="3" t="s">
        <v>41</v>
      </c>
      <c r="P76" s="3" t="s">
        <v>38</v>
      </c>
      <c r="Q76" s="6">
        <f t="shared" si="3"/>
        <v>635000</v>
      </c>
    </row>
    <row r="77">
      <c r="A77" s="3">
        <v>64671.0</v>
      </c>
      <c r="B77" s="3" t="s">
        <v>113</v>
      </c>
      <c r="C77" s="3" t="s">
        <v>18</v>
      </c>
      <c r="D77" s="4" t="str">
        <f t="shared" si="1"/>
        <v>Mr.</v>
      </c>
      <c r="E77" s="3" t="str">
        <f t="shared" si="4"/>
        <v>Mr. Raghav Iyer</v>
      </c>
      <c r="F77" s="3" t="str">
        <f>IFERROR(__xludf.DUMMYFUNCTION("SPLIT(B77,"" "")"),"Raghav")</f>
        <v>Raghav</v>
      </c>
      <c r="G77" s="3" t="str">
        <f>IFERROR(__xludf.DUMMYFUNCTION("""COMPUTED_VALUE"""),"Iyer")</f>
        <v>Iyer</v>
      </c>
      <c r="H77" s="3" t="s">
        <v>33</v>
      </c>
      <c r="I77" s="3">
        <v>2017.0</v>
      </c>
      <c r="J77" s="3">
        <f t="shared" si="2"/>
        <v>10000</v>
      </c>
      <c r="K77" s="3" t="s">
        <v>26</v>
      </c>
      <c r="L77" s="3">
        <v>19473.0</v>
      </c>
      <c r="M77" s="3" t="s">
        <v>21</v>
      </c>
      <c r="N77" s="3">
        <v>7.0</v>
      </c>
      <c r="O77" s="3" t="s">
        <v>22</v>
      </c>
      <c r="P77" s="3" t="s">
        <v>38</v>
      </c>
      <c r="Q77" s="6">
        <f t="shared" si="3"/>
        <v>635000</v>
      </c>
    </row>
    <row r="78">
      <c r="A78" s="3">
        <v>64672.0</v>
      </c>
      <c r="B78" s="3" t="s">
        <v>114</v>
      </c>
      <c r="C78" s="3" t="s">
        <v>35</v>
      </c>
      <c r="D78" s="4" t="str">
        <f t="shared" si="1"/>
        <v>Ms.</v>
      </c>
      <c r="E78" s="3" t="str">
        <f t="shared" si="4"/>
        <v>Ms. Siya Desai</v>
      </c>
      <c r="F78" s="3" t="str">
        <f>IFERROR(__xludf.DUMMYFUNCTION("SPLIT(B78,"" "")"),"Siya")</f>
        <v>Siya</v>
      </c>
      <c r="G78" s="3" t="str">
        <f>IFERROR(__xludf.DUMMYFUNCTION("""COMPUTED_VALUE"""),"Desai")</f>
        <v>Desai</v>
      </c>
      <c r="H78" s="3" t="s">
        <v>19</v>
      </c>
      <c r="I78" s="3">
        <v>2022.0</v>
      </c>
      <c r="J78" s="3">
        <f t="shared" si="2"/>
        <v>5000</v>
      </c>
      <c r="K78" s="3" t="s">
        <v>26</v>
      </c>
      <c r="L78" s="3">
        <v>16356.0</v>
      </c>
      <c r="M78" s="3" t="s">
        <v>21</v>
      </c>
      <c r="N78" s="3">
        <v>70.0</v>
      </c>
      <c r="O78" s="3" t="s">
        <v>41</v>
      </c>
      <c r="P78" s="3" t="s">
        <v>28</v>
      </c>
      <c r="Q78" s="6">
        <f t="shared" si="3"/>
        <v>400000</v>
      </c>
    </row>
    <row r="79">
      <c r="A79" s="3">
        <v>64673.0</v>
      </c>
      <c r="B79" s="3" t="s">
        <v>115</v>
      </c>
      <c r="C79" s="3" t="s">
        <v>18</v>
      </c>
      <c r="D79" s="4" t="str">
        <f t="shared" si="1"/>
        <v>Mr.</v>
      </c>
      <c r="E79" s="3" t="str">
        <f t="shared" si="4"/>
        <v>Mr. Kian Agarwal</v>
      </c>
      <c r="F79" s="3" t="str">
        <f>IFERROR(__xludf.DUMMYFUNCTION("SPLIT(B79,"" "")"),"Kian")</f>
        <v>Kian</v>
      </c>
      <c r="G79" s="3" t="str">
        <f>IFERROR(__xludf.DUMMYFUNCTION("""COMPUTED_VALUE"""),"Agarwal")</f>
        <v>Agarwal</v>
      </c>
      <c r="H79" s="3" t="s">
        <v>33</v>
      </c>
      <c r="I79" s="3">
        <v>2025.0</v>
      </c>
      <c r="J79" s="3">
        <f t="shared" si="2"/>
        <v>10000</v>
      </c>
      <c r="K79" s="3" t="s">
        <v>20</v>
      </c>
      <c r="L79" s="3">
        <v>0.0</v>
      </c>
      <c r="M79" s="3" t="s">
        <v>21</v>
      </c>
      <c r="N79" s="3">
        <v>69.0</v>
      </c>
      <c r="O79" s="3" t="s">
        <v>41</v>
      </c>
      <c r="P79" s="3" t="s">
        <v>31</v>
      </c>
      <c r="Q79" s="6">
        <f t="shared" si="3"/>
        <v>910000</v>
      </c>
    </row>
    <row r="80">
      <c r="A80" s="3">
        <v>64677.0</v>
      </c>
      <c r="B80" s="3" t="s">
        <v>116</v>
      </c>
      <c r="C80" s="3" t="s">
        <v>35</v>
      </c>
      <c r="D80" s="4" t="str">
        <f t="shared" si="1"/>
        <v>Ms.</v>
      </c>
      <c r="E80" s="3" t="str">
        <f t="shared" si="4"/>
        <v>Ms. Ira Thakur</v>
      </c>
      <c r="F80" s="3" t="str">
        <f>IFERROR(__xludf.DUMMYFUNCTION("SPLIT(B80,"" "")"),"Ira")</f>
        <v>Ira</v>
      </c>
      <c r="G80" s="3" t="str">
        <f>IFERROR(__xludf.DUMMYFUNCTION("""COMPUTED_VALUE"""),"Thakur")</f>
        <v>Thakur</v>
      </c>
      <c r="H80" s="3" t="s">
        <v>33</v>
      </c>
      <c r="I80" s="3">
        <v>2021.0</v>
      </c>
      <c r="J80" s="3">
        <f t="shared" si="2"/>
        <v>10000</v>
      </c>
      <c r="K80" s="3" t="s">
        <v>20</v>
      </c>
      <c r="L80" s="3">
        <v>0.0</v>
      </c>
      <c r="M80" s="3" t="s">
        <v>30</v>
      </c>
      <c r="N80" s="3">
        <v>27.0</v>
      </c>
      <c r="O80" s="3" t="s">
        <v>41</v>
      </c>
      <c r="P80" s="3" t="s">
        <v>31</v>
      </c>
      <c r="Q80" s="6">
        <f t="shared" si="3"/>
        <v>910000</v>
      </c>
    </row>
    <row r="81">
      <c r="A81" s="3">
        <v>64680.0</v>
      </c>
      <c r="B81" s="3" t="s">
        <v>117</v>
      </c>
      <c r="C81" s="3" t="s">
        <v>35</v>
      </c>
      <c r="D81" s="4" t="str">
        <f t="shared" si="1"/>
        <v>Ms.</v>
      </c>
      <c r="E81" s="3" t="str">
        <f t="shared" si="4"/>
        <v>Ms. Aarohi Chopra</v>
      </c>
      <c r="F81" s="3" t="str">
        <f>IFERROR(__xludf.DUMMYFUNCTION("SPLIT(B81,"" "")"),"Aarohi")</f>
        <v>Aarohi</v>
      </c>
      <c r="G81" s="3" t="str">
        <f>IFERROR(__xludf.DUMMYFUNCTION("""COMPUTED_VALUE"""),"Chopra")</f>
        <v>Chopra</v>
      </c>
      <c r="H81" s="3" t="s">
        <v>33</v>
      </c>
      <c r="I81" s="3">
        <v>2024.0</v>
      </c>
      <c r="J81" s="3">
        <f t="shared" si="2"/>
        <v>10000</v>
      </c>
      <c r="K81" s="3" t="s">
        <v>26</v>
      </c>
      <c r="L81" s="3">
        <v>16692.0</v>
      </c>
      <c r="M81" s="3" t="s">
        <v>21</v>
      </c>
      <c r="N81" s="3">
        <v>34.0</v>
      </c>
      <c r="O81" s="3" t="s">
        <v>22</v>
      </c>
      <c r="P81" s="3" t="s">
        <v>31</v>
      </c>
      <c r="Q81" s="6">
        <f t="shared" si="3"/>
        <v>910000</v>
      </c>
    </row>
    <row r="82">
      <c r="A82" s="3">
        <v>64681.0</v>
      </c>
      <c r="B82" s="3" t="s">
        <v>118</v>
      </c>
      <c r="C82" s="3" t="s">
        <v>18</v>
      </c>
      <c r="D82" s="4" t="str">
        <f t="shared" si="1"/>
        <v>Mr.</v>
      </c>
      <c r="E82" s="3" t="str">
        <f t="shared" si="4"/>
        <v>Mr. Vivaan Patel</v>
      </c>
      <c r="F82" s="3" t="str">
        <f>IFERROR(__xludf.DUMMYFUNCTION("SPLIT(B82,"" "")"),"Vivaan")</f>
        <v>Vivaan</v>
      </c>
      <c r="G82" s="3" t="str">
        <f>IFERROR(__xludf.DUMMYFUNCTION("""COMPUTED_VALUE"""),"Patel")</f>
        <v>Patel</v>
      </c>
      <c r="H82" s="3" t="s">
        <v>33</v>
      </c>
      <c r="I82" s="3">
        <v>2027.0</v>
      </c>
      <c r="J82" s="3">
        <f t="shared" si="2"/>
        <v>10000</v>
      </c>
      <c r="K82" s="3" t="s">
        <v>20</v>
      </c>
      <c r="L82" s="10">
        <v>4885.0</v>
      </c>
      <c r="M82" s="3" t="s">
        <v>21</v>
      </c>
      <c r="N82" s="3">
        <v>40.0</v>
      </c>
      <c r="O82" s="3" t="s">
        <v>41</v>
      </c>
      <c r="P82" s="3" t="s">
        <v>38</v>
      </c>
      <c r="Q82" s="6">
        <f t="shared" si="3"/>
        <v>635000</v>
      </c>
    </row>
    <row r="83">
      <c r="A83" s="3">
        <v>64682.0</v>
      </c>
      <c r="B83" s="3" t="s">
        <v>119</v>
      </c>
      <c r="C83" s="3" t="s">
        <v>35</v>
      </c>
      <c r="D83" s="4" t="str">
        <f t="shared" si="1"/>
        <v>Ms.</v>
      </c>
      <c r="E83" s="3" t="str">
        <f t="shared" si="4"/>
        <v>Ms. Siya Joshi</v>
      </c>
      <c r="F83" s="3" t="str">
        <f>IFERROR(__xludf.DUMMYFUNCTION("SPLIT(B83,"" "")"),"Siya")</f>
        <v>Siya</v>
      </c>
      <c r="G83" s="3" t="str">
        <f>IFERROR(__xludf.DUMMYFUNCTION("""COMPUTED_VALUE"""),"Joshi")</f>
        <v>Joshi</v>
      </c>
      <c r="H83" s="3" t="s">
        <v>19</v>
      </c>
      <c r="I83" s="3">
        <v>2020.0</v>
      </c>
      <c r="J83" s="3">
        <f t="shared" si="2"/>
        <v>5000</v>
      </c>
      <c r="K83" s="3" t="s">
        <v>26</v>
      </c>
      <c r="L83" s="3">
        <v>2770.0</v>
      </c>
      <c r="M83" s="3" t="s">
        <v>21</v>
      </c>
      <c r="N83" s="3">
        <v>8.0</v>
      </c>
      <c r="O83" s="3" t="s">
        <v>41</v>
      </c>
      <c r="P83" s="3" t="s">
        <v>23</v>
      </c>
      <c r="Q83" s="6">
        <f t="shared" si="3"/>
        <v>430000</v>
      </c>
    </row>
    <row r="84">
      <c r="A84" s="3">
        <v>64683.0</v>
      </c>
      <c r="B84" s="3" t="s">
        <v>120</v>
      </c>
      <c r="C84" s="3" t="s">
        <v>18</v>
      </c>
      <c r="D84" s="4" t="str">
        <f t="shared" si="1"/>
        <v>Mr.</v>
      </c>
      <c r="E84" s="3" t="str">
        <f t="shared" si="4"/>
        <v>Mr. Siddharth Iyer</v>
      </c>
      <c r="F84" s="3" t="str">
        <f>IFERROR(__xludf.DUMMYFUNCTION("SPLIT(B84,"" "")"),"Siddharth")</f>
        <v>Siddharth</v>
      </c>
      <c r="G84" s="3" t="str">
        <f>IFERROR(__xludf.DUMMYFUNCTION("""COMPUTED_VALUE"""),"Iyer")</f>
        <v>Iyer</v>
      </c>
      <c r="H84" s="3" t="s">
        <v>25</v>
      </c>
      <c r="I84" s="3">
        <v>2023.0</v>
      </c>
      <c r="J84" s="3">
        <f t="shared" si="2"/>
        <v>10000</v>
      </c>
      <c r="K84" s="3" t="s">
        <v>20</v>
      </c>
      <c r="L84" s="3">
        <v>0.0</v>
      </c>
      <c r="M84" s="3" t="s">
        <v>21</v>
      </c>
      <c r="N84" s="3">
        <v>51.0</v>
      </c>
      <c r="O84" s="3" t="s">
        <v>41</v>
      </c>
      <c r="P84" s="3" t="s">
        <v>31</v>
      </c>
      <c r="Q84" s="6">
        <f t="shared" si="3"/>
        <v>910000</v>
      </c>
    </row>
    <row r="85">
      <c r="A85" s="3">
        <v>64684.0</v>
      </c>
      <c r="B85" s="3" t="s">
        <v>121</v>
      </c>
      <c r="C85" s="3" t="s">
        <v>35</v>
      </c>
      <c r="D85" s="4" t="str">
        <f t="shared" si="1"/>
        <v>Ms.</v>
      </c>
      <c r="E85" s="3" t="str">
        <f t="shared" si="4"/>
        <v>Ms. Manya Desai</v>
      </c>
      <c r="F85" s="3" t="str">
        <f>IFERROR(__xludf.DUMMYFUNCTION("SPLIT(B85,"" "")"),"Manya")</f>
        <v>Manya</v>
      </c>
      <c r="G85" s="3" t="str">
        <f>IFERROR(__xludf.DUMMYFUNCTION("""COMPUTED_VALUE"""),"Desai")</f>
        <v>Desai</v>
      </c>
      <c r="H85" s="3" t="s">
        <v>25</v>
      </c>
      <c r="I85" s="3">
        <v>2019.0</v>
      </c>
      <c r="J85" s="3">
        <f t="shared" si="2"/>
        <v>10000</v>
      </c>
      <c r="K85" s="3" t="s">
        <v>20</v>
      </c>
      <c r="L85" s="3">
        <v>0.0</v>
      </c>
      <c r="M85" s="3" t="s">
        <v>21</v>
      </c>
      <c r="N85" s="3">
        <f>RANDBETWEEN(0,10)</f>
        <v>5</v>
      </c>
      <c r="O85" s="3" t="s">
        <v>41</v>
      </c>
      <c r="P85" s="3" t="s">
        <v>78</v>
      </c>
      <c r="Q85" s="6">
        <f t="shared" si="3"/>
        <v>255000</v>
      </c>
    </row>
    <row r="86">
      <c r="A86" s="3">
        <v>64685.0</v>
      </c>
      <c r="B86" s="3" t="s">
        <v>122</v>
      </c>
      <c r="C86" s="3" t="s">
        <v>35</v>
      </c>
      <c r="D86" s="4" t="str">
        <f t="shared" si="1"/>
        <v>Ms.</v>
      </c>
      <c r="E86" s="3" t="str">
        <f t="shared" si="4"/>
        <v>Ms. Eva Sinha</v>
      </c>
      <c r="F86" s="3" t="str">
        <f>IFERROR(__xludf.DUMMYFUNCTION("SPLIT(B86,"" "")"),"Eva")</f>
        <v>Eva</v>
      </c>
      <c r="G86" s="3" t="str">
        <f>IFERROR(__xludf.DUMMYFUNCTION("""COMPUTED_VALUE"""),"Sinha")</f>
        <v>Sinha</v>
      </c>
      <c r="H86" s="3" t="s">
        <v>19</v>
      </c>
      <c r="I86" s="3">
        <v>2026.0</v>
      </c>
      <c r="J86" s="3">
        <f t="shared" si="2"/>
        <v>5000</v>
      </c>
      <c r="K86" s="3" t="s">
        <v>20</v>
      </c>
      <c r="L86" s="10">
        <v>3220.0</v>
      </c>
      <c r="M86" s="3" t="s">
        <v>30</v>
      </c>
      <c r="N86" s="3">
        <v>71.0</v>
      </c>
      <c r="O86" s="3" t="s">
        <v>41</v>
      </c>
      <c r="P86" s="3" t="s">
        <v>28</v>
      </c>
      <c r="Q86" s="6">
        <f t="shared" si="3"/>
        <v>400000</v>
      </c>
    </row>
    <row r="87">
      <c r="A87" s="3">
        <v>64686.0</v>
      </c>
      <c r="B87" s="3" t="s">
        <v>123</v>
      </c>
      <c r="C87" s="3" t="s">
        <v>18</v>
      </c>
      <c r="D87" s="4" t="str">
        <f t="shared" si="1"/>
        <v>Mr.</v>
      </c>
      <c r="E87" s="3" t="str">
        <f t="shared" si="4"/>
        <v>Mr. Aaryan Nair</v>
      </c>
      <c r="F87" s="3" t="str">
        <f>IFERROR(__xludf.DUMMYFUNCTION("SPLIT(B87,"" "")"),"Aaryan")</f>
        <v>Aaryan</v>
      </c>
      <c r="G87" s="3" t="str">
        <f>IFERROR(__xludf.DUMMYFUNCTION("""COMPUTED_VALUE"""),"Nair")</f>
        <v>Nair</v>
      </c>
      <c r="H87" s="3" t="s">
        <v>25</v>
      </c>
      <c r="I87" s="3">
        <v>2026.0</v>
      </c>
      <c r="J87" s="3">
        <f t="shared" si="2"/>
        <v>10000</v>
      </c>
      <c r="K87" s="3" t="s">
        <v>26</v>
      </c>
      <c r="L87" s="3">
        <v>24483.0</v>
      </c>
      <c r="M87" s="3" t="s">
        <v>21</v>
      </c>
      <c r="N87" s="3">
        <v>2.0</v>
      </c>
      <c r="O87" s="3" t="s">
        <v>41</v>
      </c>
      <c r="P87" s="3" t="s">
        <v>38</v>
      </c>
      <c r="Q87" s="6">
        <f t="shared" si="3"/>
        <v>635000</v>
      </c>
    </row>
    <row r="88">
      <c r="A88" s="3">
        <v>64687.0</v>
      </c>
      <c r="B88" s="3" t="s">
        <v>124</v>
      </c>
      <c r="C88" s="3" t="s">
        <v>35</v>
      </c>
      <c r="D88" s="4" t="str">
        <f t="shared" si="1"/>
        <v>Ms.</v>
      </c>
      <c r="E88" s="3" t="str">
        <f t="shared" si="4"/>
        <v>Ms. Avni Verma</v>
      </c>
      <c r="F88" s="3" t="str">
        <f>IFERROR(__xludf.DUMMYFUNCTION("SPLIT(B88,"" "")"),"Avni")</f>
        <v>Avni</v>
      </c>
      <c r="G88" s="3" t="str">
        <f>IFERROR(__xludf.DUMMYFUNCTION("""COMPUTED_VALUE"""),"Verma")</f>
        <v>Verma</v>
      </c>
      <c r="H88" s="3" t="s">
        <v>46</v>
      </c>
      <c r="I88" s="3">
        <v>2025.0</v>
      </c>
      <c r="J88" s="3">
        <f t="shared" si="2"/>
        <v>5000</v>
      </c>
      <c r="K88" s="3" t="s">
        <v>20</v>
      </c>
      <c r="L88" s="3">
        <v>0.0</v>
      </c>
      <c r="M88" s="3" t="s">
        <v>21</v>
      </c>
      <c r="N88" s="3">
        <v>40.0</v>
      </c>
      <c r="O88" s="3" t="s">
        <v>41</v>
      </c>
      <c r="P88" s="3" t="s">
        <v>78</v>
      </c>
      <c r="Q88" s="6">
        <f t="shared" si="3"/>
        <v>255000</v>
      </c>
    </row>
    <row r="89">
      <c r="A89" s="3">
        <v>64690.0</v>
      </c>
      <c r="B89" s="3" t="s">
        <v>125</v>
      </c>
      <c r="C89" s="3" t="s">
        <v>18</v>
      </c>
      <c r="D89" s="4" t="str">
        <f t="shared" si="1"/>
        <v>Mr.</v>
      </c>
      <c r="E89" s="3" t="str">
        <f t="shared" si="4"/>
        <v>Mr. Raghav Patel</v>
      </c>
      <c r="F89" s="3" t="str">
        <f>IFERROR(__xludf.DUMMYFUNCTION("SPLIT(B89,"" "")"),"Raghav")</f>
        <v>Raghav</v>
      </c>
      <c r="G89" s="3" t="str">
        <f>IFERROR(__xludf.DUMMYFUNCTION("""COMPUTED_VALUE"""),"Patel")</f>
        <v>Patel</v>
      </c>
      <c r="H89" s="3" t="s">
        <v>33</v>
      </c>
      <c r="I89" s="3">
        <v>2024.0</v>
      </c>
      <c r="J89" s="3">
        <f t="shared" si="2"/>
        <v>10000</v>
      </c>
      <c r="K89" s="3" t="s">
        <v>20</v>
      </c>
      <c r="L89" s="3">
        <v>0.0</v>
      </c>
      <c r="M89" s="3" t="s">
        <v>21</v>
      </c>
      <c r="N89" s="3">
        <f>RANDBETWEEN(0,10)</f>
        <v>7</v>
      </c>
      <c r="O89" s="3" t="s">
        <v>41</v>
      </c>
      <c r="P89" s="3" t="s">
        <v>23</v>
      </c>
      <c r="Q89" s="6">
        <f t="shared" si="3"/>
        <v>430000</v>
      </c>
    </row>
    <row r="90">
      <c r="A90" s="3">
        <v>64691.0</v>
      </c>
      <c r="B90" s="3" t="s">
        <v>126</v>
      </c>
      <c r="C90" s="3" t="s">
        <v>18</v>
      </c>
      <c r="D90" s="4" t="str">
        <f t="shared" si="1"/>
        <v>Mr.</v>
      </c>
      <c r="E90" s="3" t="str">
        <f t="shared" si="4"/>
        <v>Mr. Raghav Thakur</v>
      </c>
      <c r="F90" s="3" t="str">
        <f>IFERROR(__xludf.DUMMYFUNCTION("SPLIT(B90,"" "")"),"Raghav")</f>
        <v>Raghav</v>
      </c>
      <c r="G90" s="3" t="str">
        <f>IFERROR(__xludf.DUMMYFUNCTION("""COMPUTED_VALUE"""),"Thakur")</f>
        <v>Thakur</v>
      </c>
      <c r="H90" s="3" t="s">
        <v>25</v>
      </c>
      <c r="I90" s="3">
        <v>2019.0</v>
      </c>
      <c r="J90" s="3">
        <f t="shared" si="2"/>
        <v>10000</v>
      </c>
      <c r="K90" s="3" t="s">
        <v>26</v>
      </c>
      <c r="L90" s="3">
        <v>22524.0</v>
      </c>
      <c r="M90" s="3" t="s">
        <v>30</v>
      </c>
      <c r="N90" s="3">
        <v>4.0</v>
      </c>
      <c r="O90" s="3" t="s">
        <v>22</v>
      </c>
      <c r="P90" s="3" t="s">
        <v>31</v>
      </c>
      <c r="Q90" s="6">
        <f t="shared" si="3"/>
        <v>910000</v>
      </c>
    </row>
    <row r="91">
      <c r="A91" s="3">
        <v>64692.0</v>
      </c>
      <c r="B91" s="3" t="s">
        <v>127</v>
      </c>
      <c r="C91" s="3" t="s">
        <v>18</v>
      </c>
      <c r="D91" s="4" t="str">
        <f t="shared" si="1"/>
        <v>Mr.</v>
      </c>
      <c r="E91" s="3" t="str">
        <f t="shared" si="4"/>
        <v>Mr. Raghav Chowdhury</v>
      </c>
      <c r="F91" s="3" t="str">
        <f>IFERROR(__xludf.DUMMYFUNCTION("SPLIT(B91,"" "")"),"Raghav")</f>
        <v>Raghav</v>
      </c>
      <c r="G91" s="3" t="str">
        <f>IFERROR(__xludf.DUMMYFUNCTION("""COMPUTED_VALUE"""),"Chowdhury")</f>
        <v>Chowdhury</v>
      </c>
      <c r="H91" s="3" t="s">
        <v>33</v>
      </c>
      <c r="I91" s="3">
        <v>2024.0</v>
      </c>
      <c r="J91" s="3">
        <f t="shared" si="2"/>
        <v>10000</v>
      </c>
      <c r="K91" s="3" t="s">
        <v>20</v>
      </c>
      <c r="L91" s="3">
        <v>0.0</v>
      </c>
      <c r="M91" s="3" t="s">
        <v>30</v>
      </c>
      <c r="N91" s="3">
        <v>68.0</v>
      </c>
      <c r="O91" s="3" t="s">
        <v>41</v>
      </c>
      <c r="P91" s="3" t="s">
        <v>78</v>
      </c>
      <c r="Q91" s="6">
        <f t="shared" si="3"/>
        <v>255000</v>
      </c>
    </row>
    <row r="92">
      <c r="A92" s="3">
        <v>64693.0</v>
      </c>
      <c r="B92" s="3" t="s">
        <v>128</v>
      </c>
      <c r="C92" s="3" t="s">
        <v>35</v>
      </c>
      <c r="D92" s="4" t="str">
        <f t="shared" si="1"/>
        <v>Ms.</v>
      </c>
      <c r="E92" s="3" t="str">
        <f t="shared" si="4"/>
        <v>Ms. Ira Kapoor</v>
      </c>
      <c r="F92" s="3" t="str">
        <f>IFERROR(__xludf.DUMMYFUNCTION("SPLIT(B92,"" "")"),"Ira")</f>
        <v>Ira</v>
      </c>
      <c r="G92" s="3" t="str">
        <f>IFERROR(__xludf.DUMMYFUNCTION("""COMPUTED_VALUE"""),"Kapoor")</f>
        <v>Kapoor</v>
      </c>
      <c r="H92" s="3" t="s">
        <v>33</v>
      </c>
      <c r="I92" s="3">
        <v>2023.0</v>
      </c>
      <c r="J92" s="3">
        <f t="shared" si="2"/>
        <v>10000</v>
      </c>
      <c r="K92" s="3" t="s">
        <v>26</v>
      </c>
      <c r="L92" s="10">
        <v>1422.0</v>
      </c>
      <c r="M92" s="3" t="s">
        <v>30</v>
      </c>
      <c r="N92" s="3">
        <f t="shared" ref="N92:N94" si="9">RANDBETWEEN(0,10)</f>
        <v>3</v>
      </c>
      <c r="O92" s="3" t="s">
        <v>22</v>
      </c>
      <c r="P92" s="3" t="s">
        <v>38</v>
      </c>
      <c r="Q92" s="6">
        <f t="shared" si="3"/>
        <v>635000</v>
      </c>
    </row>
    <row r="93">
      <c r="A93" s="3">
        <v>64698.0</v>
      </c>
      <c r="B93" s="3" t="s">
        <v>129</v>
      </c>
      <c r="C93" s="3" t="s">
        <v>18</v>
      </c>
      <c r="D93" s="4" t="str">
        <f t="shared" si="1"/>
        <v>Mr.</v>
      </c>
      <c r="E93" s="3" t="str">
        <f t="shared" si="4"/>
        <v>Mr. Aditya Chowdhury</v>
      </c>
      <c r="F93" s="3" t="str">
        <f>IFERROR(__xludf.DUMMYFUNCTION("SPLIT(B93,"" "")"),"Aditya")</f>
        <v>Aditya</v>
      </c>
      <c r="G93" s="3" t="str">
        <f>IFERROR(__xludf.DUMMYFUNCTION("""COMPUTED_VALUE"""),"Chowdhury")</f>
        <v>Chowdhury</v>
      </c>
      <c r="H93" s="3" t="s">
        <v>46</v>
      </c>
      <c r="I93" s="3">
        <v>2026.0</v>
      </c>
      <c r="J93" s="3">
        <f t="shared" si="2"/>
        <v>5000</v>
      </c>
      <c r="K93" s="3" t="s">
        <v>20</v>
      </c>
      <c r="L93" s="3">
        <v>0.0</v>
      </c>
      <c r="M93" s="3" t="s">
        <v>21</v>
      </c>
      <c r="N93" s="3">
        <f t="shared" si="9"/>
        <v>2</v>
      </c>
      <c r="O93" s="3" t="s">
        <v>41</v>
      </c>
      <c r="P93" s="3" t="s">
        <v>23</v>
      </c>
      <c r="Q93" s="6">
        <f t="shared" si="3"/>
        <v>430000</v>
      </c>
    </row>
    <row r="94">
      <c r="A94" s="3">
        <v>64699.0</v>
      </c>
      <c r="B94" s="3" t="s">
        <v>130</v>
      </c>
      <c r="C94" s="3" t="s">
        <v>18</v>
      </c>
      <c r="D94" s="4" t="str">
        <f t="shared" si="1"/>
        <v>Mr.</v>
      </c>
      <c r="E94" s="3" t="str">
        <f t="shared" si="4"/>
        <v>Mr. Aditya Naidu</v>
      </c>
      <c r="F94" s="3" t="str">
        <f>IFERROR(__xludf.DUMMYFUNCTION("SPLIT(B94,"" "")"),"Aditya")</f>
        <v>Aditya</v>
      </c>
      <c r="G94" s="3" t="str">
        <f>IFERROR(__xludf.DUMMYFUNCTION("""COMPUTED_VALUE"""),"Naidu")</f>
        <v>Naidu</v>
      </c>
      <c r="H94" s="3" t="s">
        <v>46</v>
      </c>
      <c r="I94" s="3">
        <v>2023.0</v>
      </c>
      <c r="J94" s="3">
        <f t="shared" si="2"/>
        <v>5000</v>
      </c>
      <c r="K94" s="3" t="s">
        <v>20</v>
      </c>
      <c r="L94" s="3">
        <v>228.0</v>
      </c>
      <c r="M94" s="3" t="s">
        <v>21</v>
      </c>
      <c r="N94" s="3">
        <f t="shared" si="9"/>
        <v>3</v>
      </c>
      <c r="O94" s="3" t="s">
        <v>22</v>
      </c>
      <c r="P94" s="3" t="s">
        <v>23</v>
      </c>
      <c r="Q94" s="6">
        <f t="shared" si="3"/>
        <v>430000</v>
      </c>
    </row>
    <row r="95">
      <c r="A95" s="3">
        <v>64700.0</v>
      </c>
      <c r="B95" s="3" t="s">
        <v>131</v>
      </c>
      <c r="C95" s="3" t="s">
        <v>18</v>
      </c>
      <c r="D95" s="4" t="str">
        <f t="shared" si="1"/>
        <v>Mr.</v>
      </c>
      <c r="E95" s="3" t="str">
        <f t="shared" si="4"/>
        <v>Mr. Arjun Naidu</v>
      </c>
      <c r="F95" s="3" t="str">
        <f>IFERROR(__xludf.DUMMYFUNCTION("SPLIT(B95,"" "")"),"Arjun")</f>
        <v>Arjun</v>
      </c>
      <c r="G95" s="3" t="str">
        <f>IFERROR(__xludf.DUMMYFUNCTION("""COMPUTED_VALUE"""),"Naidu")</f>
        <v>Naidu</v>
      </c>
      <c r="H95" s="3" t="s">
        <v>46</v>
      </c>
      <c r="I95" s="3">
        <v>2022.0</v>
      </c>
      <c r="J95" s="3">
        <f t="shared" si="2"/>
        <v>5000</v>
      </c>
      <c r="K95" s="3" t="s">
        <v>20</v>
      </c>
      <c r="L95" s="3">
        <v>0.0</v>
      </c>
      <c r="M95" s="3" t="s">
        <v>30</v>
      </c>
      <c r="N95" s="3">
        <v>42.0</v>
      </c>
      <c r="O95" s="3" t="s">
        <v>41</v>
      </c>
      <c r="P95" s="3" t="s">
        <v>31</v>
      </c>
      <c r="Q95" s="6">
        <f t="shared" si="3"/>
        <v>910000</v>
      </c>
    </row>
    <row r="96">
      <c r="A96" s="3">
        <v>64701.0</v>
      </c>
      <c r="B96" s="3" t="s">
        <v>132</v>
      </c>
      <c r="C96" s="3" t="s">
        <v>35</v>
      </c>
      <c r="D96" s="4" t="str">
        <f t="shared" si="1"/>
        <v>Ms.</v>
      </c>
      <c r="E96" s="3" t="str">
        <f t="shared" si="4"/>
        <v>Ms. Charvi Naidu</v>
      </c>
      <c r="F96" s="3" t="str">
        <f>IFERROR(__xludf.DUMMYFUNCTION("SPLIT(B96,"" "")"),"Charvi")</f>
        <v>Charvi</v>
      </c>
      <c r="G96" s="3" t="str">
        <f>IFERROR(__xludf.DUMMYFUNCTION("""COMPUTED_VALUE"""),"Naidu")</f>
        <v>Naidu</v>
      </c>
      <c r="H96" s="3" t="s">
        <v>25</v>
      </c>
      <c r="I96" s="3">
        <v>2026.0</v>
      </c>
      <c r="J96" s="3">
        <f t="shared" si="2"/>
        <v>10000</v>
      </c>
      <c r="K96" s="3" t="s">
        <v>20</v>
      </c>
      <c r="L96" s="3">
        <v>0.0</v>
      </c>
      <c r="M96" s="3" t="s">
        <v>21</v>
      </c>
      <c r="N96" s="3">
        <v>34.0</v>
      </c>
      <c r="O96" s="3" t="s">
        <v>41</v>
      </c>
      <c r="P96" s="3" t="s">
        <v>38</v>
      </c>
      <c r="Q96" s="6">
        <f t="shared" si="3"/>
        <v>635000</v>
      </c>
    </row>
    <row r="97">
      <c r="A97" s="3">
        <v>64702.0</v>
      </c>
      <c r="B97" s="3" t="s">
        <v>133</v>
      </c>
      <c r="C97" s="3" t="s">
        <v>35</v>
      </c>
      <c r="D97" s="4" t="str">
        <f t="shared" si="1"/>
        <v>Ms.</v>
      </c>
      <c r="E97" s="3" t="str">
        <f t="shared" si="4"/>
        <v>Ms. Ira Sinha</v>
      </c>
      <c r="F97" s="3" t="str">
        <f>IFERROR(__xludf.DUMMYFUNCTION("SPLIT(B97,"" "")"),"Ira")</f>
        <v>Ira</v>
      </c>
      <c r="G97" s="3" t="str">
        <f>IFERROR(__xludf.DUMMYFUNCTION("""COMPUTED_VALUE"""),"Sinha")</f>
        <v>Sinha</v>
      </c>
      <c r="H97" s="3" t="s">
        <v>46</v>
      </c>
      <c r="I97" s="3">
        <v>2017.0</v>
      </c>
      <c r="J97" s="3">
        <f t="shared" si="2"/>
        <v>5000</v>
      </c>
      <c r="K97" s="3" t="s">
        <v>20</v>
      </c>
      <c r="L97" s="3">
        <v>0.0</v>
      </c>
      <c r="M97" s="3" t="s">
        <v>21</v>
      </c>
      <c r="N97" s="3">
        <f t="shared" ref="N97:N98" si="10">RANDBETWEEN(0,10)</f>
        <v>3</v>
      </c>
      <c r="O97" s="3" t="s">
        <v>22</v>
      </c>
      <c r="P97" s="3" t="s">
        <v>31</v>
      </c>
      <c r="Q97" s="6">
        <f t="shared" si="3"/>
        <v>910000</v>
      </c>
    </row>
    <row r="98">
      <c r="A98" s="3">
        <v>64703.0</v>
      </c>
      <c r="B98" s="3" t="s">
        <v>134</v>
      </c>
      <c r="C98" s="3" t="s">
        <v>18</v>
      </c>
      <c r="D98" s="4" t="str">
        <f t="shared" si="1"/>
        <v>Mr.</v>
      </c>
      <c r="E98" s="3" t="str">
        <f t="shared" si="4"/>
        <v>Mr. Rishi Verma</v>
      </c>
      <c r="F98" s="3" t="str">
        <f>IFERROR(__xludf.DUMMYFUNCTION("SPLIT(B98,"" "")"),"Rishi")</f>
        <v>Rishi</v>
      </c>
      <c r="G98" s="3" t="str">
        <f>IFERROR(__xludf.DUMMYFUNCTION("""COMPUTED_VALUE"""),"Verma")</f>
        <v>Verma</v>
      </c>
      <c r="H98" s="3" t="s">
        <v>25</v>
      </c>
      <c r="I98" s="3">
        <v>2023.0</v>
      </c>
      <c r="J98" s="3">
        <f t="shared" si="2"/>
        <v>10000</v>
      </c>
      <c r="K98" s="3" t="s">
        <v>20</v>
      </c>
      <c r="L98" s="10">
        <v>4935.0</v>
      </c>
      <c r="M98" s="3" t="s">
        <v>21</v>
      </c>
      <c r="N98" s="3">
        <f t="shared" si="10"/>
        <v>4</v>
      </c>
      <c r="O98" s="3" t="s">
        <v>22</v>
      </c>
      <c r="P98" s="3" t="s">
        <v>31</v>
      </c>
      <c r="Q98" s="6">
        <f t="shared" si="3"/>
        <v>910000</v>
      </c>
    </row>
    <row r="99">
      <c r="A99" s="3">
        <v>64704.0</v>
      </c>
      <c r="B99" s="3" t="s">
        <v>135</v>
      </c>
      <c r="C99" s="3" t="s">
        <v>18</v>
      </c>
      <c r="D99" s="4" t="str">
        <f t="shared" si="1"/>
        <v>Mr.</v>
      </c>
      <c r="E99" s="3" t="str">
        <f t="shared" si="4"/>
        <v>Mr. Aditya Bhatt</v>
      </c>
      <c r="F99" s="3" t="str">
        <f>IFERROR(__xludf.DUMMYFUNCTION("SPLIT(B99,"" "")"),"Aditya")</f>
        <v>Aditya</v>
      </c>
      <c r="G99" s="3" t="str">
        <f>IFERROR(__xludf.DUMMYFUNCTION("""COMPUTED_VALUE"""),"Bhatt")</f>
        <v>Bhatt</v>
      </c>
      <c r="H99" s="3" t="s">
        <v>25</v>
      </c>
      <c r="I99" s="3">
        <v>2024.0</v>
      </c>
      <c r="J99" s="3">
        <f t="shared" si="2"/>
        <v>10000</v>
      </c>
      <c r="K99" s="3" t="s">
        <v>26</v>
      </c>
      <c r="L99" s="3">
        <v>3470.0</v>
      </c>
      <c r="M99" s="3" t="s">
        <v>21</v>
      </c>
      <c r="N99" s="3">
        <v>35.0</v>
      </c>
      <c r="O99" s="3" t="s">
        <v>41</v>
      </c>
      <c r="P99" s="3" t="s">
        <v>31</v>
      </c>
      <c r="Q99" s="6">
        <f t="shared" si="3"/>
        <v>910000</v>
      </c>
    </row>
    <row r="100">
      <c r="A100" s="3">
        <v>64705.0</v>
      </c>
      <c r="B100" s="3" t="s">
        <v>136</v>
      </c>
      <c r="C100" s="3" t="s">
        <v>18</v>
      </c>
      <c r="D100" s="4" t="str">
        <f t="shared" si="1"/>
        <v>Mr.</v>
      </c>
      <c r="E100" s="3" t="str">
        <f t="shared" si="4"/>
        <v>Mr. Dhanush Verma</v>
      </c>
      <c r="F100" s="3" t="str">
        <f>IFERROR(__xludf.DUMMYFUNCTION("SPLIT(B100,"" "")"),"Dhanush")</f>
        <v>Dhanush</v>
      </c>
      <c r="G100" s="3" t="str">
        <f>IFERROR(__xludf.DUMMYFUNCTION("""COMPUTED_VALUE"""),"Verma")</f>
        <v>Verma</v>
      </c>
      <c r="H100" s="3" t="s">
        <v>25</v>
      </c>
      <c r="I100" s="3">
        <v>2025.0</v>
      </c>
      <c r="J100" s="3">
        <f t="shared" si="2"/>
        <v>10000</v>
      </c>
      <c r="K100" s="3" t="s">
        <v>20</v>
      </c>
      <c r="L100" s="3">
        <v>250.0</v>
      </c>
      <c r="M100" s="3" t="s">
        <v>21</v>
      </c>
      <c r="N100" s="3">
        <v>79.0</v>
      </c>
      <c r="O100" s="3" t="s">
        <v>41</v>
      </c>
      <c r="P100" s="3" t="s">
        <v>28</v>
      </c>
      <c r="Q100" s="6">
        <f t="shared" si="3"/>
        <v>400000</v>
      </c>
    </row>
    <row r="101">
      <c r="A101" s="3">
        <v>64708.0</v>
      </c>
      <c r="B101" s="3" t="s">
        <v>137</v>
      </c>
      <c r="C101" s="3" t="s">
        <v>18</v>
      </c>
      <c r="D101" s="4" t="str">
        <f t="shared" si="1"/>
        <v>Mr.</v>
      </c>
      <c r="E101" s="3" t="str">
        <f t="shared" si="4"/>
        <v>Mr. Shivansh Thakur</v>
      </c>
      <c r="F101" s="3" t="str">
        <f>IFERROR(__xludf.DUMMYFUNCTION("SPLIT(B101,"" "")"),"Shivansh")</f>
        <v>Shivansh</v>
      </c>
      <c r="G101" s="3" t="str">
        <f>IFERROR(__xludf.DUMMYFUNCTION("""COMPUTED_VALUE"""),"Thakur")</f>
        <v>Thakur</v>
      </c>
      <c r="H101" s="3" t="s">
        <v>33</v>
      </c>
      <c r="I101" s="3">
        <v>2028.0</v>
      </c>
      <c r="J101" s="3">
        <f t="shared" si="2"/>
        <v>10000</v>
      </c>
      <c r="K101" s="3" t="s">
        <v>20</v>
      </c>
      <c r="L101" s="3">
        <v>0.0</v>
      </c>
      <c r="M101" s="3" t="s">
        <v>21</v>
      </c>
      <c r="N101" s="3">
        <v>49.0</v>
      </c>
      <c r="O101" s="3" t="s">
        <v>41</v>
      </c>
      <c r="P101" s="3" t="s">
        <v>38</v>
      </c>
      <c r="Q101" s="6">
        <f t="shared" si="3"/>
        <v>635000</v>
      </c>
    </row>
    <row r="102">
      <c r="A102" s="3">
        <v>64709.0</v>
      </c>
      <c r="B102" s="3" t="s">
        <v>138</v>
      </c>
      <c r="C102" s="3" t="s">
        <v>18</v>
      </c>
      <c r="D102" s="4" t="str">
        <f t="shared" si="1"/>
        <v>Mr.</v>
      </c>
      <c r="E102" s="3" t="str">
        <f t="shared" si="4"/>
        <v>Mr. Ayaan Reddy</v>
      </c>
      <c r="F102" s="3" t="str">
        <f>IFERROR(__xludf.DUMMYFUNCTION("SPLIT(B102,"" "")"),"Ayaan")</f>
        <v>Ayaan</v>
      </c>
      <c r="G102" s="3" t="str">
        <f>IFERROR(__xludf.DUMMYFUNCTION("""COMPUTED_VALUE"""),"Reddy")</f>
        <v>Reddy</v>
      </c>
      <c r="H102" s="3" t="s">
        <v>25</v>
      </c>
      <c r="I102" s="3">
        <v>2026.0</v>
      </c>
      <c r="J102" s="3">
        <f t="shared" si="2"/>
        <v>10000</v>
      </c>
      <c r="K102" s="3" t="s">
        <v>20</v>
      </c>
      <c r="L102" s="3">
        <v>414.0</v>
      </c>
      <c r="M102" s="3" t="s">
        <v>21</v>
      </c>
      <c r="N102" s="3">
        <f>RANDBETWEEN(0,10)</f>
        <v>3</v>
      </c>
      <c r="O102" s="3" t="s">
        <v>41</v>
      </c>
      <c r="P102" s="3" t="s">
        <v>31</v>
      </c>
      <c r="Q102" s="6">
        <f t="shared" si="3"/>
        <v>910000</v>
      </c>
    </row>
    <row r="103">
      <c r="A103" s="3">
        <v>64710.0</v>
      </c>
      <c r="B103" s="3" t="s">
        <v>83</v>
      </c>
      <c r="C103" s="3" t="s">
        <v>35</v>
      </c>
      <c r="D103" s="4" t="str">
        <f t="shared" si="1"/>
        <v>Ms.</v>
      </c>
      <c r="E103" s="3" t="str">
        <f t="shared" si="4"/>
        <v>Ms. Aarohi Gupta</v>
      </c>
      <c r="F103" s="3" t="str">
        <f>IFERROR(__xludf.DUMMYFUNCTION("SPLIT(B103,"" "")"),"Aarohi")</f>
        <v>Aarohi</v>
      </c>
      <c r="G103" s="3" t="str">
        <f>IFERROR(__xludf.DUMMYFUNCTION("""COMPUTED_VALUE"""),"Gupta")</f>
        <v>Gupta</v>
      </c>
      <c r="H103" s="3" t="s">
        <v>25</v>
      </c>
      <c r="I103" s="3">
        <v>2021.0</v>
      </c>
      <c r="J103" s="3">
        <f t="shared" si="2"/>
        <v>10000</v>
      </c>
      <c r="K103" s="3" t="s">
        <v>26</v>
      </c>
      <c r="L103" s="3">
        <v>12523.0</v>
      </c>
      <c r="M103" s="3" t="s">
        <v>21</v>
      </c>
      <c r="N103" s="3">
        <v>34.0</v>
      </c>
      <c r="O103" s="3" t="s">
        <v>41</v>
      </c>
      <c r="P103" s="3" t="s">
        <v>23</v>
      </c>
      <c r="Q103" s="6">
        <f t="shared" si="3"/>
        <v>430000</v>
      </c>
    </row>
    <row r="104">
      <c r="A104" s="3">
        <v>64711.0</v>
      </c>
      <c r="B104" s="3" t="s">
        <v>139</v>
      </c>
      <c r="C104" s="3" t="s">
        <v>18</v>
      </c>
      <c r="D104" s="4" t="str">
        <f t="shared" si="1"/>
        <v>Mr.</v>
      </c>
      <c r="E104" s="3" t="str">
        <f t="shared" si="4"/>
        <v>Mr. Raghav Kumar</v>
      </c>
      <c r="F104" s="3" t="str">
        <f>IFERROR(__xludf.DUMMYFUNCTION("SPLIT(B104,"" "")"),"Raghav")</f>
        <v>Raghav</v>
      </c>
      <c r="G104" s="3" t="str">
        <f>IFERROR(__xludf.DUMMYFUNCTION("""COMPUTED_VALUE"""),"Kumar")</f>
        <v>Kumar</v>
      </c>
      <c r="H104" s="3" t="s">
        <v>25</v>
      </c>
      <c r="I104" s="3">
        <v>2024.0</v>
      </c>
      <c r="J104" s="3">
        <f t="shared" si="2"/>
        <v>10000</v>
      </c>
      <c r="K104" s="3" t="s">
        <v>20</v>
      </c>
      <c r="L104" s="3">
        <v>0.0</v>
      </c>
      <c r="M104" s="3" t="s">
        <v>21</v>
      </c>
      <c r="N104" s="3">
        <f t="shared" ref="N104:N105" si="11">RANDBETWEEN(0,10)</f>
        <v>4</v>
      </c>
      <c r="O104" s="3" t="s">
        <v>41</v>
      </c>
      <c r="P104" s="3" t="s">
        <v>31</v>
      </c>
      <c r="Q104" s="6">
        <f t="shared" si="3"/>
        <v>910000</v>
      </c>
    </row>
    <row r="105">
      <c r="A105" s="3">
        <v>64712.0</v>
      </c>
      <c r="B105" s="3" t="s">
        <v>140</v>
      </c>
      <c r="C105" s="3" t="s">
        <v>18</v>
      </c>
      <c r="D105" s="4" t="str">
        <f t="shared" si="1"/>
        <v>Mr.</v>
      </c>
      <c r="E105" s="3" t="str">
        <f t="shared" si="4"/>
        <v>Mr. Aaryan Dutta</v>
      </c>
      <c r="F105" s="3" t="str">
        <f>IFERROR(__xludf.DUMMYFUNCTION("SPLIT(B105,"" "")"),"Aaryan")</f>
        <v>Aaryan</v>
      </c>
      <c r="G105" s="3" t="str">
        <f>IFERROR(__xludf.DUMMYFUNCTION("""COMPUTED_VALUE"""),"Dutta")</f>
        <v>Dutta</v>
      </c>
      <c r="H105" s="3" t="s">
        <v>25</v>
      </c>
      <c r="I105" s="3">
        <v>2025.0</v>
      </c>
      <c r="J105" s="3">
        <f t="shared" si="2"/>
        <v>10000</v>
      </c>
      <c r="K105" s="3" t="s">
        <v>26</v>
      </c>
      <c r="L105" s="3">
        <v>1465.0</v>
      </c>
      <c r="M105" s="3" t="s">
        <v>30</v>
      </c>
      <c r="N105" s="3">
        <f t="shared" si="11"/>
        <v>9</v>
      </c>
      <c r="O105" s="3" t="s">
        <v>41</v>
      </c>
      <c r="P105" s="3" t="s">
        <v>28</v>
      </c>
      <c r="Q105" s="6">
        <f t="shared" si="3"/>
        <v>400000</v>
      </c>
    </row>
    <row r="106">
      <c r="A106" s="3">
        <v>64713.0</v>
      </c>
      <c r="B106" s="3" t="s">
        <v>141</v>
      </c>
      <c r="C106" s="3" t="s">
        <v>18</v>
      </c>
      <c r="D106" s="4" t="str">
        <f t="shared" si="1"/>
        <v>Mr.</v>
      </c>
      <c r="E106" s="3" t="str">
        <f t="shared" si="4"/>
        <v>Mr. Arjun Chowdhury</v>
      </c>
      <c r="F106" s="3" t="str">
        <f>IFERROR(__xludf.DUMMYFUNCTION("SPLIT(B106,"" "")"),"Arjun")</f>
        <v>Arjun</v>
      </c>
      <c r="G106" s="3" t="str">
        <f>IFERROR(__xludf.DUMMYFUNCTION("""COMPUTED_VALUE"""),"Chowdhury")</f>
        <v>Chowdhury</v>
      </c>
      <c r="H106" s="3" t="s">
        <v>33</v>
      </c>
      <c r="I106" s="3">
        <v>2019.0</v>
      </c>
      <c r="J106" s="3">
        <f t="shared" si="2"/>
        <v>10000</v>
      </c>
      <c r="K106" s="3" t="s">
        <v>20</v>
      </c>
      <c r="L106" s="3">
        <v>0.0</v>
      </c>
      <c r="M106" s="3" t="s">
        <v>21</v>
      </c>
      <c r="N106" s="3">
        <v>2.0</v>
      </c>
      <c r="O106" s="3" t="s">
        <v>41</v>
      </c>
      <c r="P106" s="3" t="s">
        <v>23</v>
      </c>
      <c r="Q106" s="6">
        <f t="shared" si="3"/>
        <v>430000</v>
      </c>
    </row>
    <row r="107">
      <c r="A107" s="3">
        <v>64714.0</v>
      </c>
      <c r="B107" s="3" t="s">
        <v>142</v>
      </c>
      <c r="C107" s="3" t="s">
        <v>18</v>
      </c>
      <c r="D107" s="4" t="str">
        <f t="shared" si="1"/>
        <v>Mr.</v>
      </c>
      <c r="E107" s="3" t="str">
        <f t="shared" si="4"/>
        <v>Mr. Parth Kumar</v>
      </c>
      <c r="F107" s="3" t="str">
        <f>IFERROR(__xludf.DUMMYFUNCTION("SPLIT(B107,"" "")"),"Parth")</f>
        <v>Parth</v>
      </c>
      <c r="G107" s="3" t="str">
        <f>IFERROR(__xludf.DUMMYFUNCTION("""COMPUTED_VALUE"""),"Kumar")</f>
        <v>Kumar</v>
      </c>
      <c r="H107" s="3" t="s">
        <v>46</v>
      </c>
      <c r="I107" s="3">
        <v>2020.0</v>
      </c>
      <c r="J107" s="3">
        <f t="shared" si="2"/>
        <v>5000</v>
      </c>
      <c r="K107" s="3" t="s">
        <v>26</v>
      </c>
      <c r="L107" s="3">
        <v>9361.0</v>
      </c>
      <c r="M107" s="3" t="s">
        <v>21</v>
      </c>
      <c r="N107" s="3">
        <f>RANDBETWEEN(0,10)</f>
        <v>5</v>
      </c>
      <c r="O107" s="3" t="s">
        <v>22</v>
      </c>
      <c r="P107" s="3" t="s">
        <v>28</v>
      </c>
      <c r="Q107" s="6">
        <f t="shared" si="3"/>
        <v>400000</v>
      </c>
    </row>
    <row r="108">
      <c r="A108" s="3">
        <v>64715.0</v>
      </c>
      <c r="B108" s="3" t="s">
        <v>143</v>
      </c>
      <c r="C108" s="3" t="s">
        <v>18</v>
      </c>
      <c r="D108" s="4" t="str">
        <f t="shared" si="1"/>
        <v>Mr.</v>
      </c>
      <c r="E108" s="3" t="str">
        <f t="shared" si="4"/>
        <v>Mr. Raghav Reddy</v>
      </c>
      <c r="F108" s="3" t="str">
        <f>IFERROR(__xludf.DUMMYFUNCTION("SPLIT(B108,"" "")"),"Raghav")</f>
        <v>Raghav</v>
      </c>
      <c r="G108" s="3" t="str">
        <f>IFERROR(__xludf.DUMMYFUNCTION("""COMPUTED_VALUE"""),"Reddy")</f>
        <v>Reddy</v>
      </c>
      <c r="H108" s="3" t="s">
        <v>25</v>
      </c>
      <c r="I108" s="3">
        <v>2013.0</v>
      </c>
      <c r="J108" s="3">
        <f t="shared" si="2"/>
        <v>10000</v>
      </c>
      <c r="K108" s="3" t="s">
        <v>20</v>
      </c>
      <c r="L108" s="3">
        <v>0.0</v>
      </c>
      <c r="M108" s="3" t="s">
        <v>30</v>
      </c>
      <c r="N108" s="3">
        <v>6.0</v>
      </c>
      <c r="O108" s="3" t="s">
        <v>41</v>
      </c>
      <c r="P108" s="3" t="s">
        <v>23</v>
      </c>
      <c r="Q108" s="6">
        <f t="shared" si="3"/>
        <v>430000</v>
      </c>
    </row>
    <row r="109">
      <c r="A109" s="3">
        <v>64716.0</v>
      </c>
      <c r="B109" s="3" t="s">
        <v>144</v>
      </c>
      <c r="C109" s="3" t="s">
        <v>18</v>
      </c>
      <c r="D109" s="4" t="str">
        <f t="shared" si="1"/>
        <v>Mr.</v>
      </c>
      <c r="E109" s="3" t="str">
        <f t="shared" si="4"/>
        <v>Mr. Raghav Bhat</v>
      </c>
      <c r="F109" s="3" t="str">
        <f>IFERROR(__xludf.DUMMYFUNCTION("SPLIT(B109,"" "")"),"Raghav")</f>
        <v>Raghav</v>
      </c>
      <c r="G109" s="3" t="str">
        <f>IFERROR(__xludf.DUMMYFUNCTION("""COMPUTED_VALUE"""),"Bhat")</f>
        <v>Bhat</v>
      </c>
      <c r="H109" s="3" t="s">
        <v>19</v>
      </c>
      <c r="I109" s="3">
        <v>2022.0</v>
      </c>
      <c r="J109" s="3">
        <f t="shared" si="2"/>
        <v>5000</v>
      </c>
      <c r="K109" s="3" t="s">
        <v>20</v>
      </c>
      <c r="L109" s="3">
        <v>75.0</v>
      </c>
      <c r="M109" s="3" t="s">
        <v>21</v>
      </c>
      <c r="N109" s="3">
        <v>51.0</v>
      </c>
      <c r="O109" s="3" t="s">
        <v>22</v>
      </c>
      <c r="P109" s="3" t="s">
        <v>28</v>
      </c>
      <c r="Q109" s="6">
        <f t="shared" si="3"/>
        <v>400000</v>
      </c>
    </row>
    <row r="110">
      <c r="A110" s="3">
        <v>64717.0</v>
      </c>
      <c r="B110" s="3" t="s">
        <v>145</v>
      </c>
      <c r="C110" s="3" t="s">
        <v>35</v>
      </c>
      <c r="D110" s="4" t="str">
        <f t="shared" si="1"/>
        <v>Ms.</v>
      </c>
      <c r="E110" s="3" t="str">
        <f t="shared" si="4"/>
        <v>Ms. Saanvi Kumar</v>
      </c>
      <c r="F110" s="3" t="str">
        <f>IFERROR(__xludf.DUMMYFUNCTION("SPLIT(B110,"" "")"),"Saanvi")</f>
        <v>Saanvi</v>
      </c>
      <c r="G110" s="3" t="str">
        <f>IFERROR(__xludf.DUMMYFUNCTION("""COMPUTED_VALUE"""),"Kumar")</f>
        <v>Kumar</v>
      </c>
      <c r="H110" s="3" t="s">
        <v>25</v>
      </c>
      <c r="I110" s="3">
        <v>2024.0</v>
      </c>
      <c r="J110" s="3">
        <f t="shared" si="2"/>
        <v>10000</v>
      </c>
      <c r="K110" s="3" t="s">
        <v>20</v>
      </c>
      <c r="L110" s="3">
        <v>19.0</v>
      </c>
      <c r="M110" s="3" t="s">
        <v>21</v>
      </c>
      <c r="N110" s="3">
        <v>30.0</v>
      </c>
      <c r="O110" s="3" t="s">
        <v>22</v>
      </c>
      <c r="P110" s="3" t="s">
        <v>28</v>
      </c>
      <c r="Q110" s="6">
        <f t="shared" si="3"/>
        <v>400000</v>
      </c>
    </row>
    <row r="111">
      <c r="A111" s="3">
        <v>64718.0</v>
      </c>
      <c r="B111" s="3" t="s">
        <v>146</v>
      </c>
      <c r="C111" s="3" t="s">
        <v>18</v>
      </c>
      <c r="D111" s="4" t="str">
        <f t="shared" si="1"/>
        <v>Mr.</v>
      </c>
      <c r="E111" s="3" t="str">
        <f t="shared" si="4"/>
        <v>Mr. Arnav Jain</v>
      </c>
      <c r="F111" s="3" t="str">
        <f>IFERROR(__xludf.DUMMYFUNCTION("SPLIT(B111,"" "")"),"Arnav")</f>
        <v>Arnav</v>
      </c>
      <c r="G111" s="3" t="str">
        <f>IFERROR(__xludf.DUMMYFUNCTION("""COMPUTED_VALUE"""),"Jain")</f>
        <v>Jain</v>
      </c>
      <c r="H111" s="3" t="s">
        <v>46</v>
      </c>
      <c r="I111" s="3">
        <v>2024.0</v>
      </c>
      <c r="J111" s="3">
        <f t="shared" si="2"/>
        <v>5000</v>
      </c>
      <c r="K111" s="3" t="s">
        <v>20</v>
      </c>
      <c r="L111" s="10">
        <v>12274.0</v>
      </c>
      <c r="M111" s="3" t="s">
        <v>21</v>
      </c>
      <c r="N111" s="3">
        <v>3.0</v>
      </c>
      <c r="O111" s="3" t="s">
        <v>41</v>
      </c>
      <c r="P111" s="3" t="s">
        <v>28</v>
      </c>
      <c r="Q111" s="6">
        <f t="shared" si="3"/>
        <v>400000</v>
      </c>
    </row>
    <row r="112">
      <c r="A112" s="3">
        <v>64719.0</v>
      </c>
      <c r="B112" s="3" t="s">
        <v>147</v>
      </c>
      <c r="C112" s="3" t="s">
        <v>18</v>
      </c>
      <c r="D112" s="4" t="str">
        <f t="shared" si="1"/>
        <v>Mr.</v>
      </c>
      <c r="E112" s="3" t="str">
        <f t="shared" si="4"/>
        <v>Mr. Arjun Mehta</v>
      </c>
      <c r="F112" s="3" t="str">
        <f>IFERROR(__xludf.DUMMYFUNCTION("SPLIT(B112,"" "")"),"Arjun")</f>
        <v>Arjun</v>
      </c>
      <c r="G112" s="3" t="str">
        <f>IFERROR(__xludf.DUMMYFUNCTION("""COMPUTED_VALUE"""),"Mehta")</f>
        <v>Mehta</v>
      </c>
      <c r="H112" s="3" t="s">
        <v>19</v>
      </c>
      <c r="I112" s="3">
        <v>2018.0</v>
      </c>
      <c r="J112" s="3">
        <f t="shared" si="2"/>
        <v>5000</v>
      </c>
      <c r="K112" s="3" t="s">
        <v>26</v>
      </c>
      <c r="L112" s="10">
        <v>4032.0</v>
      </c>
      <c r="M112" s="3" t="s">
        <v>30</v>
      </c>
      <c r="N112" s="3">
        <v>63.0</v>
      </c>
      <c r="O112" s="3" t="s">
        <v>22</v>
      </c>
      <c r="P112" s="3" t="s">
        <v>28</v>
      </c>
      <c r="Q112" s="6">
        <f t="shared" si="3"/>
        <v>400000</v>
      </c>
    </row>
    <row r="113">
      <c r="A113" s="3">
        <v>64720.0</v>
      </c>
      <c r="B113" s="3" t="s">
        <v>148</v>
      </c>
      <c r="C113" s="3" t="s">
        <v>35</v>
      </c>
      <c r="D113" s="4" t="str">
        <f t="shared" si="1"/>
        <v>Ms.</v>
      </c>
      <c r="E113" s="3" t="str">
        <f t="shared" si="4"/>
        <v>Ms. Kashvi Das</v>
      </c>
      <c r="F113" s="3" t="str">
        <f>IFERROR(__xludf.DUMMYFUNCTION("SPLIT(B113,"" "")"),"Kashvi")</f>
        <v>Kashvi</v>
      </c>
      <c r="G113" s="3" t="str">
        <f>IFERROR(__xludf.DUMMYFUNCTION("""COMPUTED_VALUE"""),"Das")</f>
        <v>Das</v>
      </c>
      <c r="H113" s="3" t="s">
        <v>46</v>
      </c>
      <c r="I113" s="3">
        <v>2025.0</v>
      </c>
      <c r="J113" s="3">
        <f t="shared" si="2"/>
        <v>5000</v>
      </c>
      <c r="K113" s="3" t="s">
        <v>20</v>
      </c>
      <c r="L113" s="3">
        <v>0.0</v>
      </c>
      <c r="M113" s="3" t="s">
        <v>21</v>
      </c>
      <c r="N113" s="3">
        <v>15.0</v>
      </c>
      <c r="O113" s="3" t="s">
        <v>41</v>
      </c>
      <c r="P113" s="3" t="s">
        <v>23</v>
      </c>
      <c r="Q113" s="6">
        <f t="shared" si="3"/>
        <v>430000</v>
      </c>
    </row>
    <row r="114">
      <c r="A114" s="3">
        <v>64721.0</v>
      </c>
      <c r="B114" s="3" t="s">
        <v>149</v>
      </c>
      <c r="C114" s="3" t="s">
        <v>35</v>
      </c>
      <c r="D114" s="4" t="str">
        <f t="shared" si="1"/>
        <v>Ms.</v>
      </c>
      <c r="E114" s="3" t="str">
        <f t="shared" si="4"/>
        <v>Ms. Vanya Naidu</v>
      </c>
      <c r="F114" s="3" t="str">
        <f>IFERROR(__xludf.DUMMYFUNCTION("SPLIT(B114,"" "")"),"Vanya")</f>
        <v>Vanya</v>
      </c>
      <c r="G114" s="3" t="str">
        <f>IFERROR(__xludf.DUMMYFUNCTION("""COMPUTED_VALUE"""),"Naidu")</f>
        <v>Naidu</v>
      </c>
      <c r="H114" s="3" t="s">
        <v>19</v>
      </c>
      <c r="I114" s="3">
        <v>2019.0</v>
      </c>
      <c r="J114" s="3">
        <f t="shared" si="2"/>
        <v>5000</v>
      </c>
      <c r="K114" s="3" t="s">
        <v>20</v>
      </c>
      <c r="L114" s="10">
        <v>20316.0</v>
      </c>
      <c r="M114" s="3" t="s">
        <v>21</v>
      </c>
      <c r="N114" s="3">
        <f>RANDBETWEEN(0,10)</f>
        <v>1</v>
      </c>
      <c r="O114" s="3" t="s">
        <v>22</v>
      </c>
      <c r="P114" s="3" t="s">
        <v>23</v>
      </c>
      <c r="Q114" s="6">
        <f t="shared" si="3"/>
        <v>430000</v>
      </c>
    </row>
    <row r="115">
      <c r="A115" s="3">
        <v>64722.0</v>
      </c>
      <c r="B115" s="3" t="s">
        <v>150</v>
      </c>
      <c r="C115" s="3" t="s">
        <v>35</v>
      </c>
      <c r="D115" s="4" t="str">
        <f t="shared" si="1"/>
        <v>Ms.</v>
      </c>
      <c r="E115" s="3" t="str">
        <f t="shared" si="4"/>
        <v>Ms. Kyra Thakur</v>
      </c>
      <c r="F115" s="3" t="str">
        <f>IFERROR(__xludf.DUMMYFUNCTION("SPLIT(B115,"" "")"),"Kyra")</f>
        <v>Kyra</v>
      </c>
      <c r="G115" s="3" t="str">
        <f>IFERROR(__xludf.DUMMYFUNCTION("""COMPUTED_VALUE"""),"Thakur")</f>
        <v>Thakur</v>
      </c>
      <c r="H115" s="3" t="s">
        <v>33</v>
      </c>
      <c r="I115" s="3">
        <v>2027.0</v>
      </c>
      <c r="J115" s="3">
        <f t="shared" si="2"/>
        <v>10000</v>
      </c>
      <c r="K115" s="3" t="s">
        <v>20</v>
      </c>
      <c r="L115" s="3">
        <v>0.0</v>
      </c>
      <c r="M115" s="3" t="s">
        <v>30</v>
      </c>
      <c r="N115" s="3">
        <v>42.0</v>
      </c>
      <c r="O115" s="3" t="s">
        <v>41</v>
      </c>
      <c r="P115" s="3" t="s">
        <v>38</v>
      </c>
      <c r="Q115" s="6">
        <f t="shared" si="3"/>
        <v>635000</v>
      </c>
    </row>
    <row r="116">
      <c r="A116" s="3">
        <v>64723.0</v>
      </c>
      <c r="B116" s="3" t="s">
        <v>151</v>
      </c>
      <c r="C116" s="3" t="s">
        <v>35</v>
      </c>
      <c r="D116" s="4" t="str">
        <f t="shared" si="1"/>
        <v>Ms.</v>
      </c>
      <c r="E116" s="3" t="str">
        <f t="shared" si="4"/>
        <v>Ms. Charvi Gupta</v>
      </c>
      <c r="F116" s="3" t="str">
        <f>IFERROR(__xludf.DUMMYFUNCTION("SPLIT(B116,"" "")"),"Charvi")</f>
        <v>Charvi</v>
      </c>
      <c r="G116" s="3" t="str">
        <f>IFERROR(__xludf.DUMMYFUNCTION("""COMPUTED_VALUE"""),"Gupta")</f>
        <v>Gupta</v>
      </c>
      <c r="H116" s="3" t="s">
        <v>33</v>
      </c>
      <c r="I116" s="3">
        <v>2021.0</v>
      </c>
      <c r="J116" s="3">
        <f t="shared" si="2"/>
        <v>10000</v>
      </c>
      <c r="K116" s="3" t="s">
        <v>26</v>
      </c>
      <c r="L116" s="3">
        <v>10071.0</v>
      </c>
      <c r="M116" s="3" t="s">
        <v>30</v>
      </c>
      <c r="N116" s="3">
        <v>27.0</v>
      </c>
      <c r="O116" s="3" t="s">
        <v>22</v>
      </c>
      <c r="P116" s="3" t="s">
        <v>31</v>
      </c>
      <c r="Q116" s="6">
        <f t="shared" si="3"/>
        <v>910000</v>
      </c>
    </row>
    <row r="117">
      <c r="A117" s="3">
        <v>64724.0</v>
      </c>
      <c r="B117" s="3" t="s">
        <v>152</v>
      </c>
      <c r="C117" s="3" t="s">
        <v>18</v>
      </c>
      <c r="D117" s="4" t="str">
        <f t="shared" si="1"/>
        <v>Mr.</v>
      </c>
      <c r="E117" s="3" t="str">
        <f t="shared" si="4"/>
        <v>Mr. Krishna Prasad</v>
      </c>
      <c r="F117" s="3" t="str">
        <f>IFERROR(__xludf.DUMMYFUNCTION("SPLIT(B117,"" "")"),"Krishna")</f>
        <v>Krishna</v>
      </c>
      <c r="G117" s="3" t="str">
        <f>IFERROR(__xludf.DUMMYFUNCTION("""COMPUTED_VALUE"""),"Prasad")</f>
        <v>Prasad</v>
      </c>
      <c r="H117" s="3" t="s">
        <v>25</v>
      </c>
      <c r="I117" s="3">
        <v>2023.0</v>
      </c>
      <c r="J117" s="3">
        <f t="shared" si="2"/>
        <v>10000</v>
      </c>
      <c r="K117" s="3" t="s">
        <v>20</v>
      </c>
      <c r="L117" s="3">
        <v>301.0</v>
      </c>
      <c r="M117" s="3" t="s">
        <v>153</v>
      </c>
      <c r="N117" s="3">
        <v>25.0</v>
      </c>
      <c r="O117" s="3" t="s">
        <v>22</v>
      </c>
      <c r="P117" s="3" t="s">
        <v>31</v>
      </c>
      <c r="Q117" s="6">
        <f t="shared" si="3"/>
        <v>910000</v>
      </c>
    </row>
    <row r="118">
      <c r="A118" s="3">
        <v>64725.0</v>
      </c>
      <c r="B118" s="3" t="s">
        <v>154</v>
      </c>
      <c r="C118" s="3" t="s">
        <v>18</v>
      </c>
      <c r="D118" s="4" t="str">
        <f t="shared" si="1"/>
        <v>Mr.</v>
      </c>
      <c r="E118" s="3" t="str">
        <f t="shared" si="4"/>
        <v>Mr. Shaurya Verma</v>
      </c>
      <c r="F118" s="3" t="str">
        <f>IFERROR(__xludf.DUMMYFUNCTION("SPLIT(B118,"" "")"),"Shaurya")</f>
        <v>Shaurya</v>
      </c>
      <c r="G118" s="3" t="str">
        <f>IFERROR(__xludf.DUMMYFUNCTION("""COMPUTED_VALUE"""),"Verma")</f>
        <v>Verma</v>
      </c>
      <c r="H118" s="3" t="s">
        <v>33</v>
      </c>
      <c r="I118" s="3">
        <v>2025.0</v>
      </c>
      <c r="J118" s="3">
        <f t="shared" si="2"/>
        <v>10000</v>
      </c>
      <c r="K118" s="3" t="s">
        <v>26</v>
      </c>
      <c r="L118" s="3">
        <v>11727.0</v>
      </c>
      <c r="M118" s="3" t="s">
        <v>21</v>
      </c>
      <c r="N118" s="3">
        <v>31.0</v>
      </c>
      <c r="O118" s="3" t="s">
        <v>41</v>
      </c>
      <c r="P118" s="3" t="s">
        <v>31</v>
      </c>
      <c r="Q118" s="6">
        <f t="shared" si="3"/>
        <v>910000</v>
      </c>
    </row>
    <row r="119">
      <c r="A119" s="3">
        <v>64728.0</v>
      </c>
      <c r="B119" s="3" t="s">
        <v>155</v>
      </c>
      <c r="C119" s="3" t="s">
        <v>18</v>
      </c>
      <c r="D119" s="4" t="str">
        <f t="shared" si="1"/>
        <v>Mr.</v>
      </c>
      <c r="E119" s="3" t="str">
        <f t="shared" si="4"/>
        <v>Mr. Om Kulkarni</v>
      </c>
      <c r="F119" s="3" t="str">
        <f>IFERROR(__xludf.DUMMYFUNCTION("SPLIT(B119,"" "")"),"Om")</f>
        <v>Om</v>
      </c>
      <c r="G119" s="3" t="str">
        <f>IFERROR(__xludf.DUMMYFUNCTION("""COMPUTED_VALUE"""),"Kulkarni")</f>
        <v>Kulkarni</v>
      </c>
      <c r="H119" s="3" t="s">
        <v>46</v>
      </c>
      <c r="I119" s="3">
        <v>2025.0</v>
      </c>
      <c r="J119" s="3">
        <f t="shared" si="2"/>
        <v>5000</v>
      </c>
      <c r="K119" s="3" t="s">
        <v>20</v>
      </c>
      <c r="L119" s="3">
        <v>19.0</v>
      </c>
      <c r="M119" s="3" t="s">
        <v>21</v>
      </c>
      <c r="N119" s="3">
        <v>37.0</v>
      </c>
      <c r="O119" s="3" t="s">
        <v>41</v>
      </c>
      <c r="P119" s="3" t="s">
        <v>38</v>
      </c>
      <c r="Q119" s="6">
        <f t="shared" si="3"/>
        <v>635000</v>
      </c>
    </row>
    <row r="120">
      <c r="A120" s="3">
        <v>64729.0</v>
      </c>
      <c r="B120" s="3" t="s">
        <v>156</v>
      </c>
      <c r="C120" s="3" t="s">
        <v>18</v>
      </c>
      <c r="D120" s="4" t="str">
        <f t="shared" si="1"/>
        <v>Mr.</v>
      </c>
      <c r="E120" s="3" t="str">
        <f t="shared" si="4"/>
        <v>Mr. Arnav Malik</v>
      </c>
      <c r="F120" s="3" t="str">
        <f>IFERROR(__xludf.DUMMYFUNCTION("SPLIT(B120,"" "")"),"Arnav")</f>
        <v>Arnav</v>
      </c>
      <c r="G120" s="3" t="str">
        <f>IFERROR(__xludf.DUMMYFUNCTION("""COMPUTED_VALUE"""),"Malik")</f>
        <v>Malik</v>
      </c>
      <c r="H120" s="3" t="s">
        <v>33</v>
      </c>
      <c r="I120" s="3">
        <v>2024.0</v>
      </c>
      <c r="J120" s="3">
        <f t="shared" si="2"/>
        <v>10000</v>
      </c>
      <c r="K120" s="3" t="s">
        <v>26</v>
      </c>
      <c r="L120" s="3">
        <v>6320.0</v>
      </c>
      <c r="M120" s="3" t="s">
        <v>21</v>
      </c>
      <c r="N120" s="3">
        <v>60.0</v>
      </c>
      <c r="O120" s="3" t="s">
        <v>41</v>
      </c>
      <c r="P120" s="3" t="s">
        <v>31</v>
      </c>
      <c r="Q120" s="6">
        <f t="shared" si="3"/>
        <v>910000</v>
      </c>
    </row>
    <row r="121">
      <c r="A121" s="3">
        <v>64730.0</v>
      </c>
      <c r="B121" s="3" t="s">
        <v>157</v>
      </c>
      <c r="C121" s="3" t="s">
        <v>18</v>
      </c>
      <c r="D121" s="4" t="str">
        <f t="shared" si="1"/>
        <v>Mr.</v>
      </c>
      <c r="E121" s="3" t="str">
        <f t="shared" si="4"/>
        <v>Mr. Dhanush Rao</v>
      </c>
      <c r="F121" s="3" t="str">
        <f>IFERROR(__xludf.DUMMYFUNCTION("SPLIT(B121,"" "")"),"Dhanush")</f>
        <v>Dhanush</v>
      </c>
      <c r="G121" s="3" t="str">
        <f>IFERROR(__xludf.DUMMYFUNCTION("""COMPUTED_VALUE"""),"Rao")</f>
        <v>Rao</v>
      </c>
      <c r="H121" s="3" t="s">
        <v>33</v>
      </c>
      <c r="I121" s="3">
        <v>2024.0</v>
      </c>
      <c r="J121" s="3">
        <f t="shared" si="2"/>
        <v>10000</v>
      </c>
      <c r="K121" s="3" t="s">
        <v>20</v>
      </c>
      <c r="L121" s="3">
        <v>0.0</v>
      </c>
      <c r="M121" s="3" t="s">
        <v>21</v>
      </c>
      <c r="N121" s="3">
        <v>13.0</v>
      </c>
      <c r="O121" s="3" t="s">
        <v>22</v>
      </c>
      <c r="P121" s="3" t="s">
        <v>31</v>
      </c>
      <c r="Q121" s="6">
        <f t="shared" si="3"/>
        <v>910000</v>
      </c>
    </row>
    <row r="122">
      <c r="A122" s="3">
        <v>64731.0</v>
      </c>
      <c r="B122" s="3" t="s">
        <v>158</v>
      </c>
      <c r="C122" s="3" t="s">
        <v>18</v>
      </c>
      <c r="D122" s="4" t="str">
        <f t="shared" si="1"/>
        <v>Mr.</v>
      </c>
      <c r="E122" s="3" t="str">
        <f t="shared" si="4"/>
        <v>Mr. Krishna Kapoor</v>
      </c>
      <c r="F122" s="3" t="str">
        <f>IFERROR(__xludf.DUMMYFUNCTION("SPLIT(B122,"" "")"),"Krishna")</f>
        <v>Krishna</v>
      </c>
      <c r="G122" s="3" t="str">
        <f>IFERROR(__xludf.DUMMYFUNCTION("""COMPUTED_VALUE"""),"Kapoor")</f>
        <v>Kapoor</v>
      </c>
      <c r="H122" s="3" t="s">
        <v>19</v>
      </c>
      <c r="I122" s="3">
        <v>2022.0</v>
      </c>
      <c r="J122" s="3">
        <f t="shared" si="2"/>
        <v>5000</v>
      </c>
      <c r="K122" s="3" t="s">
        <v>20</v>
      </c>
      <c r="L122" s="3">
        <v>0.0</v>
      </c>
      <c r="M122" s="3" t="s">
        <v>30</v>
      </c>
      <c r="N122" s="3">
        <v>50.0</v>
      </c>
      <c r="O122" s="3" t="s">
        <v>41</v>
      </c>
      <c r="P122" s="3" t="s">
        <v>31</v>
      </c>
      <c r="Q122" s="6">
        <f t="shared" si="3"/>
        <v>910000</v>
      </c>
    </row>
    <row r="123">
      <c r="A123" s="3">
        <v>64732.0</v>
      </c>
      <c r="B123" s="3" t="s">
        <v>159</v>
      </c>
      <c r="C123" s="3" t="s">
        <v>35</v>
      </c>
      <c r="D123" s="4" t="str">
        <f t="shared" si="1"/>
        <v>Ms.</v>
      </c>
      <c r="E123" s="3" t="str">
        <f t="shared" si="4"/>
        <v>Ms. Kashvi Verma</v>
      </c>
      <c r="F123" s="3" t="str">
        <f>IFERROR(__xludf.DUMMYFUNCTION("SPLIT(B123,"" "")"),"Kashvi")</f>
        <v>Kashvi</v>
      </c>
      <c r="G123" s="3" t="str">
        <f>IFERROR(__xludf.DUMMYFUNCTION("""COMPUTED_VALUE"""),"Verma")</f>
        <v>Verma</v>
      </c>
      <c r="H123" s="3" t="s">
        <v>25</v>
      </c>
      <c r="I123" s="3">
        <v>2025.0</v>
      </c>
      <c r="J123" s="3">
        <f t="shared" si="2"/>
        <v>10000</v>
      </c>
      <c r="K123" s="3" t="s">
        <v>26</v>
      </c>
      <c r="L123" s="3">
        <v>15248.0</v>
      </c>
      <c r="M123" s="3" t="s">
        <v>21</v>
      </c>
      <c r="N123" s="3">
        <f>RANDBETWEEN(0,10)</f>
        <v>5</v>
      </c>
      <c r="O123" s="3" t="s">
        <v>41</v>
      </c>
      <c r="P123" s="3" t="s">
        <v>28</v>
      </c>
      <c r="Q123" s="6">
        <f t="shared" si="3"/>
        <v>400000</v>
      </c>
    </row>
    <row r="124">
      <c r="A124" s="3">
        <v>64733.0</v>
      </c>
      <c r="B124" s="3" t="s">
        <v>61</v>
      </c>
      <c r="C124" s="3" t="s">
        <v>35</v>
      </c>
      <c r="D124" s="4" t="str">
        <f t="shared" si="1"/>
        <v>Ms.</v>
      </c>
      <c r="E124" s="3" t="str">
        <f t="shared" si="4"/>
        <v>Ms. Aarohi Reddy</v>
      </c>
      <c r="F124" s="3" t="str">
        <f>IFERROR(__xludf.DUMMYFUNCTION("SPLIT(B124,"" "")"),"Aarohi")</f>
        <v>Aarohi</v>
      </c>
      <c r="G124" s="3" t="str">
        <f>IFERROR(__xludf.DUMMYFUNCTION("""COMPUTED_VALUE"""),"Reddy")</f>
        <v>Reddy</v>
      </c>
      <c r="H124" s="3" t="s">
        <v>33</v>
      </c>
      <c r="I124" s="3">
        <v>2028.0</v>
      </c>
      <c r="J124" s="3">
        <f t="shared" si="2"/>
        <v>10000</v>
      </c>
      <c r="K124" s="3" t="s">
        <v>26</v>
      </c>
      <c r="L124" s="3">
        <v>2653.0</v>
      </c>
      <c r="M124" s="3" t="s">
        <v>30</v>
      </c>
      <c r="N124" s="3">
        <v>19.0</v>
      </c>
      <c r="O124" s="3" t="s">
        <v>41</v>
      </c>
      <c r="P124" s="3" t="s">
        <v>23</v>
      </c>
      <c r="Q124" s="6">
        <f t="shared" si="3"/>
        <v>430000</v>
      </c>
    </row>
    <row r="125">
      <c r="A125" s="3">
        <v>64734.0</v>
      </c>
      <c r="B125" s="3" t="s">
        <v>148</v>
      </c>
      <c r="C125" s="3" t="s">
        <v>35</v>
      </c>
      <c r="D125" s="4" t="str">
        <f t="shared" si="1"/>
        <v>Ms.</v>
      </c>
      <c r="E125" s="3" t="str">
        <f t="shared" si="4"/>
        <v>Ms. Kashvi Das</v>
      </c>
      <c r="F125" s="3" t="str">
        <f>IFERROR(__xludf.DUMMYFUNCTION("SPLIT(B125,"" "")"),"Kashvi")</f>
        <v>Kashvi</v>
      </c>
      <c r="G125" s="3" t="str">
        <f>IFERROR(__xludf.DUMMYFUNCTION("""COMPUTED_VALUE"""),"Das")</f>
        <v>Das</v>
      </c>
      <c r="H125" s="3" t="s">
        <v>33</v>
      </c>
      <c r="I125" s="3">
        <v>2024.0</v>
      </c>
      <c r="J125" s="3">
        <f t="shared" si="2"/>
        <v>10000</v>
      </c>
      <c r="K125" s="3" t="s">
        <v>20</v>
      </c>
      <c r="L125" s="3">
        <v>25.0</v>
      </c>
      <c r="M125" s="3" t="s">
        <v>30</v>
      </c>
      <c r="N125" s="3">
        <v>8.0</v>
      </c>
      <c r="O125" s="3" t="s">
        <v>22</v>
      </c>
      <c r="P125" s="3" t="s">
        <v>38</v>
      </c>
      <c r="Q125" s="6">
        <f t="shared" si="3"/>
        <v>635000</v>
      </c>
    </row>
    <row r="126">
      <c r="A126" s="3">
        <v>64735.0</v>
      </c>
      <c r="B126" s="3" t="s">
        <v>73</v>
      </c>
      <c r="C126" s="3" t="s">
        <v>18</v>
      </c>
      <c r="D126" s="4" t="str">
        <f t="shared" si="1"/>
        <v>Mr.</v>
      </c>
      <c r="E126" s="3" t="str">
        <f t="shared" si="4"/>
        <v>Mr. Samarth Kapoor</v>
      </c>
      <c r="F126" s="3" t="str">
        <f>IFERROR(__xludf.DUMMYFUNCTION("SPLIT(B126,"" "")"),"Samarth")</f>
        <v>Samarth</v>
      </c>
      <c r="G126" s="3" t="str">
        <f>IFERROR(__xludf.DUMMYFUNCTION("""COMPUTED_VALUE"""),"Kapoor")</f>
        <v>Kapoor</v>
      </c>
      <c r="H126" s="3" t="s">
        <v>46</v>
      </c>
      <c r="I126" s="3">
        <v>2019.0</v>
      </c>
      <c r="J126" s="3">
        <f t="shared" si="2"/>
        <v>5000</v>
      </c>
      <c r="K126" s="3" t="s">
        <v>20</v>
      </c>
      <c r="L126" s="3">
        <v>0.0</v>
      </c>
      <c r="M126" s="3" t="s">
        <v>30</v>
      </c>
      <c r="N126" s="3">
        <v>79.0</v>
      </c>
      <c r="O126" s="3" t="s">
        <v>41</v>
      </c>
      <c r="P126" s="3" t="s">
        <v>31</v>
      </c>
      <c r="Q126" s="6">
        <f t="shared" si="3"/>
        <v>910000</v>
      </c>
    </row>
    <row r="127">
      <c r="A127" s="3">
        <v>64738.0</v>
      </c>
      <c r="B127" s="3" t="s">
        <v>160</v>
      </c>
      <c r="C127" s="3" t="s">
        <v>18</v>
      </c>
      <c r="D127" s="4" t="str">
        <f t="shared" si="1"/>
        <v>Mr.</v>
      </c>
      <c r="E127" s="3" t="str">
        <f t="shared" si="4"/>
        <v>Mr. Kian Sharma</v>
      </c>
      <c r="F127" s="3" t="str">
        <f>IFERROR(__xludf.DUMMYFUNCTION("SPLIT(B127,"" "")"),"Kian")</f>
        <v>Kian</v>
      </c>
      <c r="G127" s="3" t="str">
        <f>IFERROR(__xludf.DUMMYFUNCTION("""COMPUTED_VALUE"""),"Sharma")</f>
        <v>Sharma</v>
      </c>
      <c r="H127" s="3" t="s">
        <v>46</v>
      </c>
      <c r="I127" s="3">
        <v>2024.0</v>
      </c>
      <c r="J127" s="3">
        <f t="shared" si="2"/>
        <v>5000</v>
      </c>
      <c r="K127" s="3" t="s">
        <v>20</v>
      </c>
      <c r="L127" s="3">
        <v>0.0</v>
      </c>
      <c r="M127" s="3" t="s">
        <v>21</v>
      </c>
      <c r="N127" s="3">
        <f>RANDBETWEEN(0,10)</f>
        <v>4</v>
      </c>
      <c r="O127" s="3" t="s">
        <v>22</v>
      </c>
      <c r="P127" s="3" t="s">
        <v>31</v>
      </c>
      <c r="Q127" s="6">
        <f t="shared" si="3"/>
        <v>910000</v>
      </c>
    </row>
    <row r="128">
      <c r="A128" s="3">
        <v>64739.0</v>
      </c>
      <c r="B128" s="3" t="s">
        <v>161</v>
      </c>
      <c r="C128" s="3" t="s">
        <v>35</v>
      </c>
      <c r="D128" s="4" t="str">
        <f t="shared" si="1"/>
        <v>Ms.</v>
      </c>
      <c r="E128" s="3" t="str">
        <f t="shared" si="4"/>
        <v>Ms. Navya Singh</v>
      </c>
      <c r="F128" s="3" t="str">
        <f>IFERROR(__xludf.DUMMYFUNCTION("SPLIT(B128,"" "")"),"Navya")</f>
        <v>Navya</v>
      </c>
      <c r="G128" s="3" t="str">
        <f>IFERROR(__xludf.DUMMYFUNCTION("""COMPUTED_VALUE"""),"Singh")</f>
        <v>Singh</v>
      </c>
      <c r="H128" s="3" t="s">
        <v>46</v>
      </c>
      <c r="I128" s="3">
        <v>2023.0</v>
      </c>
      <c r="J128" s="3">
        <f t="shared" si="2"/>
        <v>5000</v>
      </c>
      <c r="K128" s="3" t="s">
        <v>20</v>
      </c>
      <c r="L128" s="3">
        <v>25.0</v>
      </c>
      <c r="M128" s="3" t="s">
        <v>21</v>
      </c>
      <c r="N128" s="3">
        <v>52.0</v>
      </c>
      <c r="O128" s="3" t="s">
        <v>41</v>
      </c>
      <c r="P128" s="3" t="s">
        <v>38</v>
      </c>
      <c r="Q128" s="6">
        <f t="shared" si="3"/>
        <v>635000</v>
      </c>
    </row>
    <row r="129">
      <c r="A129" s="3">
        <v>64741.0</v>
      </c>
      <c r="B129" s="3" t="s">
        <v>162</v>
      </c>
      <c r="C129" s="3" t="s">
        <v>35</v>
      </c>
      <c r="D129" s="4" t="str">
        <f t="shared" si="1"/>
        <v>Ms.</v>
      </c>
      <c r="E129" s="3" t="str">
        <f t="shared" si="4"/>
        <v>Ms. Sara Nair</v>
      </c>
      <c r="F129" s="3" t="str">
        <f>IFERROR(__xludf.DUMMYFUNCTION("SPLIT(B129,"" "")"),"Sara")</f>
        <v>Sara</v>
      </c>
      <c r="G129" s="3" t="str">
        <f>IFERROR(__xludf.DUMMYFUNCTION("""COMPUTED_VALUE"""),"Nair")</f>
        <v>Nair</v>
      </c>
      <c r="H129" s="3" t="s">
        <v>46</v>
      </c>
      <c r="I129" s="3">
        <v>2026.0</v>
      </c>
      <c r="J129" s="3">
        <f t="shared" si="2"/>
        <v>5000</v>
      </c>
      <c r="K129" s="3" t="s">
        <v>26</v>
      </c>
      <c r="L129" s="3">
        <v>21084.0</v>
      </c>
      <c r="M129" s="3" t="s">
        <v>30</v>
      </c>
      <c r="N129" s="3">
        <v>54.0</v>
      </c>
      <c r="O129" s="3" t="s">
        <v>41</v>
      </c>
      <c r="P129" s="3" t="s">
        <v>78</v>
      </c>
      <c r="Q129" s="6">
        <f t="shared" si="3"/>
        <v>255000</v>
      </c>
    </row>
    <row r="130">
      <c r="A130" s="3">
        <v>64742.0</v>
      </c>
      <c r="B130" s="3" t="s">
        <v>163</v>
      </c>
      <c r="C130" s="3" t="s">
        <v>35</v>
      </c>
      <c r="D130" s="4" t="str">
        <f t="shared" si="1"/>
        <v>Ms.</v>
      </c>
      <c r="E130" s="3" t="str">
        <f t="shared" si="4"/>
        <v>Ms. Gauri Joshi</v>
      </c>
      <c r="F130" s="3" t="str">
        <f>IFERROR(__xludf.DUMMYFUNCTION("SPLIT(B130,"" "")"),"Gauri")</f>
        <v>Gauri</v>
      </c>
      <c r="G130" s="3" t="str">
        <f>IFERROR(__xludf.DUMMYFUNCTION("""COMPUTED_VALUE"""),"Joshi")</f>
        <v>Joshi</v>
      </c>
      <c r="H130" s="3" t="s">
        <v>46</v>
      </c>
      <c r="I130" s="3">
        <v>2023.0</v>
      </c>
      <c r="J130" s="3">
        <f t="shared" si="2"/>
        <v>5000</v>
      </c>
      <c r="K130" s="3" t="s">
        <v>26</v>
      </c>
      <c r="L130" s="3">
        <v>3602.0</v>
      </c>
      <c r="M130" s="3" t="s">
        <v>21</v>
      </c>
      <c r="N130" s="3">
        <f t="shared" ref="N130:N131" si="12">RANDBETWEEN(0,10)</f>
        <v>10</v>
      </c>
      <c r="O130" s="3" t="s">
        <v>41</v>
      </c>
      <c r="P130" s="3" t="s">
        <v>23</v>
      </c>
      <c r="Q130" s="6">
        <f t="shared" si="3"/>
        <v>430000</v>
      </c>
    </row>
    <row r="131">
      <c r="A131" s="3">
        <v>64743.0</v>
      </c>
      <c r="B131" s="3" t="s">
        <v>164</v>
      </c>
      <c r="C131" s="3" t="s">
        <v>35</v>
      </c>
      <c r="D131" s="4" t="str">
        <f t="shared" si="1"/>
        <v>Ms.</v>
      </c>
      <c r="E131" s="3" t="str">
        <f t="shared" si="4"/>
        <v>Ms. Riddhi Sinha</v>
      </c>
      <c r="F131" s="3" t="str">
        <f>IFERROR(__xludf.DUMMYFUNCTION("SPLIT(B131,"" "")"),"Riddhi")</f>
        <v>Riddhi</v>
      </c>
      <c r="G131" s="3" t="str">
        <f>IFERROR(__xludf.DUMMYFUNCTION("""COMPUTED_VALUE"""),"Sinha")</f>
        <v>Sinha</v>
      </c>
      <c r="H131" s="3" t="s">
        <v>25</v>
      </c>
      <c r="I131" s="3">
        <v>2026.0</v>
      </c>
      <c r="J131" s="3">
        <f t="shared" si="2"/>
        <v>10000</v>
      </c>
      <c r="K131" s="3" t="s">
        <v>20</v>
      </c>
      <c r="L131" s="3">
        <v>295.0</v>
      </c>
      <c r="M131" s="3" t="s">
        <v>21</v>
      </c>
      <c r="N131" s="3">
        <f t="shared" si="12"/>
        <v>4</v>
      </c>
      <c r="O131" s="3" t="s">
        <v>41</v>
      </c>
      <c r="P131" s="3" t="s">
        <v>38</v>
      </c>
      <c r="Q131" s="6">
        <f t="shared" si="3"/>
        <v>635000</v>
      </c>
    </row>
    <row r="132">
      <c r="A132" s="3">
        <v>64744.0</v>
      </c>
      <c r="B132" s="3" t="s">
        <v>165</v>
      </c>
      <c r="C132" s="3" t="s">
        <v>18</v>
      </c>
      <c r="D132" s="4" t="str">
        <f t="shared" si="1"/>
        <v>Mr.</v>
      </c>
      <c r="E132" s="3" t="str">
        <f t="shared" si="4"/>
        <v>Mr. Dev Kapoor</v>
      </c>
      <c r="F132" s="3" t="str">
        <f>IFERROR(__xludf.DUMMYFUNCTION("SPLIT(B132,"" "")"),"Dev")</f>
        <v>Dev</v>
      </c>
      <c r="G132" s="3" t="str">
        <f>IFERROR(__xludf.DUMMYFUNCTION("""COMPUTED_VALUE"""),"Kapoor")</f>
        <v>Kapoor</v>
      </c>
      <c r="H132" s="3" t="s">
        <v>19</v>
      </c>
      <c r="I132" s="3">
        <v>2019.0</v>
      </c>
      <c r="J132" s="3">
        <f t="shared" si="2"/>
        <v>5000</v>
      </c>
      <c r="K132" s="3" t="s">
        <v>20</v>
      </c>
      <c r="L132" s="10">
        <v>2049.0</v>
      </c>
      <c r="M132" s="3" t="s">
        <v>21</v>
      </c>
      <c r="N132" s="3">
        <v>71.0</v>
      </c>
      <c r="O132" s="3" t="s">
        <v>41</v>
      </c>
      <c r="P132" s="3" t="s">
        <v>31</v>
      </c>
      <c r="Q132" s="6">
        <f t="shared" si="3"/>
        <v>910000</v>
      </c>
    </row>
    <row r="133">
      <c r="A133" s="3">
        <v>64745.0</v>
      </c>
      <c r="B133" s="3" t="s">
        <v>166</v>
      </c>
      <c r="C133" s="3" t="s">
        <v>18</v>
      </c>
      <c r="D133" s="4" t="str">
        <f t="shared" si="1"/>
        <v>Mr.</v>
      </c>
      <c r="E133" s="3" t="str">
        <f t="shared" si="4"/>
        <v>Mr. Kian Sinha</v>
      </c>
      <c r="F133" s="3" t="str">
        <f>IFERROR(__xludf.DUMMYFUNCTION("SPLIT(B133,"" "")"),"Kian")</f>
        <v>Kian</v>
      </c>
      <c r="G133" s="3" t="str">
        <f>IFERROR(__xludf.DUMMYFUNCTION("""COMPUTED_VALUE"""),"Sinha")</f>
        <v>Sinha</v>
      </c>
      <c r="H133" s="3" t="s">
        <v>25</v>
      </c>
      <c r="I133" s="3">
        <v>2026.0</v>
      </c>
      <c r="J133" s="3">
        <f t="shared" si="2"/>
        <v>10000</v>
      </c>
      <c r="K133" s="3" t="s">
        <v>20</v>
      </c>
      <c r="L133" s="3">
        <v>0.0</v>
      </c>
      <c r="M133" s="3" t="s">
        <v>21</v>
      </c>
      <c r="N133" s="3">
        <v>35.0</v>
      </c>
      <c r="O133" s="3" t="s">
        <v>41</v>
      </c>
      <c r="P133" s="3" t="s">
        <v>31</v>
      </c>
      <c r="Q133" s="6">
        <f t="shared" si="3"/>
        <v>910000</v>
      </c>
    </row>
    <row r="134">
      <c r="A134" s="3">
        <v>64746.0</v>
      </c>
      <c r="B134" s="3" t="s">
        <v>167</v>
      </c>
      <c r="C134" s="3" t="s">
        <v>35</v>
      </c>
      <c r="D134" s="4" t="str">
        <f t="shared" si="1"/>
        <v>Ms.</v>
      </c>
      <c r="E134" s="3" t="str">
        <f t="shared" si="4"/>
        <v>Ms. Aarohi Prasad</v>
      </c>
      <c r="F134" s="3" t="str">
        <f>IFERROR(__xludf.DUMMYFUNCTION("SPLIT(B134,"" "")"),"Aarohi")</f>
        <v>Aarohi</v>
      </c>
      <c r="G134" s="3" t="str">
        <f>IFERROR(__xludf.DUMMYFUNCTION("""COMPUTED_VALUE"""),"Prasad")</f>
        <v>Prasad</v>
      </c>
      <c r="H134" s="3" t="s">
        <v>25</v>
      </c>
      <c r="I134" s="3">
        <v>2025.0</v>
      </c>
      <c r="J134" s="3">
        <f t="shared" si="2"/>
        <v>10000</v>
      </c>
      <c r="K134" s="3" t="s">
        <v>20</v>
      </c>
      <c r="L134" s="3">
        <v>0.0</v>
      </c>
      <c r="M134" s="3" t="s">
        <v>21</v>
      </c>
      <c r="N134" s="3">
        <v>31.0</v>
      </c>
      <c r="O134" s="3" t="s">
        <v>41</v>
      </c>
      <c r="P134" s="3" t="s">
        <v>31</v>
      </c>
      <c r="Q134" s="6">
        <f t="shared" si="3"/>
        <v>910000</v>
      </c>
    </row>
    <row r="135">
      <c r="A135" s="3">
        <v>64747.0</v>
      </c>
      <c r="B135" s="3" t="s">
        <v>168</v>
      </c>
      <c r="C135" s="3" t="s">
        <v>35</v>
      </c>
      <c r="D135" s="4" t="str">
        <f t="shared" si="1"/>
        <v>Ms.</v>
      </c>
      <c r="E135" s="3" t="str">
        <f t="shared" si="4"/>
        <v>Ms. Charvi Malik</v>
      </c>
      <c r="F135" s="3" t="str">
        <f>IFERROR(__xludf.DUMMYFUNCTION("SPLIT(B135,"" "")"),"Charvi")</f>
        <v>Charvi</v>
      </c>
      <c r="G135" s="3" t="str">
        <f>IFERROR(__xludf.DUMMYFUNCTION("""COMPUTED_VALUE"""),"Malik")</f>
        <v>Malik</v>
      </c>
      <c r="H135" s="3" t="s">
        <v>25</v>
      </c>
      <c r="I135" s="3">
        <v>2024.0</v>
      </c>
      <c r="J135" s="3">
        <f t="shared" si="2"/>
        <v>10000</v>
      </c>
      <c r="K135" s="3" t="s">
        <v>20</v>
      </c>
      <c r="L135" s="3">
        <v>245.0</v>
      </c>
      <c r="M135" s="3" t="s">
        <v>21</v>
      </c>
      <c r="N135" s="3">
        <v>47.0</v>
      </c>
      <c r="O135" s="3" t="s">
        <v>22</v>
      </c>
      <c r="P135" s="3" t="s">
        <v>31</v>
      </c>
      <c r="Q135" s="6">
        <f t="shared" si="3"/>
        <v>910000</v>
      </c>
    </row>
    <row r="136">
      <c r="A136" s="3">
        <v>64748.0</v>
      </c>
      <c r="B136" s="3" t="s">
        <v>169</v>
      </c>
      <c r="C136" s="3" t="s">
        <v>35</v>
      </c>
      <c r="D136" s="4" t="str">
        <f t="shared" si="1"/>
        <v>Ms.</v>
      </c>
      <c r="E136" s="3" t="str">
        <f t="shared" si="4"/>
        <v>Ms. Avni Sinha</v>
      </c>
      <c r="F136" s="3" t="str">
        <f>IFERROR(__xludf.DUMMYFUNCTION("SPLIT(B136,"" "")"),"Avni")</f>
        <v>Avni</v>
      </c>
      <c r="G136" s="3" t="str">
        <f>IFERROR(__xludf.DUMMYFUNCTION("""COMPUTED_VALUE"""),"Sinha")</f>
        <v>Sinha</v>
      </c>
      <c r="H136" s="3" t="s">
        <v>25</v>
      </c>
      <c r="I136" s="3">
        <v>2025.0</v>
      </c>
      <c r="J136" s="3">
        <f t="shared" si="2"/>
        <v>10000</v>
      </c>
      <c r="K136" s="3" t="s">
        <v>26</v>
      </c>
      <c r="L136" s="3">
        <v>2947.0</v>
      </c>
      <c r="M136" s="3" t="s">
        <v>21</v>
      </c>
      <c r="N136" s="3">
        <v>0.0</v>
      </c>
      <c r="O136" s="3" t="s">
        <v>41</v>
      </c>
      <c r="P136" s="3" t="s">
        <v>38</v>
      </c>
      <c r="Q136" s="6">
        <f t="shared" si="3"/>
        <v>635000</v>
      </c>
    </row>
    <row r="137">
      <c r="A137" s="3">
        <v>64749.0</v>
      </c>
      <c r="B137" s="3" t="s">
        <v>170</v>
      </c>
      <c r="C137" s="3" t="s">
        <v>35</v>
      </c>
      <c r="D137" s="4" t="str">
        <f t="shared" si="1"/>
        <v>Ms.</v>
      </c>
      <c r="E137" s="3" t="str">
        <f t="shared" si="4"/>
        <v>Ms. Avni Agarwal</v>
      </c>
      <c r="F137" s="3" t="str">
        <f>IFERROR(__xludf.DUMMYFUNCTION("SPLIT(B137,"" "")"),"Avni")</f>
        <v>Avni</v>
      </c>
      <c r="G137" s="3" t="str">
        <f>IFERROR(__xludf.DUMMYFUNCTION("""COMPUTED_VALUE"""),"Agarwal")</f>
        <v>Agarwal</v>
      </c>
      <c r="H137" s="3" t="s">
        <v>19</v>
      </c>
      <c r="I137" s="3">
        <v>2023.0</v>
      </c>
      <c r="J137" s="3">
        <f t="shared" si="2"/>
        <v>5000</v>
      </c>
      <c r="K137" s="3" t="s">
        <v>26</v>
      </c>
      <c r="L137" s="3">
        <v>1273.0</v>
      </c>
      <c r="M137" s="3" t="s">
        <v>21</v>
      </c>
      <c r="N137" s="3">
        <v>9.0</v>
      </c>
      <c r="O137" s="3" t="s">
        <v>22</v>
      </c>
      <c r="P137" s="3" t="s">
        <v>23</v>
      </c>
      <c r="Q137" s="6">
        <f t="shared" si="3"/>
        <v>430000</v>
      </c>
    </row>
    <row r="138">
      <c r="A138" s="3">
        <v>64750.0</v>
      </c>
      <c r="B138" s="3" t="s">
        <v>36</v>
      </c>
      <c r="C138" s="3" t="s">
        <v>35</v>
      </c>
      <c r="D138" s="4" t="str">
        <f t="shared" si="1"/>
        <v>Ms.</v>
      </c>
      <c r="E138" s="3" t="str">
        <f t="shared" si="4"/>
        <v>Ms. Ira Naidu</v>
      </c>
      <c r="F138" s="3" t="str">
        <f>IFERROR(__xludf.DUMMYFUNCTION("SPLIT(B138,"" "")"),"Ira")</f>
        <v>Ira</v>
      </c>
      <c r="G138" s="3" t="str">
        <f>IFERROR(__xludf.DUMMYFUNCTION("""COMPUTED_VALUE"""),"Naidu")</f>
        <v>Naidu</v>
      </c>
      <c r="H138" s="3" t="s">
        <v>33</v>
      </c>
      <c r="I138" s="3">
        <v>2027.0</v>
      </c>
      <c r="J138" s="3">
        <f t="shared" si="2"/>
        <v>10000</v>
      </c>
      <c r="K138" s="3" t="s">
        <v>20</v>
      </c>
      <c r="L138" s="3">
        <v>0.0</v>
      </c>
      <c r="M138" s="3" t="s">
        <v>21</v>
      </c>
      <c r="N138" s="3">
        <v>29.0</v>
      </c>
      <c r="O138" s="3" t="s">
        <v>41</v>
      </c>
      <c r="P138" s="3" t="s">
        <v>38</v>
      </c>
      <c r="Q138" s="6">
        <f t="shared" si="3"/>
        <v>635000</v>
      </c>
    </row>
    <row r="139">
      <c r="A139" s="3">
        <v>64751.0</v>
      </c>
      <c r="B139" s="3" t="s">
        <v>171</v>
      </c>
      <c r="C139" s="3" t="s">
        <v>18</v>
      </c>
      <c r="D139" s="4" t="str">
        <f t="shared" si="1"/>
        <v>Mr.</v>
      </c>
      <c r="E139" s="3" t="str">
        <f t="shared" si="4"/>
        <v>Mr. Shivansh Jain</v>
      </c>
      <c r="F139" s="3" t="str">
        <f>IFERROR(__xludf.DUMMYFUNCTION("SPLIT(B139,"" "")"),"Shivansh")</f>
        <v>Shivansh</v>
      </c>
      <c r="G139" s="3" t="str">
        <f>IFERROR(__xludf.DUMMYFUNCTION("""COMPUTED_VALUE"""),"Jain")</f>
        <v>Jain</v>
      </c>
      <c r="H139" s="3" t="s">
        <v>25</v>
      </c>
      <c r="I139" s="3">
        <v>2025.0</v>
      </c>
      <c r="J139" s="3">
        <f t="shared" si="2"/>
        <v>10000</v>
      </c>
      <c r="K139" s="3" t="s">
        <v>20</v>
      </c>
      <c r="L139" s="3">
        <v>0.0</v>
      </c>
      <c r="M139" s="3" t="s">
        <v>21</v>
      </c>
      <c r="N139" s="3">
        <v>80.0</v>
      </c>
      <c r="O139" s="3" t="s">
        <v>41</v>
      </c>
      <c r="P139" s="3" t="s">
        <v>31</v>
      </c>
      <c r="Q139" s="6">
        <f t="shared" si="3"/>
        <v>910000</v>
      </c>
    </row>
    <row r="140">
      <c r="A140" s="3">
        <v>64752.0</v>
      </c>
      <c r="B140" s="3" t="s">
        <v>172</v>
      </c>
      <c r="C140" s="3" t="s">
        <v>18</v>
      </c>
      <c r="D140" s="4" t="str">
        <f t="shared" si="1"/>
        <v>Mr.</v>
      </c>
      <c r="E140" s="3" t="str">
        <f t="shared" si="4"/>
        <v>Mr. Aryan Bhatt</v>
      </c>
      <c r="F140" s="3" t="str">
        <f>IFERROR(__xludf.DUMMYFUNCTION("SPLIT(B140,"" "")"),"Aryan")</f>
        <v>Aryan</v>
      </c>
      <c r="G140" s="3" t="str">
        <f>IFERROR(__xludf.DUMMYFUNCTION("""COMPUTED_VALUE"""),"Bhatt")</f>
        <v>Bhatt</v>
      </c>
      <c r="H140" s="3" t="s">
        <v>25</v>
      </c>
      <c r="I140" s="3">
        <v>2027.0</v>
      </c>
      <c r="J140" s="3">
        <f t="shared" si="2"/>
        <v>10000</v>
      </c>
      <c r="K140" s="3" t="s">
        <v>20</v>
      </c>
      <c r="L140" s="3">
        <v>0.0</v>
      </c>
      <c r="M140" s="3" t="s">
        <v>21</v>
      </c>
      <c r="N140" s="3">
        <v>28.0</v>
      </c>
      <c r="O140" s="3" t="s">
        <v>41</v>
      </c>
      <c r="P140" s="3" t="s">
        <v>38</v>
      </c>
      <c r="Q140" s="6">
        <f t="shared" si="3"/>
        <v>635000</v>
      </c>
    </row>
    <row r="141">
      <c r="A141" s="3">
        <v>64753.0</v>
      </c>
      <c r="B141" s="3" t="s">
        <v>173</v>
      </c>
      <c r="C141" s="3" t="s">
        <v>18</v>
      </c>
      <c r="D141" s="4" t="str">
        <f t="shared" si="1"/>
        <v>Mr.</v>
      </c>
      <c r="E141" s="3" t="str">
        <f t="shared" si="4"/>
        <v>Mr. Ayaan Chowdhury</v>
      </c>
      <c r="F141" s="3" t="str">
        <f>IFERROR(__xludf.DUMMYFUNCTION("SPLIT(B141,"" "")"),"Ayaan")</f>
        <v>Ayaan</v>
      </c>
      <c r="G141" s="3" t="str">
        <f>IFERROR(__xludf.DUMMYFUNCTION("""COMPUTED_VALUE"""),"Chowdhury")</f>
        <v>Chowdhury</v>
      </c>
      <c r="H141" s="3" t="s">
        <v>33</v>
      </c>
      <c r="I141" s="3">
        <v>2014.0</v>
      </c>
      <c r="J141" s="3">
        <f t="shared" si="2"/>
        <v>10000</v>
      </c>
      <c r="K141" s="3" t="s">
        <v>20</v>
      </c>
      <c r="L141" s="3">
        <v>0.0</v>
      </c>
      <c r="M141" s="3" t="s">
        <v>21</v>
      </c>
      <c r="N141" s="3">
        <f>RANDBETWEEN(0,10)</f>
        <v>2</v>
      </c>
      <c r="O141" s="3" t="s">
        <v>41</v>
      </c>
      <c r="P141" s="3" t="s">
        <v>38</v>
      </c>
      <c r="Q141" s="6">
        <f t="shared" si="3"/>
        <v>635000</v>
      </c>
    </row>
    <row r="142">
      <c r="A142" s="3">
        <v>64754.0</v>
      </c>
      <c r="B142" s="3" t="s">
        <v>174</v>
      </c>
      <c r="C142" s="3" t="s">
        <v>35</v>
      </c>
      <c r="D142" s="4" t="str">
        <f t="shared" si="1"/>
        <v>Ms.</v>
      </c>
      <c r="E142" s="3" t="str">
        <f t="shared" si="4"/>
        <v>Ms. Naira Singh</v>
      </c>
      <c r="F142" s="3" t="str">
        <f>IFERROR(__xludf.DUMMYFUNCTION("SPLIT(B142,"" "")"),"Naira")</f>
        <v>Naira</v>
      </c>
      <c r="G142" s="3" t="str">
        <f>IFERROR(__xludf.DUMMYFUNCTION("""COMPUTED_VALUE"""),"Singh")</f>
        <v>Singh</v>
      </c>
      <c r="H142" s="3" t="s">
        <v>46</v>
      </c>
      <c r="I142" s="3">
        <v>2025.0</v>
      </c>
      <c r="J142" s="3">
        <f t="shared" si="2"/>
        <v>5000</v>
      </c>
      <c r="K142" s="3" t="s">
        <v>20</v>
      </c>
      <c r="L142" s="10">
        <v>4128.0</v>
      </c>
      <c r="M142" s="3" t="s">
        <v>30</v>
      </c>
      <c r="N142" s="3">
        <v>31.0</v>
      </c>
      <c r="O142" s="3" t="s">
        <v>22</v>
      </c>
      <c r="P142" s="3" t="s">
        <v>28</v>
      </c>
      <c r="Q142" s="6">
        <f t="shared" si="3"/>
        <v>400000</v>
      </c>
    </row>
    <row r="143">
      <c r="A143" s="3">
        <v>64756.0</v>
      </c>
      <c r="B143" s="3" t="s">
        <v>175</v>
      </c>
      <c r="C143" s="3" t="s">
        <v>35</v>
      </c>
      <c r="D143" s="4" t="str">
        <f t="shared" si="1"/>
        <v>Ms.</v>
      </c>
      <c r="E143" s="3" t="str">
        <f t="shared" si="4"/>
        <v>Ms. Kyra Kumar</v>
      </c>
      <c r="F143" s="3" t="str">
        <f>IFERROR(__xludf.DUMMYFUNCTION("SPLIT(B143,"" "")"),"Kyra")</f>
        <v>Kyra</v>
      </c>
      <c r="G143" s="3" t="str">
        <f>IFERROR(__xludf.DUMMYFUNCTION("""COMPUTED_VALUE"""),"Kumar")</f>
        <v>Kumar</v>
      </c>
      <c r="H143" s="3" t="s">
        <v>46</v>
      </c>
      <c r="I143" s="3">
        <v>2027.0</v>
      </c>
      <c r="J143" s="3">
        <f t="shared" si="2"/>
        <v>5000</v>
      </c>
      <c r="K143" s="3" t="s">
        <v>20</v>
      </c>
      <c r="L143" s="3">
        <v>0.0</v>
      </c>
      <c r="M143" s="3" t="s">
        <v>21</v>
      </c>
      <c r="N143" s="3">
        <v>26.0</v>
      </c>
      <c r="O143" s="3" t="s">
        <v>41</v>
      </c>
      <c r="P143" s="3" t="s">
        <v>38</v>
      </c>
      <c r="Q143" s="6">
        <f t="shared" si="3"/>
        <v>635000</v>
      </c>
    </row>
    <row r="144">
      <c r="A144" s="3">
        <v>64757.0</v>
      </c>
      <c r="B144" s="3" t="s">
        <v>176</v>
      </c>
      <c r="C144" s="3" t="s">
        <v>35</v>
      </c>
      <c r="D144" s="4" t="str">
        <f t="shared" si="1"/>
        <v>Ms.</v>
      </c>
      <c r="E144" s="3" t="str">
        <f t="shared" si="4"/>
        <v>Ms. Anvi Chopra</v>
      </c>
      <c r="F144" s="3" t="str">
        <f>IFERROR(__xludf.DUMMYFUNCTION("SPLIT(B144,"" "")"),"Anvi")</f>
        <v>Anvi</v>
      </c>
      <c r="G144" s="3" t="str">
        <f>IFERROR(__xludf.DUMMYFUNCTION("""COMPUTED_VALUE"""),"Chopra")</f>
        <v>Chopra</v>
      </c>
      <c r="H144" s="3" t="s">
        <v>25</v>
      </c>
      <c r="I144" s="3">
        <v>2027.0</v>
      </c>
      <c r="J144" s="3">
        <f t="shared" si="2"/>
        <v>10000</v>
      </c>
      <c r="K144" s="3" t="s">
        <v>20</v>
      </c>
      <c r="L144" s="10">
        <v>2080.0</v>
      </c>
      <c r="M144" s="3" t="s">
        <v>21</v>
      </c>
      <c r="N144" s="3">
        <v>60.0</v>
      </c>
      <c r="O144" s="3" t="s">
        <v>41</v>
      </c>
      <c r="P144" s="3" t="s">
        <v>78</v>
      </c>
      <c r="Q144" s="6">
        <f t="shared" si="3"/>
        <v>255000</v>
      </c>
    </row>
    <row r="145">
      <c r="A145" s="3">
        <v>64758.0</v>
      </c>
      <c r="B145" s="3" t="s">
        <v>177</v>
      </c>
      <c r="C145" s="3" t="s">
        <v>35</v>
      </c>
      <c r="D145" s="4" t="str">
        <f t="shared" si="1"/>
        <v>Ms.</v>
      </c>
      <c r="E145" s="3" t="str">
        <f t="shared" si="4"/>
        <v>Ms. Kyra Sinha</v>
      </c>
      <c r="F145" s="3" t="str">
        <f>IFERROR(__xludf.DUMMYFUNCTION("SPLIT(B145,"" "")"),"Kyra")</f>
        <v>Kyra</v>
      </c>
      <c r="G145" s="3" t="str">
        <f>IFERROR(__xludf.DUMMYFUNCTION("""COMPUTED_VALUE"""),"Sinha")</f>
        <v>Sinha</v>
      </c>
      <c r="H145" s="3" t="s">
        <v>33</v>
      </c>
      <c r="I145" s="3">
        <v>2024.0</v>
      </c>
      <c r="J145" s="3">
        <f t="shared" si="2"/>
        <v>10000</v>
      </c>
      <c r="K145" s="3" t="s">
        <v>20</v>
      </c>
      <c r="L145" s="3">
        <v>170.0</v>
      </c>
      <c r="M145" s="3" t="s">
        <v>21</v>
      </c>
      <c r="N145" s="3">
        <f>RANDBETWEEN(0,10)</f>
        <v>10</v>
      </c>
      <c r="O145" s="3" t="s">
        <v>22</v>
      </c>
      <c r="P145" s="3" t="s">
        <v>78</v>
      </c>
      <c r="Q145" s="6">
        <f t="shared" si="3"/>
        <v>255000</v>
      </c>
    </row>
    <row r="146">
      <c r="A146" s="3">
        <v>64759.0</v>
      </c>
      <c r="B146" s="3" t="s">
        <v>178</v>
      </c>
      <c r="C146" s="3" t="s">
        <v>18</v>
      </c>
      <c r="D146" s="4" t="str">
        <f t="shared" si="1"/>
        <v>Mr.</v>
      </c>
      <c r="E146" s="3" t="str">
        <f t="shared" si="4"/>
        <v>Mr. Reyansh Reddy</v>
      </c>
      <c r="F146" s="3" t="str">
        <f>IFERROR(__xludf.DUMMYFUNCTION("SPLIT(B146,"" "")"),"Reyansh")</f>
        <v>Reyansh</v>
      </c>
      <c r="G146" s="3" t="str">
        <f>IFERROR(__xludf.DUMMYFUNCTION("""COMPUTED_VALUE"""),"Reddy")</f>
        <v>Reddy</v>
      </c>
      <c r="H146" s="3" t="s">
        <v>33</v>
      </c>
      <c r="I146" s="3">
        <v>2025.0</v>
      </c>
      <c r="J146" s="3">
        <f t="shared" si="2"/>
        <v>10000</v>
      </c>
      <c r="K146" s="3" t="s">
        <v>26</v>
      </c>
      <c r="L146" s="3">
        <v>9339.0</v>
      </c>
      <c r="M146" s="3" t="s">
        <v>21</v>
      </c>
      <c r="N146" s="3">
        <v>6.0</v>
      </c>
      <c r="O146" s="3" t="s">
        <v>41</v>
      </c>
      <c r="P146" s="3" t="s">
        <v>23</v>
      </c>
      <c r="Q146" s="6">
        <f t="shared" si="3"/>
        <v>430000</v>
      </c>
    </row>
    <row r="147">
      <c r="A147" s="3">
        <v>64760.0</v>
      </c>
      <c r="B147" s="3" t="s">
        <v>179</v>
      </c>
      <c r="C147" s="3" t="s">
        <v>35</v>
      </c>
      <c r="D147" s="4" t="str">
        <f t="shared" si="1"/>
        <v>Ms.</v>
      </c>
      <c r="E147" s="3" t="str">
        <f t="shared" si="4"/>
        <v>Ms. Avni Nair</v>
      </c>
      <c r="F147" s="3" t="str">
        <f>IFERROR(__xludf.DUMMYFUNCTION("SPLIT(B147,"" "")"),"Avni")</f>
        <v>Avni</v>
      </c>
      <c r="G147" s="3" t="str">
        <f>IFERROR(__xludf.DUMMYFUNCTION("""COMPUTED_VALUE"""),"Nair")</f>
        <v>Nair</v>
      </c>
      <c r="H147" s="3" t="s">
        <v>19</v>
      </c>
      <c r="I147" s="3">
        <v>2025.0</v>
      </c>
      <c r="J147" s="3">
        <f t="shared" si="2"/>
        <v>5000</v>
      </c>
      <c r="K147" s="3" t="s">
        <v>20</v>
      </c>
      <c r="L147" s="3">
        <v>0.0</v>
      </c>
      <c r="M147" s="3" t="s">
        <v>21</v>
      </c>
      <c r="N147" s="3">
        <v>57.0</v>
      </c>
      <c r="O147" s="3" t="s">
        <v>41</v>
      </c>
      <c r="P147" s="3" t="s">
        <v>23</v>
      </c>
      <c r="Q147" s="6">
        <f t="shared" si="3"/>
        <v>430000</v>
      </c>
    </row>
    <row r="148">
      <c r="A148" s="3">
        <v>64761.0</v>
      </c>
      <c r="B148" s="3" t="s">
        <v>180</v>
      </c>
      <c r="C148" s="3" t="s">
        <v>35</v>
      </c>
      <c r="D148" s="4" t="str">
        <f t="shared" si="1"/>
        <v>Ms.</v>
      </c>
      <c r="E148" s="3" t="str">
        <f t="shared" si="4"/>
        <v>Ms. Lavanya Verma</v>
      </c>
      <c r="F148" s="3" t="str">
        <f>IFERROR(__xludf.DUMMYFUNCTION("SPLIT(B148,"" "")"),"Lavanya")</f>
        <v>Lavanya</v>
      </c>
      <c r="G148" s="3" t="str">
        <f>IFERROR(__xludf.DUMMYFUNCTION("""COMPUTED_VALUE"""),"Verma")</f>
        <v>Verma</v>
      </c>
      <c r="H148" s="3" t="s">
        <v>33</v>
      </c>
      <c r="I148" s="3">
        <v>2027.0</v>
      </c>
      <c r="J148" s="3">
        <f t="shared" si="2"/>
        <v>10000</v>
      </c>
      <c r="K148" s="3" t="s">
        <v>20</v>
      </c>
      <c r="L148" s="3">
        <v>0.0</v>
      </c>
      <c r="M148" s="3" t="s">
        <v>21</v>
      </c>
      <c r="N148" s="3">
        <v>27.0</v>
      </c>
      <c r="O148" s="3" t="s">
        <v>41</v>
      </c>
      <c r="P148" s="3" t="s">
        <v>31</v>
      </c>
      <c r="Q148" s="6">
        <f t="shared" si="3"/>
        <v>910000</v>
      </c>
    </row>
    <row r="149">
      <c r="A149" s="3">
        <v>64762.0</v>
      </c>
      <c r="B149" s="3" t="s">
        <v>181</v>
      </c>
      <c r="C149" s="3" t="s">
        <v>35</v>
      </c>
      <c r="D149" s="4" t="str">
        <f t="shared" si="1"/>
        <v>Ms.</v>
      </c>
      <c r="E149" s="3" t="str">
        <f t="shared" si="4"/>
        <v>Ms. Myra Kulkarni</v>
      </c>
      <c r="F149" s="3" t="str">
        <f>IFERROR(__xludf.DUMMYFUNCTION("SPLIT(B149,"" "")"),"Myra")</f>
        <v>Myra</v>
      </c>
      <c r="G149" s="3" t="str">
        <f>IFERROR(__xludf.DUMMYFUNCTION("""COMPUTED_VALUE"""),"Kulkarni")</f>
        <v>Kulkarni</v>
      </c>
      <c r="H149" s="3" t="s">
        <v>33</v>
      </c>
      <c r="I149" s="3">
        <v>2022.0</v>
      </c>
      <c r="J149" s="3">
        <f t="shared" si="2"/>
        <v>10000</v>
      </c>
      <c r="K149" s="3" t="s">
        <v>20</v>
      </c>
      <c r="L149" s="10">
        <v>6648.0</v>
      </c>
      <c r="M149" s="3" t="s">
        <v>21</v>
      </c>
      <c r="N149" s="3">
        <v>36.0</v>
      </c>
      <c r="O149" s="3" t="s">
        <v>22</v>
      </c>
      <c r="P149" s="3" t="s">
        <v>31</v>
      </c>
      <c r="Q149" s="6">
        <f t="shared" si="3"/>
        <v>910000</v>
      </c>
    </row>
    <row r="150">
      <c r="A150" s="3">
        <v>64763.0</v>
      </c>
      <c r="B150" s="3" t="s">
        <v>182</v>
      </c>
      <c r="C150" s="3" t="s">
        <v>35</v>
      </c>
      <c r="D150" s="4" t="str">
        <f t="shared" si="1"/>
        <v>Ms.</v>
      </c>
      <c r="E150" s="3" t="str">
        <f t="shared" si="4"/>
        <v>Ms. Mishka Pillai</v>
      </c>
      <c r="F150" s="3" t="str">
        <f>IFERROR(__xludf.DUMMYFUNCTION("SPLIT(B150,"" "")"),"Mishka")</f>
        <v>Mishka</v>
      </c>
      <c r="G150" s="3" t="str">
        <f>IFERROR(__xludf.DUMMYFUNCTION("""COMPUTED_VALUE"""),"Pillai")</f>
        <v>Pillai</v>
      </c>
      <c r="H150" s="3" t="s">
        <v>25</v>
      </c>
      <c r="I150" s="3">
        <v>2026.0</v>
      </c>
      <c r="J150" s="3">
        <f t="shared" si="2"/>
        <v>10000</v>
      </c>
      <c r="K150" s="3" t="s">
        <v>26</v>
      </c>
      <c r="L150" s="3">
        <v>12585.0</v>
      </c>
      <c r="M150" s="3" t="s">
        <v>30</v>
      </c>
      <c r="N150" s="3">
        <f>RANDBETWEEN(0,10)</f>
        <v>5</v>
      </c>
      <c r="O150" s="3" t="s">
        <v>41</v>
      </c>
      <c r="P150" s="3" t="s">
        <v>38</v>
      </c>
      <c r="Q150" s="6">
        <f t="shared" si="3"/>
        <v>635000</v>
      </c>
    </row>
    <row r="151">
      <c r="A151" s="3">
        <v>64764.0</v>
      </c>
      <c r="B151" s="3" t="s">
        <v>183</v>
      </c>
      <c r="C151" s="3" t="s">
        <v>18</v>
      </c>
      <c r="D151" s="4" t="str">
        <f t="shared" si="1"/>
        <v>Mr.</v>
      </c>
      <c r="E151" s="3" t="str">
        <f t="shared" si="4"/>
        <v>Mr. Parth Rao</v>
      </c>
      <c r="F151" s="3" t="str">
        <f>IFERROR(__xludf.DUMMYFUNCTION("SPLIT(B151,"" "")"),"Parth")</f>
        <v>Parth</v>
      </c>
      <c r="G151" s="3" t="str">
        <f>IFERROR(__xludf.DUMMYFUNCTION("""COMPUTED_VALUE"""),"Rao")</f>
        <v>Rao</v>
      </c>
      <c r="H151" s="3" t="s">
        <v>33</v>
      </c>
      <c r="I151" s="3">
        <v>2024.0</v>
      </c>
      <c r="J151" s="3">
        <f t="shared" si="2"/>
        <v>10000</v>
      </c>
      <c r="K151" s="3" t="s">
        <v>20</v>
      </c>
      <c r="L151" s="3">
        <v>75.0</v>
      </c>
      <c r="M151" s="3" t="s">
        <v>21</v>
      </c>
      <c r="N151" s="3">
        <v>61.0</v>
      </c>
      <c r="O151" s="3" t="s">
        <v>22</v>
      </c>
      <c r="P151" s="3" t="s">
        <v>31</v>
      </c>
      <c r="Q151" s="6">
        <f t="shared" si="3"/>
        <v>910000</v>
      </c>
    </row>
    <row r="152">
      <c r="A152" s="3">
        <v>64765.0</v>
      </c>
      <c r="B152" s="3" t="s">
        <v>184</v>
      </c>
      <c r="C152" s="3" t="s">
        <v>35</v>
      </c>
      <c r="D152" s="4" t="str">
        <f t="shared" si="1"/>
        <v>Ms.</v>
      </c>
      <c r="E152" s="3" t="str">
        <f t="shared" si="4"/>
        <v>Ms. Inaaya Reddy</v>
      </c>
      <c r="F152" s="3" t="str">
        <f>IFERROR(__xludf.DUMMYFUNCTION("SPLIT(B152,"" "")"),"Inaaya")</f>
        <v>Inaaya</v>
      </c>
      <c r="G152" s="3" t="str">
        <f>IFERROR(__xludf.DUMMYFUNCTION("""COMPUTED_VALUE"""),"Reddy")</f>
        <v>Reddy</v>
      </c>
      <c r="H152" s="3" t="s">
        <v>19</v>
      </c>
      <c r="I152" s="3">
        <v>2016.0</v>
      </c>
      <c r="J152" s="3">
        <f t="shared" si="2"/>
        <v>5000</v>
      </c>
      <c r="K152" s="3" t="s">
        <v>20</v>
      </c>
      <c r="L152" s="3">
        <v>0.0</v>
      </c>
      <c r="M152" s="3" t="s">
        <v>21</v>
      </c>
      <c r="N152" s="3">
        <v>18.0</v>
      </c>
      <c r="O152" s="3" t="s">
        <v>41</v>
      </c>
      <c r="P152" s="3" t="s">
        <v>28</v>
      </c>
      <c r="Q152" s="6">
        <f t="shared" si="3"/>
        <v>400000</v>
      </c>
    </row>
    <row r="153">
      <c r="A153" s="3">
        <v>64766.0</v>
      </c>
      <c r="B153" s="3" t="s">
        <v>185</v>
      </c>
      <c r="C153" s="3" t="s">
        <v>35</v>
      </c>
      <c r="D153" s="4" t="str">
        <f t="shared" si="1"/>
        <v>Ms.</v>
      </c>
      <c r="E153" s="3" t="str">
        <f t="shared" si="4"/>
        <v>Ms. Vanya Gupta</v>
      </c>
      <c r="F153" s="3" t="str">
        <f>IFERROR(__xludf.DUMMYFUNCTION("SPLIT(B153,"" "")"),"Vanya")</f>
        <v>Vanya</v>
      </c>
      <c r="G153" s="3" t="str">
        <f>IFERROR(__xludf.DUMMYFUNCTION("""COMPUTED_VALUE"""),"Gupta")</f>
        <v>Gupta</v>
      </c>
      <c r="H153" s="3" t="s">
        <v>33</v>
      </c>
      <c r="I153" s="3">
        <v>2023.0</v>
      </c>
      <c r="J153" s="3">
        <f t="shared" si="2"/>
        <v>10000</v>
      </c>
      <c r="K153" s="3" t="s">
        <v>20</v>
      </c>
      <c r="L153" s="10">
        <v>1558.0</v>
      </c>
      <c r="M153" s="3" t="s">
        <v>21</v>
      </c>
      <c r="N153" s="3">
        <v>23.0</v>
      </c>
      <c r="O153" s="3" t="s">
        <v>22</v>
      </c>
      <c r="P153" s="3" t="s">
        <v>31</v>
      </c>
      <c r="Q153" s="6">
        <f t="shared" si="3"/>
        <v>910000</v>
      </c>
    </row>
    <row r="154">
      <c r="A154" s="3">
        <v>64767.0</v>
      </c>
      <c r="B154" s="3" t="s">
        <v>51</v>
      </c>
      <c r="C154" s="3" t="s">
        <v>18</v>
      </c>
      <c r="D154" s="4" t="str">
        <f t="shared" si="1"/>
        <v>Mr.</v>
      </c>
      <c r="E154" s="3" t="str">
        <f t="shared" si="4"/>
        <v>Mr. Laksh Dutta</v>
      </c>
      <c r="F154" s="3" t="str">
        <f>IFERROR(__xludf.DUMMYFUNCTION("SPLIT(B154,"" "")"),"Laksh")</f>
        <v>Laksh</v>
      </c>
      <c r="G154" s="3" t="str">
        <f>IFERROR(__xludf.DUMMYFUNCTION("""COMPUTED_VALUE"""),"Dutta")</f>
        <v>Dutta</v>
      </c>
      <c r="H154" s="3" t="s">
        <v>19</v>
      </c>
      <c r="I154" s="3">
        <v>2027.0</v>
      </c>
      <c r="J154" s="3">
        <f t="shared" si="2"/>
        <v>5000</v>
      </c>
      <c r="K154" s="3" t="s">
        <v>20</v>
      </c>
      <c r="L154" s="3">
        <v>0.0</v>
      </c>
      <c r="M154" s="3" t="s">
        <v>21</v>
      </c>
      <c r="N154" s="3">
        <v>10.0</v>
      </c>
      <c r="O154" s="3" t="s">
        <v>41</v>
      </c>
      <c r="P154" s="3" t="s">
        <v>23</v>
      </c>
      <c r="Q154" s="6">
        <f t="shared" si="3"/>
        <v>430000</v>
      </c>
    </row>
    <row r="155">
      <c r="A155" s="3">
        <v>64768.0</v>
      </c>
      <c r="B155" s="3" t="s">
        <v>186</v>
      </c>
      <c r="C155" s="3" t="s">
        <v>35</v>
      </c>
      <c r="D155" s="4" t="str">
        <f t="shared" si="1"/>
        <v>Ms.</v>
      </c>
      <c r="E155" s="3" t="str">
        <f t="shared" si="4"/>
        <v>Ms. Lavanya Reddy</v>
      </c>
      <c r="F155" s="3" t="str">
        <f>IFERROR(__xludf.DUMMYFUNCTION("SPLIT(B155,"" "")"),"Lavanya")</f>
        <v>Lavanya</v>
      </c>
      <c r="G155" s="3" t="str">
        <f>IFERROR(__xludf.DUMMYFUNCTION("""COMPUTED_VALUE"""),"Reddy")</f>
        <v>Reddy</v>
      </c>
      <c r="H155" s="3" t="s">
        <v>33</v>
      </c>
      <c r="I155" s="3">
        <v>2022.0</v>
      </c>
      <c r="J155" s="3">
        <f t="shared" si="2"/>
        <v>10000</v>
      </c>
      <c r="K155" s="3" t="s">
        <v>20</v>
      </c>
      <c r="L155" s="3">
        <v>0.0</v>
      </c>
      <c r="M155" s="3" t="s">
        <v>21</v>
      </c>
      <c r="N155" s="3">
        <v>24.0</v>
      </c>
      <c r="O155" s="3" t="s">
        <v>41</v>
      </c>
      <c r="P155" s="3" t="s">
        <v>31</v>
      </c>
      <c r="Q155" s="6">
        <f t="shared" si="3"/>
        <v>910000</v>
      </c>
    </row>
    <row r="156">
      <c r="A156" s="3">
        <v>64769.0</v>
      </c>
      <c r="B156" s="3" t="s">
        <v>187</v>
      </c>
      <c r="C156" s="3" t="s">
        <v>18</v>
      </c>
      <c r="D156" s="4" t="str">
        <f t="shared" si="1"/>
        <v>Mr.</v>
      </c>
      <c r="E156" s="3" t="str">
        <f t="shared" si="4"/>
        <v>Mr. Shivansh Bhat</v>
      </c>
      <c r="F156" s="3" t="str">
        <f>IFERROR(__xludf.DUMMYFUNCTION("SPLIT(B156,"" "")"),"Shivansh")</f>
        <v>Shivansh</v>
      </c>
      <c r="G156" s="3" t="str">
        <f>IFERROR(__xludf.DUMMYFUNCTION("""COMPUTED_VALUE"""),"Bhat")</f>
        <v>Bhat</v>
      </c>
      <c r="H156" s="3" t="s">
        <v>33</v>
      </c>
      <c r="I156" s="3">
        <v>2025.0</v>
      </c>
      <c r="J156" s="3">
        <f t="shared" si="2"/>
        <v>10000</v>
      </c>
      <c r="K156" s="3" t="s">
        <v>20</v>
      </c>
      <c r="L156" s="3">
        <v>0.0</v>
      </c>
      <c r="M156" s="3" t="s">
        <v>21</v>
      </c>
      <c r="N156" s="3">
        <v>46.0</v>
      </c>
      <c r="O156" s="3" t="s">
        <v>41</v>
      </c>
      <c r="P156" s="3" t="s">
        <v>31</v>
      </c>
      <c r="Q156" s="6">
        <f t="shared" si="3"/>
        <v>910000</v>
      </c>
    </row>
    <row r="157">
      <c r="A157" s="3">
        <v>64770.0</v>
      </c>
      <c r="B157" s="3" t="s">
        <v>188</v>
      </c>
      <c r="C157" s="3" t="s">
        <v>18</v>
      </c>
      <c r="D157" s="4" t="str">
        <f t="shared" si="1"/>
        <v>Mr.</v>
      </c>
      <c r="E157" s="3" t="str">
        <f t="shared" si="4"/>
        <v>Mr. Shivansh Mishra</v>
      </c>
      <c r="F157" s="3" t="str">
        <f>IFERROR(__xludf.DUMMYFUNCTION("SPLIT(B157,"" "")"),"Shivansh")</f>
        <v>Shivansh</v>
      </c>
      <c r="G157" s="3" t="str">
        <f>IFERROR(__xludf.DUMMYFUNCTION("""COMPUTED_VALUE"""),"Mishra")</f>
        <v>Mishra</v>
      </c>
      <c r="H157" s="3" t="s">
        <v>19</v>
      </c>
      <c r="I157" s="3">
        <v>2024.0</v>
      </c>
      <c r="J157" s="3">
        <f t="shared" si="2"/>
        <v>5000</v>
      </c>
      <c r="K157" s="3" t="s">
        <v>26</v>
      </c>
      <c r="L157" s="10">
        <v>28860.0</v>
      </c>
      <c r="M157" s="3" t="s">
        <v>30</v>
      </c>
      <c r="N157" s="3">
        <v>79.0</v>
      </c>
      <c r="O157" s="3" t="s">
        <v>22</v>
      </c>
      <c r="P157" s="3" t="s">
        <v>38</v>
      </c>
      <c r="Q157" s="6">
        <f t="shared" si="3"/>
        <v>635000</v>
      </c>
    </row>
    <row r="158">
      <c r="A158" s="3">
        <v>64771.0</v>
      </c>
      <c r="B158" s="3" t="s">
        <v>189</v>
      </c>
      <c r="C158" s="3" t="s">
        <v>35</v>
      </c>
      <c r="D158" s="4" t="str">
        <f t="shared" si="1"/>
        <v>Ms.</v>
      </c>
      <c r="E158" s="3" t="str">
        <f t="shared" si="4"/>
        <v>Ms. Navya Iyer</v>
      </c>
      <c r="F158" s="3" t="str">
        <f>IFERROR(__xludf.DUMMYFUNCTION("SPLIT(B158,"" "")"),"Navya")</f>
        <v>Navya</v>
      </c>
      <c r="G158" s="3" t="str">
        <f>IFERROR(__xludf.DUMMYFUNCTION("""COMPUTED_VALUE"""),"Iyer")</f>
        <v>Iyer</v>
      </c>
      <c r="H158" s="3" t="s">
        <v>19</v>
      </c>
      <c r="I158" s="3">
        <v>2026.0</v>
      </c>
      <c r="J158" s="3">
        <f t="shared" si="2"/>
        <v>5000</v>
      </c>
      <c r="K158" s="3" t="s">
        <v>20</v>
      </c>
      <c r="L158" s="3">
        <v>0.0</v>
      </c>
      <c r="M158" s="3" t="s">
        <v>21</v>
      </c>
      <c r="N158" s="3">
        <v>61.0</v>
      </c>
      <c r="O158" s="3" t="s">
        <v>41</v>
      </c>
      <c r="P158" s="3" t="s">
        <v>78</v>
      </c>
      <c r="Q158" s="6">
        <f t="shared" si="3"/>
        <v>255000</v>
      </c>
    </row>
    <row r="159">
      <c r="A159" s="3">
        <v>64772.0</v>
      </c>
      <c r="B159" s="3" t="s">
        <v>190</v>
      </c>
      <c r="C159" s="3" t="s">
        <v>18</v>
      </c>
      <c r="D159" s="4" t="str">
        <f t="shared" si="1"/>
        <v>Mr.</v>
      </c>
      <c r="E159" s="3" t="str">
        <f t="shared" si="4"/>
        <v>Mr. Ishaan Singh</v>
      </c>
      <c r="F159" s="3" t="str">
        <f>IFERROR(__xludf.DUMMYFUNCTION("SPLIT(B159,"" "")"),"Ishaan")</f>
        <v>Ishaan</v>
      </c>
      <c r="G159" s="3" t="str">
        <f>IFERROR(__xludf.DUMMYFUNCTION("""COMPUTED_VALUE"""),"Singh")</f>
        <v>Singh</v>
      </c>
      <c r="H159" s="3" t="s">
        <v>25</v>
      </c>
      <c r="I159" s="3">
        <v>2025.0</v>
      </c>
      <c r="J159" s="3">
        <f t="shared" si="2"/>
        <v>10000</v>
      </c>
      <c r="K159" s="3" t="s">
        <v>26</v>
      </c>
      <c r="L159" s="10">
        <v>1570.0</v>
      </c>
      <c r="M159" s="3" t="s">
        <v>30</v>
      </c>
      <c r="N159" s="3">
        <f>RANDBETWEEN(0,10)</f>
        <v>9</v>
      </c>
      <c r="O159" s="3" t="s">
        <v>41</v>
      </c>
      <c r="P159" s="3" t="s">
        <v>28</v>
      </c>
      <c r="Q159" s="6">
        <f t="shared" si="3"/>
        <v>400000</v>
      </c>
    </row>
    <row r="160">
      <c r="A160" s="3">
        <v>64774.0</v>
      </c>
      <c r="B160" s="3" t="s">
        <v>191</v>
      </c>
      <c r="C160" s="3" t="s">
        <v>18</v>
      </c>
      <c r="D160" s="4" t="str">
        <f t="shared" si="1"/>
        <v>Mr.</v>
      </c>
      <c r="E160" s="3" t="str">
        <f t="shared" si="4"/>
        <v>Mr. Krishna Desai</v>
      </c>
      <c r="F160" s="3" t="str">
        <f>IFERROR(__xludf.DUMMYFUNCTION("SPLIT(B160,"" "")"),"Krishna")</f>
        <v>Krishna</v>
      </c>
      <c r="G160" s="3" t="str">
        <f>IFERROR(__xludf.DUMMYFUNCTION("""COMPUTED_VALUE"""),"Desai")</f>
        <v>Desai</v>
      </c>
      <c r="H160" s="3" t="s">
        <v>46</v>
      </c>
      <c r="I160" s="3">
        <v>2022.0</v>
      </c>
      <c r="J160" s="3">
        <f t="shared" si="2"/>
        <v>5000</v>
      </c>
      <c r="K160" s="3" t="s">
        <v>20</v>
      </c>
      <c r="L160" s="10">
        <v>11835.0</v>
      </c>
      <c r="M160" s="3" t="s">
        <v>30</v>
      </c>
      <c r="N160" s="3">
        <v>50.0</v>
      </c>
      <c r="O160" s="3" t="s">
        <v>22</v>
      </c>
      <c r="P160" s="3" t="s">
        <v>28</v>
      </c>
      <c r="Q160" s="6">
        <f t="shared" si="3"/>
        <v>400000</v>
      </c>
    </row>
    <row r="161">
      <c r="A161" s="3">
        <v>64775.0</v>
      </c>
      <c r="B161" s="3" t="s">
        <v>192</v>
      </c>
      <c r="C161" s="3" t="s">
        <v>18</v>
      </c>
      <c r="D161" s="4" t="str">
        <f t="shared" si="1"/>
        <v>Mr.</v>
      </c>
      <c r="E161" s="3" t="str">
        <f t="shared" si="4"/>
        <v>Mr. Reyansh Jain</v>
      </c>
      <c r="F161" s="3" t="str">
        <f>IFERROR(__xludf.DUMMYFUNCTION("SPLIT(B161,"" "")"),"Reyansh")</f>
        <v>Reyansh</v>
      </c>
      <c r="G161" s="3" t="str">
        <f>IFERROR(__xludf.DUMMYFUNCTION("""COMPUTED_VALUE"""),"Jain")</f>
        <v>Jain</v>
      </c>
      <c r="H161" s="3" t="s">
        <v>25</v>
      </c>
      <c r="I161" s="3">
        <v>2025.0</v>
      </c>
      <c r="J161" s="3">
        <f t="shared" si="2"/>
        <v>10000</v>
      </c>
      <c r="K161" s="3" t="s">
        <v>26</v>
      </c>
      <c r="L161" s="3">
        <v>5461.0</v>
      </c>
      <c r="M161" s="3" t="s">
        <v>21</v>
      </c>
      <c r="N161" s="3">
        <f t="shared" ref="N161:N162" si="13">RANDBETWEEN(0,10)</f>
        <v>6</v>
      </c>
      <c r="O161" s="3" t="s">
        <v>41</v>
      </c>
      <c r="P161" s="3" t="s">
        <v>23</v>
      </c>
      <c r="Q161" s="6">
        <f t="shared" si="3"/>
        <v>430000</v>
      </c>
    </row>
    <row r="162">
      <c r="A162" s="3">
        <v>64776.0</v>
      </c>
      <c r="B162" s="3" t="s">
        <v>193</v>
      </c>
      <c r="C162" s="3" t="s">
        <v>35</v>
      </c>
      <c r="D162" s="4" t="str">
        <f t="shared" si="1"/>
        <v>Ms.</v>
      </c>
      <c r="E162" s="3" t="str">
        <f t="shared" si="4"/>
        <v>Ms. Diya Desai</v>
      </c>
      <c r="F162" s="3" t="str">
        <f>IFERROR(__xludf.DUMMYFUNCTION("SPLIT(B162,"" "")"),"Diya")</f>
        <v>Diya</v>
      </c>
      <c r="G162" s="3" t="str">
        <f>IFERROR(__xludf.DUMMYFUNCTION("""COMPUTED_VALUE"""),"Desai")</f>
        <v>Desai</v>
      </c>
      <c r="H162" s="3" t="s">
        <v>25</v>
      </c>
      <c r="I162" s="3">
        <v>2024.0</v>
      </c>
      <c r="J162" s="3">
        <f t="shared" si="2"/>
        <v>10000</v>
      </c>
      <c r="K162" s="3" t="s">
        <v>20</v>
      </c>
      <c r="L162" s="3">
        <v>0.0</v>
      </c>
      <c r="M162" s="3" t="s">
        <v>30</v>
      </c>
      <c r="N162" s="3">
        <f t="shared" si="13"/>
        <v>8</v>
      </c>
      <c r="O162" s="3" t="s">
        <v>41</v>
      </c>
      <c r="P162" s="3" t="s">
        <v>31</v>
      </c>
      <c r="Q162" s="6">
        <f t="shared" si="3"/>
        <v>910000</v>
      </c>
    </row>
    <row r="163">
      <c r="A163" s="3">
        <v>64777.0</v>
      </c>
      <c r="B163" s="3" t="s">
        <v>194</v>
      </c>
      <c r="C163" s="3" t="s">
        <v>35</v>
      </c>
      <c r="D163" s="4" t="str">
        <f t="shared" si="1"/>
        <v>Ms.</v>
      </c>
      <c r="E163" s="3" t="str">
        <f t="shared" si="4"/>
        <v>Ms. Vanya Sinha</v>
      </c>
      <c r="F163" s="3" t="str">
        <f>IFERROR(__xludf.DUMMYFUNCTION("SPLIT(B163,"" "")"),"Vanya")</f>
        <v>Vanya</v>
      </c>
      <c r="G163" s="3" t="str">
        <f>IFERROR(__xludf.DUMMYFUNCTION("""COMPUTED_VALUE"""),"Sinha")</f>
        <v>Sinha</v>
      </c>
      <c r="H163" s="3" t="s">
        <v>46</v>
      </c>
      <c r="I163" s="3">
        <v>2025.0</v>
      </c>
      <c r="J163" s="3">
        <f t="shared" si="2"/>
        <v>5000</v>
      </c>
      <c r="K163" s="3" t="s">
        <v>26</v>
      </c>
      <c r="L163" s="3">
        <v>4246.0</v>
      </c>
      <c r="M163" s="3" t="s">
        <v>21</v>
      </c>
      <c r="N163" s="3">
        <v>61.0</v>
      </c>
      <c r="O163" s="3" t="s">
        <v>41</v>
      </c>
      <c r="P163" s="3" t="s">
        <v>23</v>
      </c>
      <c r="Q163" s="6">
        <f t="shared" si="3"/>
        <v>430000</v>
      </c>
    </row>
    <row r="164">
      <c r="A164" s="3">
        <v>64778.0</v>
      </c>
      <c r="B164" s="3" t="s">
        <v>195</v>
      </c>
      <c r="C164" s="3" t="s">
        <v>35</v>
      </c>
      <c r="D164" s="4" t="str">
        <f t="shared" si="1"/>
        <v>Ms.</v>
      </c>
      <c r="E164" s="3" t="str">
        <f t="shared" si="4"/>
        <v>Ms. Eva Chopra</v>
      </c>
      <c r="F164" s="3" t="str">
        <f>IFERROR(__xludf.DUMMYFUNCTION("SPLIT(B164,"" "")"),"Eva")</f>
        <v>Eva</v>
      </c>
      <c r="G164" s="3" t="str">
        <f>IFERROR(__xludf.DUMMYFUNCTION("""COMPUTED_VALUE"""),"Chopra")</f>
        <v>Chopra</v>
      </c>
      <c r="H164" s="3" t="s">
        <v>25</v>
      </c>
      <c r="I164" s="3">
        <v>2025.0</v>
      </c>
      <c r="J164" s="3">
        <f t="shared" si="2"/>
        <v>10000</v>
      </c>
      <c r="K164" s="3" t="s">
        <v>26</v>
      </c>
      <c r="L164" s="3">
        <v>9414.0</v>
      </c>
      <c r="M164" s="3" t="s">
        <v>21</v>
      </c>
      <c r="N164" s="3">
        <v>57.0</v>
      </c>
      <c r="O164" s="3" t="s">
        <v>41</v>
      </c>
      <c r="P164" s="3" t="s">
        <v>31</v>
      </c>
      <c r="Q164" s="6">
        <f t="shared" si="3"/>
        <v>910000</v>
      </c>
    </row>
    <row r="165">
      <c r="A165" s="3">
        <v>64779.0</v>
      </c>
      <c r="B165" s="3" t="s">
        <v>196</v>
      </c>
      <c r="C165" s="3" t="s">
        <v>35</v>
      </c>
      <c r="D165" s="4" t="str">
        <f t="shared" si="1"/>
        <v>Ms.</v>
      </c>
      <c r="E165" s="3" t="str">
        <f t="shared" si="4"/>
        <v>Ms. Aaradhya Pillai</v>
      </c>
      <c r="F165" s="3" t="str">
        <f>IFERROR(__xludf.DUMMYFUNCTION("SPLIT(B165,"" "")"),"Aaradhya")</f>
        <v>Aaradhya</v>
      </c>
      <c r="G165" s="3" t="str">
        <f>IFERROR(__xludf.DUMMYFUNCTION("""COMPUTED_VALUE"""),"Pillai")</f>
        <v>Pillai</v>
      </c>
      <c r="H165" s="3" t="s">
        <v>46</v>
      </c>
      <c r="I165" s="3">
        <v>2018.0</v>
      </c>
      <c r="J165" s="3">
        <f t="shared" si="2"/>
        <v>5000</v>
      </c>
      <c r="K165" s="3" t="s">
        <v>26</v>
      </c>
      <c r="L165" s="3">
        <v>5276.0</v>
      </c>
      <c r="M165" s="3" t="s">
        <v>21</v>
      </c>
      <c r="N165" s="3">
        <v>57.0</v>
      </c>
      <c r="O165" s="3" t="s">
        <v>41</v>
      </c>
      <c r="P165" s="3" t="s">
        <v>31</v>
      </c>
      <c r="Q165" s="6">
        <f t="shared" si="3"/>
        <v>910000</v>
      </c>
    </row>
    <row r="166">
      <c r="A166" s="3">
        <v>64780.0</v>
      </c>
      <c r="B166" s="3" t="s">
        <v>197</v>
      </c>
      <c r="C166" s="3" t="s">
        <v>35</v>
      </c>
      <c r="D166" s="4" t="str">
        <f t="shared" si="1"/>
        <v>Ms.</v>
      </c>
      <c r="E166" s="3" t="str">
        <f t="shared" si="4"/>
        <v>Ms. Riddhi Gupta</v>
      </c>
      <c r="F166" s="3" t="str">
        <f>IFERROR(__xludf.DUMMYFUNCTION("SPLIT(B166,"" "")"),"Riddhi")</f>
        <v>Riddhi</v>
      </c>
      <c r="G166" s="3" t="str">
        <f>IFERROR(__xludf.DUMMYFUNCTION("""COMPUTED_VALUE"""),"Gupta")</f>
        <v>Gupta</v>
      </c>
      <c r="H166" s="3" t="s">
        <v>33</v>
      </c>
      <c r="I166" s="3">
        <v>2024.0</v>
      </c>
      <c r="J166" s="3">
        <f t="shared" si="2"/>
        <v>10000</v>
      </c>
      <c r="K166" s="3" t="s">
        <v>20</v>
      </c>
      <c r="L166" s="3">
        <v>0.0</v>
      </c>
      <c r="M166" s="3" t="s">
        <v>21</v>
      </c>
      <c r="N166" s="3">
        <v>71.0</v>
      </c>
      <c r="O166" s="3" t="s">
        <v>41</v>
      </c>
      <c r="P166" s="3" t="s">
        <v>31</v>
      </c>
      <c r="Q166" s="6">
        <f t="shared" si="3"/>
        <v>910000</v>
      </c>
    </row>
    <row r="167">
      <c r="A167" s="3">
        <v>64781.0</v>
      </c>
      <c r="B167" s="3" t="s">
        <v>95</v>
      </c>
      <c r="C167" s="3" t="s">
        <v>35</v>
      </c>
      <c r="D167" s="4" t="str">
        <f t="shared" si="1"/>
        <v>Ms.</v>
      </c>
      <c r="E167" s="3" t="str">
        <f t="shared" si="4"/>
        <v>Ms. Gauri Patel</v>
      </c>
      <c r="F167" s="3" t="str">
        <f>IFERROR(__xludf.DUMMYFUNCTION("SPLIT(B167,"" "")"),"Gauri")</f>
        <v>Gauri</v>
      </c>
      <c r="G167" s="3" t="str">
        <f>IFERROR(__xludf.DUMMYFUNCTION("""COMPUTED_VALUE"""),"Patel")</f>
        <v>Patel</v>
      </c>
      <c r="H167" s="3" t="s">
        <v>25</v>
      </c>
      <c r="I167" s="3">
        <v>2022.0</v>
      </c>
      <c r="J167" s="3">
        <f t="shared" si="2"/>
        <v>10000</v>
      </c>
      <c r="K167" s="3" t="s">
        <v>20</v>
      </c>
      <c r="L167" s="3">
        <v>0.0</v>
      </c>
      <c r="M167" s="3" t="s">
        <v>21</v>
      </c>
      <c r="N167" s="3">
        <v>66.0</v>
      </c>
      <c r="O167" s="3" t="s">
        <v>41</v>
      </c>
      <c r="P167" s="3" t="s">
        <v>28</v>
      </c>
      <c r="Q167" s="6">
        <f t="shared" si="3"/>
        <v>400000</v>
      </c>
    </row>
    <row r="168">
      <c r="A168" s="3">
        <v>64782.0</v>
      </c>
      <c r="B168" s="3" t="s">
        <v>198</v>
      </c>
      <c r="C168" s="3" t="s">
        <v>18</v>
      </c>
      <c r="D168" s="4" t="str">
        <f t="shared" si="1"/>
        <v>Mr.</v>
      </c>
      <c r="E168" s="3" t="str">
        <f t="shared" si="4"/>
        <v>Mr. Raghav Gupta</v>
      </c>
      <c r="F168" s="3" t="str">
        <f>IFERROR(__xludf.DUMMYFUNCTION("SPLIT(B168,"" "")"),"Raghav")</f>
        <v>Raghav</v>
      </c>
      <c r="G168" s="3" t="str">
        <f>IFERROR(__xludf.DUMMYFUNCTION("""COMPUTED_VALUE"""),"Gupta")</f>
        <v>Gupta</v>
      </c>
      <c r="H168" s="3" t="s">
        <v>33</v>
      </c>
      <c r="I168" s="3">
        <v>2025.0</v>
      </c>
      <c r="J168" s="3">
        <f t="shared" si="2"/>
        <v>10000</v>
      </c>
      <c r="K168" s="3" t="s">
        <v>26</v>
      </c>
      <c r="L168" s="3">
        <v>22896.0</v>
      </c>
      <c r="M168" s="3" t="s">
        <v>21</v>
      </c>
      <c r="N168" s="3">
        <v>55.0</v>
      </c>
      <c r="O168" s="3" t="s">
        <v>41</v>
      </c>
      <c r="P168" s="3" t="s">
        <v>38</v>
      </c>
      <c r="Q168" s="6">
        <f t="shared" si="3"/>
        <v>635000</v>
      </c>
    </row>
    <row r="169">
      <c r="A169" s="3">
        <v>64783.0</v>
      </c>
      <c r="B169" s="3" t="s">
        <v>199</v>
      </c>
      <c r="C169" s="3" t="s">
        <v>18</v>
      </c>
      <c r="D169" s="4" t="str">
        <f t="shared" si="1"/>
        <v>Mr.</v>
      </c>
      <c r="E169" s="3" t="str">
        <f t="shared" si="4"/>
        <v>Mr. Shaurya Bhatt</v>
      </c>
      <c r="F169" s="3" t="str">
        <f>IFERROR(__xludf.DUMMYFUNCTION("SPLIT(B169,"" "")"),"Shaurya")</f>
        <v>Shaurya</v>
      </c>
      <c r="G169" s="3" t="str">
        <f>IFERROR(__xludf.DUMMYFUNCTION("""COMPUTED_VALUE"""),"Bhatt")</f>
        <v>Bhatt</v>
      </c>
      <c r="H169" s="3" t="s">
        <v>46</v>
      </c>
      <c r="I169" s="3">
        <v>2024.0</v>
      </c>
      <c r="J169" s="3">
        <f t="shared" si="2"/>
        <v>5000</v>
      </c>
      <c r="K169" s="3" t="s">
        <v>20</v>
      </c>
      <c r="L169" s="10">
        <v>6980.0</v>
      </c>
      <c r="M169" s="3" t="s">
        <v>30</v>
      </c>
      <c r="N169" s="3">
        <f>RANDBETWEEN(0,10)</f>
        <v>4</v>
      </c>
      <c r="O169" s="3" t="s">
        <v>41</v>
      </c>
      <c r="P169" s="3" t="s">
        <v>38</v>
      </c>
      <c r="Q169" s="6">
        <f t="shared" si="3"/>
        <v>635000</v>
      </c>
    </row>
    <row r="170">
      <c r="A170" s="3">
        <v>64785.0</v>
      </c>
      <c r="B170" s="3" t="s">
        <v>200</v>
      </c>
      <c r="C170" s="3" t="s">
        <v>35</v>
      </c>
      <c r="D170" s="4" t="str">
        <f t="shared" si="1"/>
        <v>Ms.</v>
      </c>
      <c r="E170" s="3" t="str">
        <f t="shared" si="4"/>
        <v>Ms. Kyra Malik</v>
      </c>
      <c r="F170" s="3" t="str">
        <f>IFERROR(__xludf.DUMMYFUNCTION("SPLIT(B170,"" "")"),"Kyra")</f>
        <v>Kyra</v>
      </c>
      <c r="G170" s="3" t="str">
        <f>IFERROR(__xludf.DUMMYFUNCTION("""COMPUTED_VALUE"""),"Malik")</f>
        <v>Malik</v>
      </c>
      <c r="H170" s="3" t="s">
        <v>46</v>
      </c>
      <c r="I170" s="3">
        <v>2024.0</v>
      </c>
      <c r="J170" s="3">
        <f t="shared" si="2"/>
        <v>5000</v>
      </c>
      <c r="K170" s="3" t="s">
        <v>26</v>
      </c>
      <c r="L170" s="3">
        <v>5126.0</v>
      </c>
      <c r="M170" s="3" t="s">
        <v>21</v>
      </c>
      <c r="N170" s="3">
        <v>32.0</v>
      </c>
      <c r="O170" s="3" t="s">
        <v>22</v>
      </c>
      <c r="P170" s="3" t="s">
        <v>31</v>
      </c>
      <c r="Q170" s="6">
        <f t="shared" si="3"/>
        <v>910000</v>
      </c>
    </row>
    <row r="171">
      <c r="A171" s="3">
        <v>64786.0</v>
      </c>
      <c r="B171" s="3" t="s">
        <v>201</v>
      </c>
      <c r="C171" s="3" t="s">
        <v>35</v>
      </c>
      <c r="D171" s="4" t="str">
        <f t="shared" si="1"/>
        <v>Ms.</v>
      </c>
      <c r="E171" s="3" t="str">
        <f t="shared" si="4"/>
        <v>Ms. Mahira Agarwal</v>
      </c>
      <c r="F171" s="3" t="str">
        <f>IFERROR(__xludf.DUMMYFUNCTION("SPLIT(B171,"" "")"),"Mahira")</f>
        <v>Mahira</v>
      </c>
      <c r="G171" s="3" t="str">
        <f>IFERROR(__xludf.DUMMYFUNCTION("""COMPUTED_VALUE"""),"Agarwal")</f>
        <v>Agarwal</v>
      </c>
      <c r="H171" s="3" t="s">
        <v>46</v>
      </c>
      <c r="I171" s="3">
        <v>2023.0</v>
      </c>
      <c r="J171" s="3">
        <f t="shared" si="2"/>
        <v>5000</v>
      </c>
      <c r="K171" s="3" t="s">
        <v>20</v>
      </c>
      <c r="L171" s="3">
        <v>228.0</v>
      </c>
      <c r="M171" s="3" t="s">
        <v>21</v>
      </c>
      <c r="N171" s="3">
        <v>7.0</v>
      </c>
      <c r="O171" s="3" t="s">
        <v>22</v>
      </c>
      <c r="P171" s="3" t="s">
        <v>31</v>
      </c>
      <c r="Q171" s="6">
        <f t="shared" si="3"/>
        <v>910000</v>
      </c>
    </row>
    <row r="172">
      <c r="A172" s="3">
        <v>64787.0</v>
      </c>
      <c r="B172" s="3" t="s">
        <v>202</v>
      </c>
      <c r="C172" s="3" t="s">
        <v>18</v>
      </c>
      <c r="D172" s="4" t="str">
        <f t="shared" si="1"/>
        <v>Mr.</v>
      </c>
      <c r="E172" s="3" t="str">
        <f t="shared" si="4"/>
        <v>Mr. Arnav Sharma</v>
      </c>
      <c r="F172" s="3" t="str">
        <f>IFERROR(__xludf.DUMMYFUNCTION("SPLIT(B172,"" "")"),"Arnav")</f>
        <v>Arnav</v>
      </c>
      <c r="G172" s="3" t="str">
        <f>IFERROR(__xludf.DUMMYFUNCTION("""COMPUTED_VALUE"""),"Sharma")</f>
        <v>Sharma</v>
      </c>
      <c r="H172" s="3" t="s">
        <v>25</v>
      </c>
      <c r="I172" s="3">
        <v>2027.0</v>
      </c>
      <c r="J172" s="3">
        <f t="shared" si="2"/>
        <v>10000</v>
      </c>
      <c r="K172" s="3" t="s">
        <v>37</v>
      </c>
      <c r="L172" s="3">
        <v>250.0</v>
      </c>
      <c r="M172" s="3" t="s">
        <v>21</v>
      </c>
      <c r="N172" s="3">
        <v>37.0</v>
      </c>
      <c r="O172" s="3" t="s">
        <v>41</v>
      </c>
      <c r="P172" s="3" t="s">
        <v>31</v>
      </c>
      <c r="Q172" s="6">
        <f t="shared" si="3"/>
        <v>910000</v>
      </c>
    </row>
    <row r="173">
      <c r="A173" s="3">
        <v>64788.0</v>
      </c>
      <c r="B173" s="3" t="s">
        <v>203</v>
      </c>
      <c r="C173" s="3" t="s">
        <v>18</v>
      </c>
      <c r="D173" s="4" t="str">
        <f t="shared" si="1"/>
        <v>Mr.</v>
      </c>
      <c r="E173" s="3" t="str">
        <f t="shared" si="4"/>
        <v>Mr. Aryan Sharma</v>
      </c>
      <c r="F173" s="3" t="str">
        <f>IFERROR(__xludf.DUMMYFUNCTION("SPLIT(B173,"" "")"),"Aryan")</f>
        <v>Aryan</v>
      </c>
      <c r="G173" s="3" t="str">
        <f>IFERROR(__xludf.DUMMYFUNCTION("""COMPUTED_VALUE"""),"Sharma")</f>
        <v>Sharma</v>
      </c>
      <c r="H173" s="3" t="s">
        <v>25</v>
      </c>
      <c r="I173" s="3">
        <v>2027.0</v>
      </c>
      <c r="J173" s="3">
        <f t="shared" si="2"/>
        <v>10000</v>
      </c>
      <c r="K173" s="3" t="s">
        <v>26</v>
      </c>
      <c r="L173" s="3">
        <v>17714.0</v>
      </c>
      <c r="M173" s="3" t="s">
        <v>21</v>
      </c>
      <c r="N173" s="3">
        <v>30.0</v>
      </c>
      <c r="O173" s="3" t="s">
        <v>41</v>
      </c>
      <c r="P173" s="3" t="s">
        <v>31</v>
      </c>
      <c r="Q173" s="6">
        <f t="shared" si="3"/>
        <v>910000</v>
      </c>
    </row>
    <row r="174">
      <c r="A174" s="3">
        <v>64789.0</v>
      </c>
      <c r="B174" s="3" t="s">
        <v>204</v>
      </c>
      <c r="C174" s="3" t="s">
        <v>35</v>
      </c>
      <c r="D174" s="4" t="str">
        <f t="shared" si="1"/>
        <v>Ms.</v>
      </c>
      <c r="E174" s="3" t="str">
        <f t="shared" si="4"/>
        <v>Ms. Kashvi Patel</v>
      </c>
      <c r="F174" s="3" t="str">
        <f>IFERROR(__xludf.DUMMYFUNCTION("SPLIT(B174,"" "")"),"Kashvi")</f>
        <v>Kashvi</v>
      </c>
      <c r="G174" s="3" t="str">
        <f>IFERROR(__xludf.DUMMYFUNCTION("""COMPUTED_VALUE"""),"Patel")</f>
        <v>Patel</v>
      </c>
      <c r="H174" s="3" t="s">
        <v>19</v>
      </c>
      <c r="I174" s="3">
        <v>2018.0</v>
      </c>
      <c r="J174" s="3">
        <f t="shared" si="2"/>
        <v>5000</v>
      </c>
      <c r="K174" s="3" t="s">
        <v>20</v>
      </c>
      <c r="L174" s="3">
        <v>0.0</v>
      </c>
      <c r="M174" s="3" t="s">
        <v>21</v>
      </c>
      <c r="N174" s="3">
        <v>79.0</v>
      </c>
      <c r="O174" s="3" t="s">
        <v>41</v>
      </c>
      <c r="P174" s="3" t="s">
        <v>31</v>
      </c>
      <c r="Q174" s="6">
        <f t="shared" si="3"/>
        <v>910000</v>
      </c>
    </row>
    <row r="175">
      <c r="A175" s="3">
        <v>64790.0</v>
      </c>
      <c r="B175" s="3" t="s">
        <v>205</v>
      </c>
      <c r="C175" s="3" t="s">
        <v>35</v>
      </c>
      <c r="D175" s="4" t="str">
        <f t="shared" si="1"/>
        <v>Ms.</v>
      </c>
      <c r="E175" s="3" t="str">
        <f t="shared" si="4"/>
        <v>Ms. Riddhi Kumar</v>
      </c>
      <c r="F175" s="3" t="str">
        <f>IFERROR(__xludf.DUMMYFUNCTION("SPLIT(B175,"" "")"),"Riddhi")</f>
        <v>Riddhi</v>
      </c>
      <c r="G175" s="3" t="str">
        <f>IFERROR(__xludf.DUMMYFUNCTION("""COMPUTED_VALUE"""),"Kumar")</f>
        <v>Kumar</v>
      </c>
      <c r="H175" s="3" t="s">
        <v>25</v>
      </c>
      <c r="I175" s="3">
        <v>2027.0</v>
      </c>
      <c r="J175" s="3">
        <f t="shared" si="2"/>
        <v>10000</v>
      </c>
      <c r="K175" s="3" t="s">
        <v>20</v>
      </c>
      <c r="L175" s="3">
        <v>0.0</v>
      </c>
      <c r="M175" s="3" t="s">
        <v>21</v>
      </c>
      <c r="N175" s="3">
        <f t="shared" ref="N175:N176" si="14">RANDBETWEEN(0,10)</f>
        <v>9</v>
      </c>
      <c r="O175" s="3" t="s">
        <v>41</v>
      </c>
      <c r="P175" s="3" t="s">
        <v>28</v>
      </c>
      <c r="Q175" s="6">
        <f t="shared" si="3"/>
        <v>400000</v>
      </c>
    </row>
    <row r="176">
      <c r="A176" s="3">
        <v>64791.0</v>
      </c>
      <c r="B176" s="3" t="s">
        <v>206</v>
      </c>
      <c r="C176" s="3" t="s">
        <v>35</v>
      </c>
      <c r="D176" s="4" t="str">
        <f t="shared" si="1"/>
        <v>Ms.</v>
      </c>
      <c r="E176" s="3" t="str">
        <f t="shared" si="4"/>
        <v>Ms. Eva Malik</v>
      </c>
      <c r="F176" s="3" t="str">
        <f>IFERROR(__xludf.DUMMYFUNCTION("SPLIT(B176,"" "")"),"Eva")</f>
        <v>Eva</v>
      </c>
      <c r="G176" s="3" t="str">
        <f>IFERROR(__xludf.DUMMYFUNCTION("""COMPUTED_VALUE"""),"Malik")</f>
        <v>Malik</v>
      </c>
      <c r="H176" s="3" t="s">
        <v>19</v>
      </c>
      <c r="I176" s="3">
        <v>2024.0</v>
      </c>
      <c r="J176" s="3">
        <f t="shared" si="2"/>
        <v>5000</v>
      </c>
      <c r="K176" s="3" t="s">
        <v>20</v>
      </c>
      <c r="L176" s="3">
        <v>0.0</v>
      </c>
      <c r="M176" s="3" t="s">
        <v>21</v>
      </c>
      <c r="N176" s="3">
        <f t="shared" si="14"/>
        <v>6</v>
      </c>
      <c r="O176" s="3" t="s">
        <v>41</v>
      </c>
      <c r="P176" s="3" t="s">
        <v>31</v>
      </c>
      <c r="Q176" s="6">
        <f t="shared" si="3"/>
        <v>910000</v>
      </c>
    </row>
    <row r="177">
      <c r="A177" s="3">
        <v>64792.0</v>
      </c>
      <c r="B177" s="3" t="s">
        <v>207</v>
      </c>
      <c r="C177" s="3" t="s">
        <v>35</v>
      </c>
      <c r="D177" s="4" t="str">
        <f t="shared" si="1"/>
        <v>Ms.</v>
      </c>
      <c r="E177" s="3" t="str">
        <f t="shared" si="4"/>
        <v>Ms. Tara Sharma</v>
      </c>
      <c r="F177" s="3" t="str">
        <f>IFERROR(__xludf.DUMMYFUNCTION("SPLIT(B177,"" "")"),"Tara")</f>
        <v>Tara</v>
      </c>
      <c r="G177" s="3" t="str">
        <f>IFERROR(__xludf.DUMMYFUNCTION("""COMPUTED_VALUE"""),"Sharma")</f>
        <v>Sharma</v>
      </c>
      <c r="H177" s="3" t="s">
        <v>25</v>
      </c>
      <c r="I177" s="3">
        <v>2025.0</v>
      </c>
      <c r="J177" s="3">
        <f t="shared" si="2"/>
        <v>10000</v>
      </c>
      <c r="K177" s="3" t="s">
        <v>20</v>
      </c>
      <c r="L177" s="3">
        <v>0.0</v>
      </c>
      <c r="M177" s="3" t="s">
        <v>21</v>
      </c>
      <c r="N177" s="3">
        <v>45.0</v>
      </c>
      <c r="O177" s="3" t="s">
        <v>41</v>
      </c>
      <c r="P177" s="3" t="s">
        <v>31</v>
      </c>
      <c r="Q177" s="6">
        <f t="shared" si="3"/>
        <v>910000</v>
      </c>
    </row>
    <row r="178">
      <c r="A178" s="3">
        <v>64793.0</v>
      </c>
      <c r="B178" s="3" t="s">
        <v>208</v>
      </c>
      <c r="C178" s="3" t="s">
        <v>35</v>
      </c>
      <c r="D178" s="4" t="str">
        <f t="shared" si="1"/>
        <v>Ms.</v>
      </c>
      <c r="E178" s="3" t="str">
        <f t="shared" si="4"/>
        <v>Ms. Saanvi Bhat</v>
      </c>
      <c r="F178" s="3" t="str">
        <f>IFERROR(__xludf.DUMMYFUNCTION("SPLIT(B178,"" "")"),"Saanvi")</f>
        <v>Saanvi</v>
      </c>
      <c r="G178" s="3" t="str">
        <f>IFERROR(__xludf.DUMMYFUNCTION("""COMPUTED_VALUE"""),"Bhat")</f>
        <v>Bhat</v>
      </c>
      <c r="H178" s="3" t="s">
        <v>25</v>
      </c>
      <c r="I178" s="3">
        <v>2025.0</v>
      </c>
      <c r="J178" s="3">
        <f t="shared" si="2"/>
        <v>10000</v>
      </c>
      <c r="K178" s="3" t="s">
        <v>20</v>
      </c>
      <c r="L178" s="3">
        <v>684.0</v>
      </c>
      <c r="M178" s="3" t="s">
        <v>21</v>
      </c>
      <c r="N178" s="3">
        <v>15.0</v>
      </c>
      <c r="O178" s="3" t="s">
        <v>41</v>
      </c>
      <c r="P178" s="3" t="s">
        <v>28</v>
      </c>
      <c r="Q178" s="6">
        <f t="shared" si="3"/>
        <v>400000</v>
      </c>
    </row>
    <row r="179">
      <c r="A179" s="3">
        <v>64794.0</v>
      </c>
      <c r="B179" s="3" t="s">
        <v>209</v>
      </c>
      <c r="C179" s="3" t="s">
        <v>18</v>
      </c>
      <c r="D179" s="4" t="str">
        <f t="shared" si="1"/>
        <v>Mr.</v>
      </c>
      <c r="E179" s="3" t="str">
        <f t="shared" si="4"/>
        <v>Mr. Shaurya Rao</v>
      </c>
      <c r="F179" s="3" t="str">
        <f>IFERROR(__xludf.DUMMYFUNCTION("SPLIT(B179,"" "")"),"Shaurya")</f>
        <v>Shaurya</v>
      </c>
      <c r="G179" s="3" t="str">
        <f>IFERROR(__xludf.DUMMYFUNCTION("""COMPUTED_VALUE"""),"Rao")</f>
        <v>Rao</v>
      </c>
      <c r="H179" s="3" t="s">
        <v>33</v>
      </c>
      <c r="I179" s="3">
        <v>2027.0</v>
      </c>
      <c r="J179" s="3">
        <f t="shared" si="2"/>
        <v>10000</v>
      </c>
      <c r="K179" s="3" t="s">
        <v>20</v>
      </c>
      <c r="L179" s="3">
        <v>0.0</v>
      </c>
      <c r="M179" s="3" t="s">
        <v>30</v>
      </c>
      <c r="N179" s="3">
        <v>45.0</v>
      </c>
      <c r="O179" s="3" t="s">
        <v>41</v>
      </c>
      <c r="P179" s="3" t="s">
        <v>31</v>
      </c>
      <c r="Q179" s="6">
        <f t="shared" si="3"/>
        <v>910000</v>
      </c>
    </row>
    <row r="180">
      <c r="A180" s="3">
        <v>64795.0</v>
      </c>
      <c r="B180" s="3" t="s">
        <v>210</v>
      </c>
      <c r="C180" s="3" t="s">
        <v>18</v>
      </c>
      <c r="D180" s="4" t="str">
        <f t="shared" si="1"/>
        <v>Mr.</v>
      </c>
      <c r="E180" s="3" t="str">
        <f t="shared" si="4"/>
        <v>Mr. Parth Das</v>
      </c>
      <c r="F180" s="3" t="str">
        <f>IFERROR(__xludf.DUMMYFUNCTION("SPLIT(B180,"" "")"),"Parth")</f>
        <v>Parth</v>
      </c>
      <c r="G180" s="3" t="str">
        <f>IFERROR(__xludf.DUMMYFUNCTION("""COMPUTED_VALUE"""),"Das")</f>
        <v>Das</v>
      </c>
      <c r="H180" s="3" t="s">
        <v>33</v>
      </c>
      <c r="I180" s="3">
        <v>2021.0</v>
      </c>
      <c r="J180" s="3">
        <f t="shared" si="2"/>
        <v>10000</v>
      </c>
      <c r="K180" s="3" t="s">
        <v>26</v>
      </c>
      <c r="L180" s="3">
        <v>14894.0</v>
      </c>
      <c r="M180" s="3" t="s">
        <v>30</v>
      </c>
      <c r="N180" s="3">
        <v>10.0</v>
      </c>
      <c r="O180" s="3" t="s">
        <v>41</v>
      </c>
      <c r="P180" s="3" t="s">
        <v>23</v>
      </c>
      <c r="Q180" s="6">
        <f t="shared" si="3"/>
        <v>430000</v>
      </c>
    </row>
    <row r="181">
      <c r="A181" s="3">
        <v>64796.0</v>
      </c>
      <c r="B181" s="3" t="s">
        <v>211</v>
      </c>
      <c r="C181" s="3" t="s">
        <v>35</v>
      </c>
      <c r="D181" s="4" t="str">
        <f t="shared" si="1"/>
        <v>Ms.</v>
      </c>
      <c r="E181" s="3" t="str">
        <f t="shared" si="4"/>
        <v>Ms. Sara Chowdhury</v>
      </c>
      <c r="F181" s="3" t="str">
        <f>IFERROR(__xludf.DUMMYFUNCTION("SPLIT(B181,"" "")"),"Sara")</f>
        <v>Sara</v>
      </c>
      <c r="G181" s="3" t="str">
        <f>IFERROR(__xludf.DUMMYFUNCTION("""COMPUTED_VALUE"""),"Chowdhury")</f>
        <v>Chowdhury</v>
      </c>
      <c r="H181" s="3" t="s">
        <v>25</v>
      </c>
      <c r="I181" s="3">
        <v>2024.0</v>
      </c>
      <c r="J181" s="3">
        <f t="shared" si="2"/>
        <v>10000</v>
      </c>
      <c r="K181" s="3" t="s">
        <v>20</v>
      </c>
      <c r="L181" s="3">
        <v>0.0</v>
      </c>
      <c r="M181" s="3" t="s">
        <v>21</v>
      </c>
      <c r="N181" s="3">
        <f>RANDBETWEEN(0,10)</f>
        <v>3</v>
      </c>
      <c r="O181" s="3" t="s">
        <v>41</v>
      </c>
      <c r="P181" s="3" t="s">
        <v>28</v>
      </c>
      <c r="Q181" s="6">
        <f t="shared" si="3"/>
        <v>400000</v>
      </c>
    </row>
    <row r="182">
      <c r="A182" s="3">
        <v>64797.0</v>
      </c>
      <c r="B182" s="3" t="s">
        <v>212</v>
      </c>
      <c r="C182" s="3" t="s">
        <v>35</v>
      </c>
      <c r="D182" s="4" t="str">
        <f t="shared" si="1"/>
        <v>Ms.</v>
      </c>
      <c r="E182" s="3" t="str">
        <f t="shared" si="4"/>
        <v>Ms. Avni Bhatt</v>
      </c>
      <c r="F182" s="3" t="str">
        <f>IFERROR(__xludf.DUMMYFUNCTION("SPLIT(B182,"" "")"),"Avni")</f>
        <v>Avni</v>
      </c>
      <c r="G182" s="3" t="str">
        <f>IFERROR(__xludf.DUMMYFUNCTION("""COMPUTED_VALUE"""),"Bhatt")</f>
        <v>Bhatt</v>
      </c>
      <c r="H182" s="3" t="s">
        <v>25</v>
      </c>
      <c r="I182" s="3">
        <v>2028.0</v>
      </c>
      <c r="J182" s="3">
        <f t="shared" si="2"/>
        <v>10000</v>
      </c>
      <c r="K182" s="3" t="s">
        <v>26</v>
      </c>
      <c r="L182" s="3">
        <v>23905.0</v>
      </c>
      <c r="M182" s="3" t="s">
        <v>21</v>
      </c>
      <c r="N182" s="3">
        <v>51.0</v>
      </c>
      <c r="O182" s="3" t="s">
        <v>41</v>
      </c>
      <c r="P182" s="3" t="s">
        <v>78</v>
      </c>
      <c r="Q182" s="6">
        <f t="shared" si="3"/>
        <v>255000</v>
      </c>
    </row>
    <row r="183">
      <c r="A183" s="3">
        <v>64798.0</v>
      </c>
      <c r="B183" s="3" t="s">
        <v>213</v>
      </c>
      <c r="C183" s="3" t="s">
        <v>35</v>
      </c>
      <c r="D183" s="4" t="str">
        <f t="shared" si="1"/>
        <v>Ms.</v>
      </c>
      <c r="E183" s="3" t="str">
        <f t="shared" si="4"/>
        <v>Ms. Manya Rao</v>
      </c>
      <c r="F183" s="3" t="str">
        <f>IFERROR(__xludf.DUMMYFUNCTION("SPLIT(B183,"" "")"),"Manya")</f>
        <v>Manya</v>
      </c>
      <c r="G183" s="3" t="str">
        <f>IFERROR(__xludf.DUMMYFUNCTION("""COMPUTED_VALUE"""),"Rao")</f>
        <v>Rao</v>
      </c>
      <c r="H183" s="3" t="s">
        <v>19</v>
      </c>
      <c r="I183" s="3">
        <v>2024.0</v>
      </c>
      <c r="J183" s="3">
        <f t="shared" si="2"/>
        <v>5000</v>
      </c>
      <c r="K183" s="3" t="s">
        <v>20</v>
      </c>
      <c r="L183" s="3">
        <v>0.0</v>
      </c>
      <c r="M183" s="3" t="s">
        <v>21</v>
      </c>
      <c r="N183" s="3">
        <v>33.0</v>
      </c>
      <c r="O183" s="3" t="s">
        <v>22</v>
      </c>
      <c r="P183" s="3" t="s">
        <v>78</v>
      </c>
      <c r="Q183" s="6">
        <f t="shared" si="3"/>
        <v>255000</v>
      </c>
    </row>
    <row r="184">
      <c r="A184" s="3">
        <v>64799.0</v>
      </c>
      <c r="B184" s="3" t="s">
        <v>214</v>
      </c>
      <c r="C184" s="3" t="s">
        <v>18</v>
      </c>
      <c r="D184" s="4" t="str">
        <f t="shared" si="1"/>
        <v>Mr.</v>
      </c>
      <c r="E184" s="3" t="str">
        <f t="shared" si="4"/>
        <v>Mr. Vihaan Patel</v>
      </c>
      <c r="F184" s="3" t="str">
        <f>IFERROR(__xludf.DUMMYFUNCTION("SPLIT(B184,"" "")"),"Vihaan")</f>
        <v>Vihaan</v>
      </c>
      <c r="G184" s="3" t="str">
        <f>IFERROR(__xludf.DUMMYFUNCTION("""COMPUTED_VALUE"""),"Patel")</f>
        <v>Patel</v>
      </c>
      <c r="H184" s="3" t="s">
        <v>25</v>
      </c>
      <c r="I184" s="3">
        <v>2022.0</v>
      </c>
      <c r="J184" s="3">
        <f t="shared" si="2"/>
        <v>10000</v>
      </c>
      <c r="K184" s="3" t="s">
        <v>20</v>
      </c>
      <c r="L184" s="3">
        <v>0.0</v>
      </c>
      <c r="M184" s="3" t="s">
        <v>21</v>
      </c>
      <c r="N184" s="3">
        <v>3.0</v>
      </c>
      <c r="O184" s="3" t="s">
        <v>41</v>
      </c>
      <c r="P184" s="3" t="s">
        <v>23</v>
      </c>
      <c r="Q184" s="6">
        <f t="shared" si="3"/>
        <v>430000</v>
      </c>
    </row>
    <row r="185">
      <c r="A185" s="3">
        <v>64800.0</v>
      </c>
      <c r="B185" s="3" t="s">
        <v>215</v>
      </c>
      <c r="C185" s="3" t="s">
        <v>18</v>
      </c>
      <c r="D185" s="4" t="str">
        <f t="shared" si="1"/>
        <v>Mr.</v>
      </c>
      <c r="E185" s="3" t="str">
        <f t="shared" si="4"/>
        <v>Mr. Rishi Agarwal</v>
      </c>
      <c r="F185" s="3" t="str">
        <f>IFERROR(__xludf.DUMMYFUNCTION("SPLIT(B185,"" "")"),"Rishi")</f>
        <v>Rishi</v>
      </c>
      <c r="G185" s="3" t="str">
        <f>IFERROR(__xludf.DUMMYFUNCTION("""COMPUTED_VALUE"""),"Agarwal")</f>
        <v>Agarwal</v>
      </c>
      <c r="H185" s="3" t="s">
        <v>25</v>
      </c>
      <c r="I185" s="3">
        <v>2025.0</v>
      </c>
      <c r="J185" s="3">
        <f t="shared" si="2"/>
        <v>10000</v>
      </c>
      <c r="K185" s="3" t="s">
        <v>20</v>
      </c>
      <c r="L185" s="3">
        <v>25.0</v>
      </c>
      <c r="M185" s="3" t="s">
        <v>21</v>
      </c>
      <c r="N185" s="3">
        <v>32.0</v>
      </c>
      <c r="O185" s="3" t="s">
        <v>22</v>
      </c>
      <c r="P185" s="3" t="s">
        <v>38</v>
      </c>
      <c r="Q185" s="6">
        <f t="shared" si="3"/>
        <v>635000</v>
      </c>
    </row>
    <row r="186">
      <c r="A186" s="3">
        <v>64802.0</v>
      </c>
      <c r="B186" s="3" t="s">
        <v>216</v>
      </c>
      <c r="C186" s="3" t="s">
        <v>35</v>
      </c>
      <c r="D186" s="4" t="str">
        <f t="shared" si="1"/>
        <v>Ms.</v>
      </c>
      <c r="E186" s="3" t="str">
        <f t="shared" si="4"/>
        <v>Ms. Naira Reddy</v>
      </c>
      <c r="F186" s="3" t="str">
        <f>IFERROR(__xludf.DUMMYFUNCTION("SPLIT(B186,"" "")"),"Naira")</f>
        <v>Naira</v>
      </c>
      <c r="G186" s="3" t="str">
        <f>IFERROR(__xludf.DUMMYFUNCTION("""COMPUTED_VALUE"""),"Reddy")</f>
        <v>Reddy</v>
      </c>
      <c r="H186" s="3" t="s">
        <v>46</v>
      </c>
      <c r="I186" s="3">
        <v>2020.0</v>
      </c>
      <c r="J186" s="3">
        <f t="shared" si="2"/>
        <v>5000</v>
      </c>
      <c r="K186" s="3" t="s">
        <v>20</v>
      </c>
      <c r="L186" s="3">
        <v>0.0</v>
      </c>
      <c r="M186" s="3" t="s">
        <v>21</v>
      </c>
      <c r="N186" s="3">
        <v>68.0</v>
      </c>
      <c r="O186" s="3" t="s">
        <v>22</v>
      </c>
      <c r="P186" s="3" t="s">
        <v>28</v>
      </c>
      <c r="Q186" s="6">
        <f t="shared" si="3"/>
        <v>400000</v>
      </c>
    </row>
    <row r="187">
      <c r="A187" s="3">
        <v>64803.0</v>
      </c>
      <c r="B187" s="3" t="s">
        <v>217</v>
      </c>
      <c r="C187" s="3" t="s">
        <v>35</v>
      </c>
      <c r="D187" s="4" t="str">
        <f t="shared" si="1"/>
        <v>Ms.</v>
      </c>
      <c r="E187" s="3" t="str">
        <f t="shared" si="4"/>
        <v>Ms. Charvi Chopra</v>
      </c>
      <c r="F187" s="3" t="str">
        <f>IFERROR(__xludf.DUMMYFUNCTION("SPLIT(B187,"" "")"),"Charvi")</f>
        <v>Charvi</v>
      </c>
      <c r="G187" s="3" t="str">
        <f>IFERROR(__xludf.DUMMYFUNCTION("""COMPUTED_VALUE"""),"Chopra")</f>
        <v>Chopra</v>
      </c>
      <c r="H187" s="3" t="s">
        <v>46</v>
      </c>
      <c r="I187" s="3">
        <v>2028.0</v>
      </c>
      <c r="J187" s="3">
        <f t="shared" si="2"/>
        <v>5000</v>
      </c>
      <c r="K187" s="3" t="s">
        <v>20</v>
      </c>
      <c r="L187" s="3">
        <v>6.0</v>
      </c>
      <c r="M187" s="3" t="s">
        <v>21</v>
      </c>
      <c r="N187" s="3">
        <v>25.0</v>
      </c>
      <c r="O187" s="3" t="s">
        <v>41</v>
      </c>
      <c r="P187" s="3" t="s">
        <v>78</v>
      </c>
      <c r="Q187" s="6">
        <f t="shared" si="3"/>
        <v>255000</v>
      </c>
    </row>
    <row r="188">
      <c r="A188" s="3">
        <v>64804.0</v>
      </c>
      <c r="B188" s="3" t="s">
        <v>218</v>
      </c>
      <c r="C188" s="3" t="s">
        <v>18</v>
      </c>
      <c r="D188" s="4" t="str">
        <f t="shared" si="1"/>
        <v>Mr.</v>
      </c>
      <c r="E188" s="3" t="str">
        <f t="shared" si="4"/>
        <v>Mr. Kabir Agarwal</v>
      </c>
      <c r="F188" s="3" t="str">
        <f>IFERROR(__xludf.DUMMYFUNCTION("SPLIT(B188,"" "")"),"Kabir")</f>
        <v>Kabir</v>
      </c>
      <c r="G188" s="3" t="str">
        <f>IFERROR(__xludf.DUMMYFUNCTION("""COMPUTED_VALUE"""),"Agarwal")</f>
        <v>Agarwal</v>
      </c>
      <c r="H188" s="3" t="s">
        <v>46</v>
      </c>
      <c r="I188" s="3">
        <v>2023.0</v>
      </c>
      <c r="J188" s="3">
        <f t="shared" si="2"/>
        <v>5000</v>
      </c>
      <c r="K188" s="3" t="s">
        <v>20</v>
      </c>
      <c r="L188" s="3">
        <v>25.0</v>
      </c>
      <c r="M188" s="3" t="s">
        <v>21</v>
      </c>
      <c r="N188" s="3">
        <v>45.0</v>
      </c>
      <c r="O188" s="3" t="s">
        <v>22</v>
      </c>
      <c r="P188" s="3" t="s">
        <v>31</v>
      </c>
      <c r="Q188" s="6">
        <f t="shared" si="3"/>
        <v>910000</v>
      </c>
    </row>
    <row r="189">
      <c r="A189" s="3">
        <v>64805.0</v>
      </c>
      <c r="B189" s="3" t="s">
        <v>219</v>
      </c>
      <c r="C189" s="3" t="s">
        <v>35</v>
      </c>
      <c r="D189" s="4" t="str">
        <f t="shared" si="1"/>
        <v>Ms.</v>
      </c>
      <c r="E189" s="3" t="str">
        <f t="shared" si="4"/>
        <v>Ms. Tara Patel</v>
      </c>
      <c r="F189" s="3" t="str">
        <f>IFERROR(__xludf.DUMMYFUNCTION("SPLIT(B189,"" "")"),"Tara")</f>
        <v>Tara</v>
      </c>
      <c r="G189" s="3" t="str">
        <f>IFERROR(__xludf.DUMMYFUNCTION("""COMPUTED_VALUE"""),"Patel")</f>
        <v>Patel</v>
      </c>
      <c r="H189" s="3" t="s">
        <v>25</v>
      </c>
      <c r="I189" s="3">
        <v>2025.0</v>
      </c>
      <c r="J189" s="3">
        <f t="shared" si="2"/>
        <v>10000</v>
      </c>
      <c r="K189" s="3" t="s">
        <v>20</v>
      </c>
      <c r="L189" s="3">
        <v>263.0</v>
      </c>
      <c r="M189" s="3" t="s">
        <v>21</v>
      </c>
      <c r="N189" s="3">
        <v>14.0</v>
      </c>
      <c r="O189" s="3" t="s">
        <v>22</v>
      </c>
      <c r="P189" s="3" t="s">
        <v>28</v>
      </c>
      <c r="Q189" s="6">
        <f t="shared" si="3"/>
        <v>400000</v>
      </c>
    </row>
    <row r="190">
      <c r="A190" s="3">
        <v>64806.0</v>
      </c>
      <c r="B190" s="3" t="s">
        <v>220</v>
      </c>
      <c r="C190" s="3" t="s">
        <v>35</v>
      </c>
      <c r="D190" s="4" t="str">
        <f t="shared" si="1"/>
        <v>Ms.</v>
      </c>
      <c r="E190" s="3" t="str">
        <f t="shared" si="4"/>
        <v>Ms. Eva Verma</v>
      </c>
      <c r="F190" s="3" t="str">
        <f>IFERROR(__xludf.DUMMYFUNCTION("SPLIT(B190,"" "")"),"Eva")</f>
        <v>Eva</v>
      </c>
      <c r="G190" s="3" t="str">
        <f>IFERROR(__xludf.DUMMYFUNCTION("""COMPUTED_VALUE"""),"Verma")</f>
        <v>Verma</v>
      </c>
      <c r="H190" s="3" t="s">
        <v>46</v>
      </c>
      <c r="I190" s="3">
        <v>2022.0</v>
      </c>
      <c r="J190" s="3">
        <f t="shared" si="2"/>
        <v>5000</v>
      </c>
      <c r="K190" s="3" t="s">
        <v>20</v>
      </c>
      <c r="L190" s="3">
        <v>0.0</v>
      </c>
      <c r="M190" s="3" t="s">
        <v>21</v>
      </c>
      <c r="N190" s="3">
        <v>44.0</v>
      </c>
      <c r="O190" s="3" t="s">
        <v>41</v>
      </c>
      <c r="P190" s="3" t="s">
        <v>31</v>
      </c>
      <c r="Q190" s="6">
        <f t="shared" si="3"/>
        <v>910000</v>
      </c>
    </row>
    <row r="191">
      <c r="A191" s="3">
        <v>64807.0</v>
      </c>
      <c r="B191" s="3" t="s">
        <v>221</v>
      </c>
      <c r="C191" s="3" t="s">
        <v>18</v>
      </c>
      <c r="D191" s="4" t="str">
        <f t="shared" si="1"/>
        <v>Mr.</v>
      </c>
      <c r="E191" s="3" t="str">
        <f t="shared" si="4"/>
        <v>Mr. Rishi Sinha</v>
      </c>
      <c r="F191" s="3" t="str">
        <f>IFERROR(__xludf.DUMMYFUNCTION("SPLIT(B191,"" "")"),"Rishi")</f>
        <v>Rishi</v>
      </c>
      <c r="G191" s="3" t="str">
        <f>IFERROR(__xludf.DUMMYFUNCTION("""COMPUTED_VALUE"""),"Sinha")</f>
        <v>Sinha</v>
      </c>
      <c r="H191" s="3" t="s">
        <v>19</v>
      </c>
      <c r="I191" s="3">
        <v>2026.0</v>
      </c>
      <c r="J191" s="3">
        <f t="shared" si="2"/>
        <v>5000</v>
      </c>
      <c r="K191" s="3" t="s">
        <v>20</v>
      </c>
      <c r="L191" s="3">
        <v>0.0</v>
      </c>
      <c r="M191" s="3" t="s">
        <v>21</v>
      </c>
      <c r="N191" s="3">
        <v>6.0</v>
      </c>
      <c r="O191" s="3" t="s">
        <v>41</v>
      </c>
      <c r="P191" s="3" t="s">
        <v>31</v>
      </c>
      <c r="Q191" s="6">
        <f t="shared" si="3"/>
        <v>910000</v>
      </c>
    </row>
    <row r="192">
      <c r="A192" s="3">
        <v>64808.0</v>
      </c>
      <c r="B192" s="3" t="s">
        <v>222</v>
      </c>
      <c r="C192" s="3" t="s">
        <v>35</v>
      </c>
      <c r="D192" s="4" t="str">
        <f t="shared" si="1"/>
        <v>Ms.</v>
      </c>
      <c r="E192" s="3" t="str">
        <f t="shared" si="4"/>
        <v>Ms. Diya Rao</v>
      </c>
      <c r="F192" s="3" t="str">
        <f>IFERROR(__xludf.DUMMYFUNCTION("SPLIT(B192,"" "")"),"Diya")</f>
        <v>Diya</v>
      </c>
      <c r="G192" s="3" t="str">
        <f>IFERROR(__xludf.DUMMYFUNCTION("""COMPUTED_VALUE"""),"Rao")</f>
        <v>Rao</v>
      </c>
      <c r="H192" s="3" t="s">
        <v>25</v>
      </c>
      <c r="I192" s="3">
        <v>2026.0</v>
      </c>
      <c r="J192" s="3">
        <f t="shared" si="2"/>
        <v>10000</v>
      </c>
      <c r="K192" s="3" t="s">
        <v>20</v>
      </c>
      <c r="L192" s="3">
        <v>0.0</v>
      </c>
      <c r="M192" s="3" t="s">
        <v>21</v>
      </c>
      <c r="N192" s="3">
        <f>RANDBETWEEN(0,10)</f>
        <v>6</v>
      </c>
      <c r="O192" s="3" t="s">
        <v>41</v>
      </c>
      <c r="P192" s="3" t="s">
        <v>31</v>
      </c>
      <c r="Q192" s="6">
        <f t="shared" si="3"/>
        <v>910000</v>
      </c>
    </row>
    <row r="193">
      <c r="A193" s="3">
        <v>64809.0</v>
      </c>
      <c r="B193" s="3" t="s">
        <v>223</v>
      </c>
      <c r="C193" s="3" t="s">
        <v>35</v>
      </c>
      <c r="D193" s="4" t="str">
        <f t="shared" si="1"/>
        <v>Ms.</v>
      </c>
      <c r="E193" s="3" t="str">
        <f t="shared" si="4"/>
        <v>Ms. Saanvi Dutta</v>
      </c>
      <c r="F193" s="3" t="str">
        <f>IFERROR(__xludf.DUMMYFUNCTION("SPLIT(B193,"" "")"),"Saanvi")</f>
        <v>Saanvi</v>
      </c>
      <c r="G193" s="3" t="str">
        <f>IFERROR(__xludf.DUMMYFUNCTION("""COMPUTED_VALUE"""),"Dutta")</f>
        <v>Dutta</v>
      </c>
      <c r="H193" s="3" t="s">
        <v>25</v>
      </c>
      <c r="I193" s="3">
        <v>2024.0</v>
      </c>
      <c r="J193" s="3">
        <f t="shared" si="2"/>
        <v>10000</v>
      </c>
      <c r="K193" s="3" t="s">
        <v>20</v>
      </c>
      <c r="L193" s="10">
        <v>6720.0</v>
      </c>
      <c r="M193" s="3" t="s">
        <v>21</v>
      </c>
      <c r="N193" s="3">
        <v>75.0</v>
      </c>
      <c r="O193" s="3" t="s">
        <v>22</v>
      </c>
      <c r="P193" s="3" t="s">
        <v>31</v>
      </c>
      <c r="Q193" s="6">
        <f t="shared" si="3"/>
        <v>910000</v>
      </c>
    </row>
    <row r="194">
      <c r="A194" s="3">
        <v>64810.0</v>
      </c>
      <c r="B194" s="3" t="s">
        <v>224</v>
      </c>
      <c r="C194" s="3" t="s">
        <v>35</v>
      </c>
      <c r="D194" s="4" t="str">
        <f t="shared" si="1"/>
        <v>Ms.</v>
      </c>
      <c r="E194" s="3" t="str">
        <f t="shared" si="4"/>
        <v>Ms. Riddhi Sharma</v>
      </c>
      <c r="F194" s="3" t="str">
        <f>IFERROR(__xludf.DUMMYFUNCTION("SPLIT(B194,"" "")"),"Riddhi")</f>
        <v>Riddhi</v>
      </c>
      <c r="G194" s="3" t="str">
        <f>IFERROR(__xludf.DUMMYFUNCTION("""COMPUTED_VALUE"""),"Sharma")</f>
        <v>Sharma</v>
      </c>
      <c r="H194" s="3" t="s">
        <v>33</v>
      </c>
      <c r="I194" s="3">
        <v>2021.0</v>
      </c>
      <c r="J194" s="3">
        <f t="shared" si="2"/>
        <v>10000</v>
      </c>
      <c r="K194" s="3" t="s">
        <v>20</v>
      </c>
      <c r="L194" s="3">
        <v>0.0</v>
      </c>
      <c r="M194" s="3" t="s">
        <v>21</v>
      </c>
      <c r="N194" s="3">
        <f t="shared" ref="N194:N195" si="15">RANDBETWEEN(0,10)</f>
        <v>4</v>
      </c>
      <c r="O194" s="3" t="s">
        <v>41</v>
      </c>
      <c r="P194" s="3" t="s">
        <v>78</v>
      </c>
      <c r="Q194" s="6">
        <f t="shared" si="3"/>
        <v>255000</v>
      </c>
    </row>
    <row r="195">
      <c r="A195" s="3">
        <v>64813.0</v>
      </c>
      <c r="B195" s="3" t="s">
        <v>225</v>
      </c>
      <c r="C195" s="3" t="s">
        <v>18</v>
      </c>
      <c r="D195" s="4" t="str">
        <f t="shared" si="1"/>
        <v>Mr.</v>
      </c>
      <c r="E195" s="3" t="str">
        <f t="shared" si="4"/>
        <v>Mr. Sai Jain</v>
      </c>
      <c r="F195" s="3" t="str">
        <f>IFERROR(__xludf.DUMMYFUNCTION("SPLIT(B195,"" "")"),"Sai")</f>
        <v>Sai</v>
      </c>
      <c r="G195" s="3" t="str">
        <f>IFERROR(__xludf.DUMMYFUNCTION("""COMPUTED_VALUE"""),"Jain")</f>
        <v>Jain</v>
      </c>
      <c r="H195" s="3" t="s">
        <v>33</v>
      </c>
      <c r="I195" s="3">
        <v>2021.0</v>
      </c>
      <c r="J195" s="3">
        <f t="shared" si="2"/>
        <v>10000</v>
      </c>
      <c r="K195" s="3" t="s">
        <v>20</v>
      </c>
      <c r="L195" s="10">
        <v>8622.0</v>
      </c>
      <c r="M195" s="3" t="s">
        <v>21</v>
      </c>
      <c r="N195" s="3">
        <f t="shared" si="15"/>
        <v>1</v>
      </c>
      <c r="O195" s="3" t="s">
        <v>22</v>
      </c>
      <c r="P195" s="3" t="s">
        <v>23</v>
      </c>
      <c r="Q195" s="6">
        <f t="shared" si="3"/>
        <v>430000</v>
      </c>
    </row>
    <row r="196">
      <c r="A196" s="3">
        <v>64814.0</v>
      </c>
      <c r="B196" s="3" t="s">
        <v>226</v>
      </c>
      <c r="C196" s="3" t="s">
        <v>35</v>
      </c>
      <c r="D196" s="4" t="str">
        <f t="shared" si="1"/>
        <v>Ms.</v>
      </c>
      <c r="E196" s="3" t="str">
        <f t="shared" si="4"/>
        <v>Ms. Anvi Agarwal</v>
      </c>
      <c r="F196" s="3" t="str">
        <f>IFERROR(__xludf.DUMMYFUNCTION("SPLIT(B196,"" "")"),"Anvi")</f>
        <v>Anvi</v>
      </c>
      <c r="G196" s="3" t="str">
        <f>IFERROR(__xludf.DUMMYFUNCTION("""COMPUTED_VALUE"""),"Agarwal")</f>
        <v>Agarwal</v>
      </c>
      <c r="H196" s="3" t="s">
        <v>25</v>
      </c>
      <c r="I196" s="3">
        <v>2023.0</v>
      </c>
      <c r="J196" s="3">
        <f t="shared" si="2"/>
        <v>10000</v>
      </c>
      <c r="K196" s="3" t="s">
        <v>20</v>
      </c>
      <c r="L196" s="3">
        <v>0.0</v>
      </c>
      <c r="M196" s="3" t="s">
        <v>21</v>
      </c>
      <c r="N196" s="3">
        <v>14.0</v>
      </c>
      <c r="O196" s="3" t="s">
        <v>41</v>
      </c>
      <c r="P196" s="3" t="s">
        <v>31</v>
      </c>
      <c r="Q196" s="6">
        <f t="shared" si="3"/>
        <v>910000</v>
      </c>
    </row>
    <row r="197">
      <c r="A197" s="3">
        <v>64815.0</v>
      </c>
      <c r="B197" s="3" t="s">
        <v>227</v>
      </c>
      <c r="C197" s="3" t="s">
        <v>35</v>
      </c>
      <c r="D197" s="4" t="str">
        <f t="shared" si="1"/>
        <v>Ms.</v>
      </c>
      <c r="E197" s="3" t="str">
        <f t="shared" si="4"/>
        <v>Ms. Prisha Mishra</v>
      </c>
      <c r="F197" s="3" t="str">
        <f>IFERROR(__xludf.DUMMYFUNCTION("SPLIT(B197,"" "")"),"Prisha")</f>
        <v>Prisha</v>
      </c>
      <c r="G197" s="3" t="str">
        <f>IFERROR(__xludf.DUMMYFUNCTION("""COMPUTED_VALUE"""),"Mishra")</f>
        <v>Mishra</v>
      </c>
      <c r="H197" s="3" t="s">
        <v>46</v>
      </c>
      <c r="I197" s="3">
        <v>2020.0</v>
      </c>
      <c r="J197" s="3">
        <f t="shared" si="2"/>
        <v>5000</v>
      </c>
      <c r="K197" s="3" t="s">
        <v>20</v>
      </c>
      <c r="L197" s="3">
        <v>0.0</v>
      </c>
      <c r="M197" s="3" t="s">
        <v>21</v>
      </c>
      <c r="N197" s="3">
        <v>53.0</v>
      </c>
      <c r="O197" s="3" t="s">
        <v>22</v>
      </c>
      <c r="P197" s="3" t="s">
        <v>38</v>
      </c>
      <c r="Q197" s="6">
        <f t="shared" si="3"/>
        <v>635000</v>
      </c>
    </row>
    <row r="198">
      <c r="A198" s="3">
        <v>64816.0</v>
      </c>
      <c r="B198" s="3" t="s">
        <v>228</v>
      </c>
      <c r="C198" s="3" t="s">
        <v>35</v>
      </c>
      <c r="D198" s="4" t="str">
        <f t="shared" si="1"/>
        <v>Ms.</v>
      </c>
      <c r="E198" s="3" t="str">
        <f t="shared" si="4"/>
        <v>Ms. Anaya Patel</v>
      </c>
      <c r="F198" s="3" t="str">
        <f>IFERROR(__xludf.DUMMYFUNCTION("SPLIT(B198,"" "")"),"Anaya")</f>
        <v>Anaya</v>
      </c>
      <c r="G198" s="3" t="str">
        <f>IFERROR(__xludf.DUMMYFUNCTION("""COMPUTED_VALUE"""),"Patel")</f>
        <v>Patel</v>
      </c>
      <c r="H198" s="3" t="s">
        <v>33</v>
      </c>
      <c r="I198" s="3">
        <v>2023.0</v>
      </c>
      <c r="J198" s="3">
        <f t="shared" si="2"/>
        <v>10000</v>
      </c>
      <c r="K198" s="3" t="s">
        <v>26</v>
      </c>
      <c r="L198" s="3">
        <v>17417.0</v>
      </c>
      <c r="M198" s="3" t="s">
        <v>21</v>
      </c>
      <c r="N198" s="3">
        <f t="shared" ref="N198:N200" si="16">RANDBETWEEN(0,10)</f>
        <v>10</v>
      </c>
      <c r="O198" s="3" t="s">
        <v>22</v>
      </c>
      <c r="P198" s="3" t="s">
        <v>38</v>
      </c>
      <c r="Q198" s="6">
        <f t="shared" si="3"/>
        <v>635000</v>
      </c>
    </row>
    <row r="199">
      <c r="A199" s="3">
        <v>64817.0</v>
      </c>
      <c r="B199" s="3" t="s">
        <v>229</v>
      </c>
      <c r="C199" s="3" t="s">
        <v>18</v>
      </c>
      <c r="D199" s="4" t="str">
        <f t="shared" si="1"/>
        <v>Mr.</v>
      </c>
      <c r="E199" s="3" t="str">
        <f t="shared" si="4"/>
        <v>Mr. Raghav Singh</v>
      </c>
      <c r="F199" s="3" t="str">
        <f>IFERROR(__xludf.DUMMYFUNCTION("SPLIT(B199,"" "")"),"Raghav")</f>
        <v>Raghav</v>
      </c>
      <c r="G199" s="3" t="str">
        <f>IFERROR(__xludf.DUMMYFUNCTION("""COMPUTED_VALUE"""),"Singh")</f>
        <v>Singh</v>
      </c>
      <c r="H199" s="3" t="s">
        <v>46</v>
      </c>
      <c r="I199" s="3">
        <v>2024.0</v>
      </c>
      <c r="J199" s="3">
        <f t="shared" si="2"/>
        <v>5000</v>
      </c>
      <c r="K199" s="3" t="s">
        <v>26</v>
      </c>
      <c r="L199" s="10">
        <v>4044.0</v>
      </c>
      <c r="M199" s="3" t="s">
        <v>30</v>
      </c>
      <c r="N199" s="3">
        <f t="shared" si="16"/>
        <v>0</v>
      </c>
      <c r="O199" s="3" t="s">
        <v>22</v>
      </c>
      <c r="P199" s="3" t="s">
        <v>23</v>
      </c>
      <c r="Q199" s="6">
        <f t="shared" si="3"/>
        <v>430000</v>
      </c>
    </row>
    <row r="200">
      <c r="A200" s="3">
        <v>64818.0</v>
      </c>
      <c r="B200" s="3" t="s">
        <v>230</v>
      </c>
      <c r="C200" s="3" t="s">
        <v>18</v>
      </c>
      <c r="D200" s="4" t="str">
        <f t="shared" si="1"/>
        <v>Mr.</v>
      </c>
      <c r="E200" s="3" t="str">
        <f t="shared" si="4"/>
        <v>Mr. Aarav Mishra</v>
      </c>
      <c r="F200" s="3" t="str">
        <f>IFERROR(__xludf.DUMMYFUNCTION("SPLIT(B200,"" "")"),"Aarav")</f>
        <v>Aarav</v>
      </c>
      <c r="G200" s="3" t="str">
        <f>IFERROR(__xludf.DUMMYFUNCTION("""COMPUTED_VALUE"""),"Mishra")</f>
        <v>Mishra</v>
      </c>
      <c r="H200" s="3" t="s">
        <v>33</v>
      </c>
      <c r="I200" s="3">
        <v>2024.0</v>
      </c>
      <c r="J200" s="3">
        <f t="shared" si="2"/>
        <v>10000</v>
      </c>
      <c r="K200" s="3" t="s">
        <v>20</v>
      </c>
      <c r="L200" s="10">
        <v>5421.0</v>
      </c>
      <c r="M200" s="3" t="s">
        <v>30</v>
      </c>
      <c r="N200" s="3">
        <f t="shared" si="16"/>
        <v>6</v>
      </c>
      <c r="O200" s="3" t="s">
        <v>22</v>
      </c>
      <c r="P200" s="3" t="s">
        <v>28</v>
      </c>
      <c r="Q200" s="6">
        <f t="shared" si="3"/>
        <v>400000</v>
      </c>
    </row>
    <row r="201">
      <c r="A201" s="3">
        <v>64820.0</v>
      </c>
      <c r="B201" s="3" t="s">
        <v>231</v>
      </c>
      <c r="C201" s="3" t="s">
        <v>18</v>
      </c>
      <c r="D201" s="4" t="str">
        <f t="shared" si="1"/>
        <v>Mr.</v>
      </c>
      <c r="E201" s="3" t="str">
        <f t="shared" si="4"/>
        <v>Mr. Shaurya Sharma</v>
      </c>
      <c r="F201" s="3" t="str">
        <f>IFERROR(__xludf.DUMMYFUNCTION("SPLIT(B201,"" "")"),"Shaurya")</f>
        <v>Shaurya</v>
      </c>
      <c r="G201" s="3" t="str">
        <f>IFERROR(__xludf.DUMMYFUNCTION("""COMPUTED_VALUE"""),"Sharma")</f>
        <v>Sharma</v>
      </c>
      <c r="H201" s="3" t="s">
        <v>19</v>
      </c>
      <c r="I201" s="3">
        <v>2021.0</v>
      </c>
      <c r="J201" s="3">
        <f t="shared" si="2"/>
        <v>5000</v>
      </c>
      <c r="K201" s="3" t="s">
        <v>26</v>
      </c>
      <c r="L201" s="3">
        <v>21823.0</v>
      </c>
      <c r="M201" s="3" t="s">
        <v>21</v>
      </c>
      <c r="N201" s="3">
        <v>48.0</v>
      </c>
      <c r="O201" s="3" t="s">
        <v>41</v>
      </c>
      <c r="P201" s="3" t="s">
        <v>23</v>
      </c>
      <c r="Q201" s="6">
        <f t="shared" si="3"/>
        <v>430000</v>
      </c>
    </row>
    <row r="202">
      <c r="A202" s="3">
        <v>64821.0</v>
      </c>
      <c r="B202" s="3" t="s">
        <v>232</v>
      </c>
      <c r="C202" s="3" t="s">
        <v>35</v>
      </c>
      <c r="D202" s="4" t="str">
        <f t="shared" si="1"/>
        <v>Ms.</v>
      </c>
      <c r="E202" s="3" t="str">
        <f t="shared" si="4"/>
        <v>Ms. Inaaya Nair</v>
      </c>
      <c r="F202" s="3" t="str">
        <f>IFERROR(__xludf.DUMMYFUNCTION("SPLIT(B202,"" "")"),"Inaaya")</f>
        <v>Inaaya</v>
      </c>
      <c r="G202" s="3" t="str">
        <f>IFERROR(__xludf.DUMMYFUNCTION("""COMPUTED_VALUE"""),"Nair")</f>
        <v>Nair</v>
      </c>
      <c r="H202" s="3" t="s">
        <v>33</v>
      </c>
      <c r="I202" s="3">
        <v>2027.0</v>
      </c>
      <c r="J202" s="3">
        <f t="shared" si="2"/>
        <v>10000</v>
      </c>
      <c r="K202" s="3" t="s">
        <v>20</v>
      </c>
      <c r="L202" s="3">
        <v>0.0</v>
      </c>
      <c r="M202" s="3" t="s">
        <v>21</v>
      </c>
      <c r="N202" s="3">
        <v>41.0</v>
      </c>
      <c r="O202" s="3" t="s">
        <v>41</v>
      </c>
      <c r="P202" s="3" t="s">
        <v>23</v>
      </c>
      <c r="Q202" s="6">
        <f t="shared" si="3"/>
        <v>430000</v>
      </c>
    </row>
    <row r="203">
      <c r="A203" s="3">
        <v>64822.0</v>
      </c>
      <c r="B203" s="3" t="s">
        <v>233</v>
      </c>
      <c r="C203" s="3" t="s">
        <v>35</v>
      </c>
      <c r="D203" s="4" t="str">
        <f t="shared" si="1"/>
        <v>Ms.</v>
      </c>
      <c r="E203" s="3" t="str">
        <f t="shared" si="4"/>
        <v>Ms. Aarohi Mehta</v>
      </c>
      <c r="F203" s="3" t="str">
        <f>IFERROR(__xludf.DUMMYFUNCTION("SPLIT(B203,"" "")"),"Aarohi")</f>
        <v>Aarohi</v>
      </c>
      <c r="G203" s="3" t="str">
        <f>IFERROR(__xludf.DUMMYFUNCTION("""COMPUTED_VALUE"""),"Mehta")</f>
        <v>Mehta</v>
      </c>
      <c r="H203" s="3" t="s">
        <v>33</v>
      </c>
      <c r="I203" s="3">
        <v>2021.0</v>
      </c>
      <c r="J203" s="3">
        <f t="shared" si="2"/>
        <v>10000</v>
      </c>
      <c r="K203" s="3" t="s">
        <v>20</v>
      </c>
      <c r="L203" s="3">
        <v>0.0</v>
      </c>
      <c r="M203" s="3" t="s">
        <v>30</v>
      </c>
      <c r="N203" s="3">
        <v>51.0</v>
      </c>
      <c r="O203" s="3" t="s">
        <v>41</v>
      </c>
      <c r="P203" s="3" t="s">
        <v>28</v>
      </c>
      <c r="Q203" s="6">
        <f t="shared" si="3"/>
        <v>400000</v>
      </c>
    </row>
    <row r="204">
      <c r="A204" s="3">
        <v>64823.0</v>
      </c>
      <c r="B204" s="3" t="s">
        <v>234</v>
      </c>
      <c r="C204" s="3" t="s">
        <v>35</v>
      </c>
      <c r="D204" s="4" t="str">
        <f t="shared" si="1"/>
        <v>Ms.</v>
      </c>
      <c r="E204" s="3" t="str">
        <f t="shared" si="4"/>
        <v>Ms. Tara Chopra</v>
      </c>
      <c r="F204" s="3" t="str">
        <f>IFERROR(__xludf.DUMMYFUNCTION("SPLIT(B204,"" "")"),"Tara")</f>
        <v>Tara</v>
      </c>
      <c r="G204" s="3" t="str">
        <f>IFERROR(__xludf.DUMMYFUNCTION("""COMPUTED_VALUE"""),"Chopra")</f>
        <v>Chopra</v>
      </c>
      <c r="H204" s="3" t="s">
        <v>25</v>
      </c>
      <c r="I204" s="3">
        <v>2019.0</v>
      </c>
      <c r="J204" s="3">
        <f t="shared" si="2"/>
        <v>10000</v>
      </c>
      <c r="K204" s="3" t="s">
        <v>26</v>
      </c>
      <c r="L204" s="3">
        <v>1490.0</v>
      </c>
      <c r="M204" s="3" t="s">
        <v>21</v>
      </c>
      <c r="N204" s="3">
        <v>44.0</v>
      </c>
      <c r="O204" s="3" t="s">
        <v>41</v>
      </c>
      <c r="P204" s="3" t="s">
        <v>38</v>
      </c>
      <c r="Q204" s="6">
        <f t="shared" si="3"/>
        <v>635000</v>
      </c>
    </row>
    <row r="205">
      <c r="A205" s="3">
        <v>64824.0</v>
      </c>
      <c r="B205" s="3" t="s">
        <v>235</v>
      </c>
      <c r="C205" s="3" t="s">
        <v>35</v>
      </c>
      <c r="D205" s="4" t="str">
        <f t="shared" si="1"/>
        <v>Ms.</v>
      </c>
      <c r="E205" s="3" t="str">
        <f t="shared" si="4"/>
        <v>Ms. Myra Agarwal</v>
      </c>
      <c r="F205" s="3" t="str">
        <f>IFERROR(__xludf.DUMMYFUNCTION("SPLIT(B205,"" "")"),"Myra")</f>
        <v>Myra</v>
      </c>
      <c r="G205" s="3" t="str">
        <f>IFERROR(__xludf.DUMMYFUNCTION("""COMPUTED_VALUE"""),"Agarwal")</f>
        <v>Agarwal</v>
      </c>
      <c r="H205" s="3" t="s">
        <v>33</v>
      </c>
      <c r="I205" s="3">
        <v>2027.0</v>
      </c>
      <c r="J205" s="3">
        <f t="shared" si="2"/>
        <v>10000</v>
      </c>
      <c r="K205" s="3" t="s">
        <v>20</v>
      </c>
      <c r="L205" s="3">
        <v>0.0</v>
      </c>
      <c r="M205" s="3" t="s">
        <v>21</v>
      </c>
      <c r="N205" s="3">
        <v>17.0</v>
      </c>
      <c r="O205" s="3" t="s">
        <v>41</v>
      </c>
      <c r="P205" s="3" t="s">
        <v>38</v>
      </c>
      <c r="Q205" s="6">
        <f t="shared" si="3"/>
        <v>635000</v>
      </c>
    </row>
    <row r="206">
      <c r="A206" s="3">
        <v>64825.0</v>
      </c>
      <c r="B206" s="3" t="s">
        <v>236</v>
      </c>
      <c r="C206" s="3" t="s">
        <v>18</v>
      </c>
      <c r="D206" s="4" t="str">
        <f t="shared" si="1"/>
        <v>Mr.</v>
      </c>
      <c r="E206" s="3" t="str">
        <f t="shared" si="4"/>
        <v>Mr. Ayaan Singh</v>
      </c>
      <c r="F206" s="3" t="str">
        <f>IFERROR(__xludf.DUMMYFUNCTION("SPLIT(B206,"" "")"),"Ayaan")</f>
        <v>Ayaan</v>
      </c>
      <c r="G206" s="3" t="str">
        <f>IFERROR(__xludf.DUMMYFUNCTION("""COMPUTED_VALUE"""),"Singh")</f>
        <v>Singh</v>
      </c>
      <c r="H206" s="3" t="s">
        <v>19</v>
      </c>
      <c r="I206" s="3">
        <v>2023.0</v>
      </c>
      <c r="J206" s="3">
        <f t="shared" si="2"/>
        <v>5000</v>
      </c>
      <c r="K206" s="3" t="s">
        <v>26</v>
      </c>
      <c r="L206" s="3">
        <v>21015.0</v>
      </c>
      <c r="M206" s="3" t="s">
        <v>21</v>
      </c>
      <c r="N206" s="3">
        <v>68.0</v>
      </c>
      <c r="O206" s="3" t="s">
        <v>22</v>
      </c>
      <c r="P206" s="3" t="s">
        <v>38</v>
      </c>
      <c r="Q206" s="6">
        <f t="shared" si="3"/>
        <v>635000</v>
      </c>
    </row>
    <row r="207">
      <c r="A207" s="3">
        <v>64826.0</v>
      </c>
      <c r="B207" s="3" t="s">
        <v>237</v>
      </c>
      <c r="C207" s="3" t="s">
        <v>18</v>
      </c>
      <c r="D207" s="4" t="str">
        <f t="shared" si="1"/>
        <v>Mr.</v>
      </c>
      <c r="E207" s="3" t="str">
        <f t="shared" si="4"/>
        <v>Mr. Vihaan Malik</v>
      </c>
      <c r="F207" s="3" t="str">
        <f>IFERROR(__xludf.DUMMYFUNCTION("SPLIT(B207,"" "")"),"Vihaan")</f>
        <v>Vihaan</v>
      </c>
      <c r="G207" s="3" t="str">
        <f>IFERROR(__xludf.DUMMYFUNCTION("""COMPUTED_VALUE"""),"Malik")</f>
        <v>Malik</v>
      </c>
      <c r="H207" s="3" t="s">
        <v>46</v>
      </c>
      <c r="I207" s="3">
        <v>2023.0</v>
      </c>
      <c r="J207" s="3">
        <f t="shared" si="2"/>
        <v>5000</v>
      </c>
      <c r="K207" s="3" t="s">
        <v>20</v>
      </c>
      <c r="L207" s="3">
        <v>0.0</v>
      </c>
      <c r="M207" s="3" t="s">
        <v>21</v>
      </c>
      <c r="N207" s="3">
        <v>51.0</v>
      </c>
      <c r="O207" s="3" t="s">
        <v>41</v>
      </c>
      <c r="P207" s="3" t="s">
        <v>31</v>
      </c>
      <c r="Q207" s="6">
        <f t="shared" si="3"/>
        <v>910000</v>
      </c>
    </row>
    <row r="208">
      <c r="A208" s="3">
        <v>64827.0</v>
      </c>
      <c r="B208" s="3" t="s">
        <v>238</v>
      </c>
      <c r="C208" s="3" t="s">
        <v>18</v>
      </c>
      <c r="D208" s="4" t="str">
        <f t="shared" si="1"/>
        <v>Mr.</v>
      </c>
      <c r="E208" s="3" t="str">
        <f t="shared" si="4"/>
        <v>Mr. Dhanush Singh</v>
      </c>
      <c r="F208" s="3" t="str">
        <f>IFERROR(__xludf.DUMMYFUNCTION("SPLIT(B208,"" "")"),"Dhanush")</f>
        <v>Dhanush</v>
      </c>
      <c r="G208" s="3" t="str">
        <f>IFERROR(__xludf.DUMMYFUNCTION("""COMPUTED_VALUE"""),"Singh")</f>
        <v>Singh</v>
      </c>
      <c r="H208" s="3" t="s">
        <v>25</v>
      </c>
      <c r="I208" s="3">
        <v>2025.0</v>
      </c>
      <c r="J208" s="3">
        <f t="shared" si="2"/>
        <v>10000</v>
      </c>
      <c r="K208" s="3" t="s">
        <v>20</v>
      </c>
      <c r="L208" s="3">
        <v>0.0</v>
      </c>
      <c r="M208" s="3" t="s">
        <v>21</v>
      </c>
      <c r="N208" s="3">
        <v>7.0</v>
      </c>
      <c r="O208" s="3" t="s">
        <v>41</v>
      </c>
      <c r="P208" s="3" t="s">
        <v>38</v>
      </c>
      <c r="Q208" s="6">
        <f t="shared" si="3"/>
        <v>635000</v>
      </c>
    </row>
    <row r="209">
      <c r="A209" s="3">
        <v>64828.0</v>
      </c>
      <c r="B209" s="3" t="s">
        <v>239</v>
      </c>
      <c r="C209" s="3" t="s">
        <v>18</v>
      </c>
      <c r="D209" s="4" t="str">
        <f t="shared" si="1"/>
        <v>Mr.</v>
      </c>
      <c r="E209" s="3" t="str">
        <f t="shared" si="4"/>
        <v>Mr. Aarav Das</v>
      </c>
      <c r="F209" s="3" t="str">
        <f>IFERROR(__xludf.DUMMYFUNCTION("SPLIT(B209,"" "")"),"Aarav")</f>
        <v>Aarav</v>
      </c>
      <c r="G209" s="3" t="str">
        <f>IFERROR(__xludf.DUMMYFUNCTION("""COMPUTED_VALUE"""),"Das")</f>
        <v>Das</v>
      </c>
      <c r="H209" s="3" t="s">
        <v>25</v>
      </c>
      <c r="I209" s="3">
        <v>2026.0</v>
      </c>
      <c r="J209" s="3">
        <f t="shared" si="2"/>
        <v>10000</v>
      </c>
      <c r="K209" s="3" t="s">
        <v>26</v>
      </c>
      <c r="L209" s="3">
        <v>8363.0</v>
      </c>
      <c r="M209" s="3" t="s">
        <v>21</v>
      </c>
      <c r="N209" s="3">
        <v>22.0</v>
      </c>
      <c r="O209" s="3" t="s">
        <v>41</v>
      </c>
      <c r="P209" s="3" t="s">
        <v>38</v>
      </c>
      <c r="Q209" s="6">
        <f t="shared" si="3"/>
        <v>635000</v>
      </c>
    </row>
    <row r="210">
      <c r="A210" s="3">
        <v>64829.0</v>
      </c>
      <c r="B210" s="3" t="s">
        <v>240</v>
      </c>
      <c r="C210" s="3" t="s">
        <v>35</v>
      </c>
      <c r="D210" s="4" t="str">
        <f t="shared" si="1"/>
        <v>Ms.</v>
      </c>
      <c r="E210" s="3" t="str">
        <f t="shared" si="4"/>
        <v>Ms. Aaradhya Chowdhury</v>
      </c>
      <c r="F210" s="3" t="str">
        <f>IFERROR(__xludf.DUMMYFUNCTION("SPLIT(B210,"" "")"),"Aaradhya")</f>
        <v>Aaradhya</v>
      </c>
      <c r="G210" s="3" t="str">
        <f>IFERROR(__xludf.DUMMYFUNCTION("""COMPUTED_VALUE"""),"Chowdhury")</f>
        <v>Chowdhury</v>
      </c>
      <c r="H210" s="3" t="s">
        <v>33</v>
      </c>
      <c r="I210" s="3">
        <v>2026.0</v>
      </c>
      <c r="J210" s="3">
        <f t="shared" si="2"/>
        <v>10000</v>
      </c>
      <c r="K210" s="3" t="s">
        <v>20</v>
      </c>
      <c r="L210" s="3">
        <v>0.0</v>
      </c>
      <c r="M210" s="3" t="s">
        <v>21</v>
      </c>
      <c r="N210" s="3">
        <v>58.0</v>
      </c>
      <c r="O210" s="3" t="s">
        <v>41</v>
      </c>
      <c r="P210" s="3" t="s">
        <v>23</v>
      </c>
      <c r="Q210" s="6">
        <f t="shared" si="3"/>
        <v>430000</v>
      </c>
    </row>
    <row r="211">
      <c r="A211" s="3">
        <v>64830.0</v>
      </c>
      <c r="B211" s="3" t="s">
        <v>241</v>
      </c>
      <c r="C211" s="3" t="s">
        <v>18</v>
      </c>
      <c r="D211" s="4" t="str">
        <f t="shared" si="1"/>
        <v>Mr.</v>
      </c>
      <c r="E211" s="3" t="str">
        <f t="shared" si="4"/>
        <v>Mr. Vihaan Sinha</v>
      </c>
      <c r="F211" s="3" t="str">
        <f>IFERROR(__xludf.DUMMYFUNCTION("SPLIT(B211,"" "")"),"Vihaan")</f>
        <v>Vihaan</v>
      </c>
      <c r="G211" s="3" t="str">
        <f>IFERROR(__xludf.DUMMYFUNCTION("""COMPUTED_VALUE"""),"Sinha")</f>
        <v>Sinha</v>
      </c>
      <c r="H211" s="3" t="s">
        <v>25</v>
      </c>
      <c r="I211" s="3">
        <v>2027.0</v>
      </c>
      <c r="J211" s="3">
        <f t="shared" si="2"/>
        <v>10000</v>
      </c>
      <c r="K211" s="3" t="s">
        <v>20</v>
      </c>
      <c r="L211" s="3">
        <v>0.0</v>
      </c>
      <c r="M211" s="3" t="s">
        <v>30</v>
      </c>
      <c r="N211" s="3">
        <v>60.0</v>
      </c>
      <c r="O211" s="3" t="s">
        <v>41</v>
      </c>
      <c r="P211" s="3" t="s">
        <v>38</v>
      </c>
      <c r="Q211" s="6">
        <f t="shared" si="3"/>
        <v>635000</v>
      </c>
    </row>
    <row r="212">
      <c r="A212" s="3">
        <v>64831.0</v>
      </c>
      <c r="B212" s="3" t="s">
        <v>242</v>
      </c>
      <c r="C212" s="3" t="s">
        <v>35</v>
      </c>
      <c r="D212" s="4" t="str">
        <f t="shared" si="1"/>
        <v>Ms.</v>
      </c>
      <c r="E212" s="3" t="str">
        <f t="shared" si="4"/>
        <v>Ms. Shanaya Chowdhury</v>
      </c>
      <c r="F212" s="3" t="str">
        <f>IFERROR(__xludf.DUMMYFUNCTION("SPLIT(B212,"" "")"),"Shanaya")</f>
        <v>Shanaya</v>
      </c>
      <c r="G212" s="3" t="str">
        <f>IFERROR(__xludf.DUMMYFUNCTION("""COMPUTED_VALUE"""),"Chowdhury")</f>
        <v>Chowdhury</v>
      </c>
      <c r="H212" s="3" t="s">
        <v>46</v>
      </c>
      <c r="I212" s="3">
        <v>2025.0</v>
      </c>
      <c r="J212" s="3">
        <f t="shared" si="2"/>
        <v>5000</v>
      </c>
      <c r="K212" s="3" t="s">
        <v>20</v>
      </c>
      <c r="L212" s="3">
        <v>0.0</v>
      </c>
      <c r="M212" s="3" t="s">
        <v>21</v>
      </c>
      <c r="N212" s="3">
        <v>21.0</v>
      </c>
      <c r="O212" s="3" t="s">
        <v>41</v>
      </c>
      <c r="P212" s="3" t="s">
        <v>31</v>
      </c>
      <c r="Q212" s="6">
        <f t="shared" si="3"/>
        <v>910000</v>
      </c>
    </row>
    <row r="213">
      <c r="A213" s="3">
        <v>64832.0</v>
      </c>
      <c r="B213" s="3" t="s">
        <v>243</v>
      </c>
      <c r="C213" s="3" t="s">
        <v>18</v>
      </c>
      <c r="D213" s="4" t="str">
        <f t="shared" si="1"/>
        <v>Mr.</v>
      </c>
      <c r="E213" s="3" t="str">
        <f t="shared" si="4"/>
        <v>Mr. Reyansh Patel</v>
      </c>
      <c r="F213" s="3" t="str">
        <f>IFERROR(__xludf.DUMMYFUNCTION("SPLIT(B213,"" "")"),"Reyansh")</f>
        <v>Reyansh</v>
      </c>
      <c r="G213" s="3" t="str">
        <f>IFERROR(__xludf.DUMMYFUNCTION("""COMPUTED_VALUE"""),"Patel")</f>
        <v>Patel</v>
      </c>
      <c r="H213" s="3" t="s">
        <v>33</v>
      </c>
      <c r="I213" s="3">
        <v>2022.0</v>
      </c>
      <c r="J213" s="3">
        <f t="shared" si="2"/>
        <v>10000</v>
      </c>
      <c r="K213" s="3" t="s">
        <v>26</v>
      </c>
      <c r="L213" s="3">
        <v>6744.0</v>
      </c>
      <c r="M213" s="3" t="s">
        <v>21</v>
      </c>
      <c r="N213" s="3">
        <v>7.0</v>
      </c>
      <c r="O213" s="3" t="s">
        <v>41</v>
      </c>
      <c r="P213" s="3" t="s">
        <v>38</v>
      </c>
      <c r="Q213" s="6">
        <f t="shared" si="3"/>
        <v>635000</v>
      </c>
    </row>
    <row r="214">
      <c r="A214" s="3">
        <v>64833.0</v>
      </c>
      <c r="B214" s="3" t="s">
        <v>244</v>
      </c>
      <c r="C214" s="3" t="s">
        <v>18</v>
      </c>
      <c r="D214" s="4" t="str">
        <f t="shared" si="1"/>
        <v>Mr.</v>
      </c>
      <c r="E214" s="3" t="str">
        <f t="shared" si="4"/>
        <v>Mr. Arjun Verma</v>
      </c>
      <c r="F214" s="3" t="str">
        <f>IFERROR(__xludf.DUMMYFUNCTION("SPLIT(B214,"" "")"),"Arjun")</f>
        <v>Arjun</v>
      </c>
      <c r="G214" s="3" t="str">
        <f>IFERROR(__xludf.DUMMYFUNCTION("""COMPUTED_VALUE"""),"Verma")</f>
        <v>Verma</v>
      </c>
      <c r="H214" s="3" t="s">
        <v>25</v>
      </c>
      <c r="I214" s="3">
        <v>2026.0</v>
      </c>
      <c r="J214" s="3">
        <f t="shared" si="2"/>
        <v>10000</v>
      </c>
      <c r="K214" s="3" t="s">
        <v>20</v>
      </c>
      <c r="L214" s="3">
        <v>0.0</v>
      </c>
      <c r="M214" s="3" t="s">
        <v>21</v>
      </c>
      <c r="N214" s="3">
        <f>RANDBETWEEN(0,10)</f>
        <v>9</v>
      </c>
      <c r="O214" s="3" t="s">
        <v>41</v>
      </c>
      <c r="P214" s="3" t="s">
        <v>23</v>
      </c>
      <c r="Q214" s="6">
        <f t="shared" si="3"/>
        <v>430000</v>
      </c>
    </row>
    <row r="215">
      <c r="A215" s="3">
        <v>64834.0</v>
      </c>
      <c r="B215" s="3" t="s">
        <v>245</v>
      </c>
      <c r="C215" s="3" t="s">
        <v>18</v>
      </c>
      <c r="D215" s="4" t="str">
        <f t="shared" si="1"/>
        <v>Mr.</v>
      </c>
      <c r="E215" s="3" t="str">
        <f t="shared" si="4"/>
        <v>Mr. Anirudh Agarwal</v>
      </c>
      <c r="F215" s="3" t="str">
        <f>IFERROR(__xludf.DUMMYFUNCTION("SPLIT(B215,"" "")"),"Anirudh")</f>
        <v>Anirudh</v>
      </c>
      <c r="G215" s="3" t="str">
        <f>IFERROR(__xludf.DUMMYFUNCTION("""COMPUTED_VALUE"""),"Agarwal")</f>
        <v>Agarwal</v>
      </c>
      <c r="H215" s="3" t="s">
        <v>25</v>
      </c>
      <c r="I215" s="3">
        <v>2023.0</v>
      </c>
      <c r="J215" s="3">
        <f t="shared" si="2"/>
        <v>10000</v>
      </c>
      <c r="K215" s="3" t="s">
        <v>26</v>
      </c>
      <c r="L215" s="3">
        <v>14272.0</v>
      </c>
      <c r="M215" s="3" t="s">
        <v>21</v>
      </c>
      <c r="N215" s="3">
        <v>53.0</v>
      </c>
      <c r="O215" s="3" t="s">
        <v>41</v>
      </c>
      <c r="P215" s="3" t="s">
        <v>31</v>
      </c>
      <c r="Q215" s="6">
        <f t="shared" si="3"/>
        <v>910000</v>
      </c>
    </row>
    <row r="216">
      <c r="A216" s="3">
        <v>64835.0</v>
      </c>
      <c r="B216" s="3" t="s">
        <v>246</v>
      </c>
      <c r="C216" s="3" t="s">
        <v>35</v>
      </c>
      <c r="D216" s="4" t="str">
        <f t="shared" si="1"/>
        <v>Ms.</v>
      </c>
      <c r="E216" s="3" t="str">
        <f t="shared" si="4"/>
        <v>Ms. Saanvi Singh</v>
      </c>
      <c r="F216" s="3" t="str">
        <f>IFERROR(__xludf.DUMMYFUNCTION("SPLIT(B216,"" "")"),"Saanvi")</f>
        <v>Saanvi</v>
      </c>
      <c r="G216" s="3" t="str">
        <f>IFERROR(__xludf.DUMMYFUNCTION("""COMPUTED_VALUE"""),"Singh")</f>
        <v>Singh</v>
      </c>
      <c r="H216" s="3" t="s">
        <v>33</v>
      </c>
      <c r="I216" s="3">
        <v>2027.0</v>
      </c>
      <c r="J216" s="3">
        <f t="shared" si="2"/>
        <v>10000</v>
      </c>
      <c r="K216" s="3" t="s">
        <v>26</v>
      </c>
      <c r="L216" s="3">
        <v>1303.0</v>
      </c>
      <c r="M216" s="3" t="s">
        <v>21</v>
      </c>
      <c r="N216" s="3">
        <f>RANDBETWEEN(0,10)</f>
        <v>10</v>
      </c>
      <c r="O216" s="3" t="s">
        <v>41</v>
      </c>
      <c r="P216" s="3" t="s">
        <v>23</v>
      </c>
      <c r="Q216" s="6">
        <f t="shared" si="3"/>
        <v>430000</v>
      </c>
    </row>
    <row r="217">
      <c r="A217" s="3">
        <v>64836.0</v>
      </c>
      <c r="B217" s="3" t="s">
        <v>72</v>
      </c>
      <c r="C217" s="3" t="s">
        <v>18</v>
      </c>
      <c r="D217" s="4" t="str">
        <f t="shared" si="1"/>
        <v>Mr.</v>
      </c>
      <c r="E217" s="3" t="str">
        <f t="shared" si="4"/>
        <v>Mr. Aaryan Kumar</v>
      </c>
      <c r="F217" s="3" t="str">
        <f>IFERROR(__xludf.DUMMYFUNCTION("SPLIT(B217,"" "")"),"Aaryan")</f>
        <v>Aaryan</v>
      </c>
      <c r="G217" s="3" t="str">
        <f>IFERROR(__xludf.DUMMYFUNCTION("""COMPUTED_VALUE"""),"Kumar")</f>
        <v>Kumar</v>
      </c>
      <c r="H217" s="3" t="s">
        <v>46</v>
      </c>
      <c r="I217" s="3">
        <v>2024.0</v>
      </c>
      <c r="J217" s="3">
        <f t="shared" si="2"/>
        <v>5000</v>
      </c>
      <c r="K217" s="3" t="s">
        <v>20</v>
      </c>
      <c r="L217" s="3">
        <v>0.0</v>
      </c>
      <c r="M217" s="3" t="s">
        <v>21</v>
      </c>
      <c r="N217" s="3">
        <v>21.0</v>
      </c>
      <c r="O217" s="3" t="s">
        <v>41</v>
      </c>
      <c r="P217" s="3" t="s">
        <v>31</v>
      </c>
      <c r="Q217" s="6">
        <f t="shared" si="3"/>
        <v>910000</v>
      </c>
    </row>
    <row r="218">
      <c r="A218" s="3">
        <v>64837.0</v>
      </c>
      <c r="B218" s="3" t="s">
        <v>247</v>
      </c>
      <c r="C218" s="3" t="s">
        <v>35</v>
      </c>
      <c r="D218" s="4" t="str">
        <f t="shared" si="1"/>
        <v>Ms.</v>
      </c>
      <c r="E218" s="3" t="str">
        <f t="shared" si="4"/>
        <v>Ms. Sara Agarwal</v>
      </c>
      <c r="F218" s="3" t="str">
        <f>IFERROR(__xludf.DUMMYFUNCTION("SPLIT(B218,"" "")"),"Sara")</f>
        <v>Sara</v>
      </c>
      <c r="G218" s="3" t="str">
        <f>IFERROR(__xludf.DUMMYFUNCTION("""COMPUTED_VALUE"""),"Agarwal")</f>
        <v>Agarwal</v>
      </c>
      <c r="H218" s="3" t="s">
        <v>33</v>
      </c>
      <c r="I218" s="3">
        <v>2020.0</v>
      </c>
      <c r="J218" s="3">
        <f t="shared" si="2"/>
        <v>10000</v>
      </c>
      <c r="K218" s="3" t="s">
        <v>20</v>
      </c>
      <c r="L218" s="3">
        <v>0.0</v>
      </c>
      <c r="M218" s="3" t="s">
        <v>21</v>
      </c>
      <c r="N218" s="3">
        <v>67.0</v>
      </c>
      <c r="O218" s="3" t="s">
        <v>41</v>
      </c>
      <c r="P218" s="3" t="s">
        <v>31</v>
      </c>
      <c r="Q218" s="6">
        <f t="shared" si="3"/>
        <v>910000</v>
      </c>
    </row>
    <row r="219">
      <c r="A219" s="3">
        <v>64838.0</v>
      </c>
      <c r="B219" s="3" t="s">
        <v>248</v>
      </c>
      <c r="C219" s="3" t="s">
        <v>35</v>
      </c>
      <c r="D219" s="4" t="str">
        <f t="shared" si="1"/>
        <v>Ms.</v>
      </c>
      <c r="E219" s="3" t="str">
        <f t="shared" si="4"/>
        <v>Ms. Ira Kulkarni</v>
      </c>
      <c r="F219" s="3" t="str">
        <f>IFERROR(__xludf.DUMMYFUNCTION("SPLIT(B219,"" "")"),"Ira")</f>
        <v>Ira</v>
      </c>
      <c r="G219" s="3" t="str">
        <f>IFERROR(__xludf.DUMMYFUNCTION("""COMPUTED_VALUE"""),"Kulkarni")</f>
        <v>Kulkarni</v>
      </c>
      <c r="H219" s="3" t="s">
        <v>25</v>
      </c>
      <c r="I219" s="3">
        <v>2026.0</v>
      </c>
      <c r="J219" s="3">
        <f t="shared" si="2"/>
        <v>10000</v>
      </c>
      <c r="K219" s="3" t="s">
        <v>26</v>
      </c>
      <c r="L219" s="3">
        <v>3817.0</v>
      </c>
      <c r="M219" s="3" t="s">
        <v>21</v>
      </c>
      <c r="N219" s="3">
        <f t="shared" ref="N219:N220" si="17">RANDBETWEEN(0,10)</f>
        <v>3</v>
      </c>
      <c r="O219" s="3" t="s">
        <v>41</v>
      </c>
      <c r="P219" s="3" t="s">
        <v>31</v>
      </c>
      <c r="Q219" s="6">
        <f t="shared" si="3"/>
        <v>910000</v>
      </c>
    </row>
    <row r="220">
      <c r="A220" s="3">
        <v>64839.0</v>
      </c>
      <c r="B220" s="3" t="s">
        <v>249</v>
      </c>
      <c r="C220" s="3" t="s">
        <v>35</v>
      </c>
      <c r="D220" s="4" t="str">
        <f t="shared" si="1"/>
        <v>Ms.</v>
      </c>
      <c r="E220" s="3" t="str">
        <f t="shared" si="4"/>
        <v>Ms. Myra Bhat</v>
      </c>
      <c r="F220" s="3" t="str">
        <f>IFERROR(__xludf.DUMMYFUNCTION("SPLIT(B220,"" "")"),"Myra")</f>
        <v>Myra</v>
      </c>
      <c r="G220" s="3" t="str">
        <f>IFERROR(__xludf.DUMMYFUNCTION("""COMPUTED_VALUE"""),"Bhat")</f>
        <v>Bhat</v>
      </c>
      <c r="H220" s="3" t="s">
        <v>33</v>
      </c>
      <c r="I220" s="3">
        <v>2020.0</v>
      </c>
      <c r="J220" s="3">
        <f t="shared" si="2"/>
        <v>10000</v>
      </c>
      <c r="K220" s="3" t="s">
        <v>20</v>
      </c>
      <c r="L220" s="3">
        <v>0.0</v>
      </c>
      <c r="M220" s="3" t="s">
        <v>21</v>
      </c>
      <c r="N220" s="3">
        <f t="shared" si="17"/>
        <v>4</v>
      </c>
      <c r="O220" s="3" t="s">
        <v>41</v>
      </c>
      <c r="P220" s="3" t="s">
        <v>31</v>
      </c>
      <c r="Q220" s="6">
        <f t="shared" si="3"/>
        <v>910000</v>
      </c>
    </row>
    <row r="221">
      <c r="A221" s="3">
        <v>64840.0</v>
      </c>
      <c r="B221" s="3" t="s">
        <v>250</v>
      </c>
      <c r="C221" s="3" t="s">
        <v>35</v>
      </c>
      <c r="D221" s="4" t="str">
        <f t="shared" si="1"/>
        <v>Ms.</v>
      </c>
      <c r="E221" s="3" t="str">
        <f t="shared" si="4"/>
        <v>Ms. Diya Jain</v>
      </c>
      <c r="F221" s="3" t="str">
        <f>IFERROR(__xludf.DUMMYFUNCTION("SPLIT(B221,"" "")"),"Diya")</f>
        <v>Diya</v>
      </c>
      <c r="G221" s="3" t="str">
        <f>IFERROR(__xludf.DUMMYFUNCTION("""COMPUTED_VALUE"""),"Jain")</f>
        <v>Jain</v>
      </c>
      <c r="H221" s="3" t="s">
        <v>33</v>
      </c>
      <c r="I221" s="3">
        <v>2020.0</v>
      </c>
      <c r="J221" s="3">
        <f t="shared" si="2"/>
        <v>10000</v>
      </c>
      <c r="K221" s="3" t="s">
        <v>26</v>
      </c>
      <c r="L221" s="3">
        <v>20328.0</v>
      </c>
      <c r="M221" s="3" t="s">
        <v>21</v>
      </c>
      <c r="N221" s="3">
        <v>52.0</v>
      </c>
      <c r="O221" s="3" t="s">
        <v>41</v>
      </c>
      <c r="P221" s="3" t="s">
        <v>28</v>
      </c>
      <c r="Q221" s="6">
        <f t="shared" si="3"/>
        <v>400000</v>
      </c>
    </row>
    <row r="222">
      <c r="A222" s="3">
        <v>64841.0</v>
      </c>
      <c r="B222" s="3" t="s">
        <v>251</v>
      </c>
      <c r="C222" s="3" t="s">
        <v>35</v>
      </c>
      <c r="D222" s="4" t="str">
        <f t="shared" si="1"/>
        <v>Ms.</v>
      </c>
      <c r="E222" s="3" t="str">
        <f t="shared" si="4"/>
        <v>Ms. Shanaya Agarwal</v>
      </c>
      <c r="F222" s="3" t="str">
        <f>IFERROR(__xludf.DUMMYFUNCTION("SPLIT(B222,"" "")"),"Shanaya")</f>
        <v>Shanaya</v>
      </c>
      <c r="G222" s="3" t="str">
        <f>IFERROR(__xludf.DUMMYFUNCTION("""COMPUTED_VALUE"""),"Agarwal")</f>
        <v>Agarwal</v>
      </c>
      <c r="H222" s="3" t="s">
        <v>25</v>
      </c>
      <c r="I222" s="3">
        <v>2024.0</v>
      </c>
      <c r="J222" s="3">
        <f t="shared" si="2"/>
        <v>10000</v>
      </c>
      <c r="K222" s="3" t="s">
        <v>26</v>
      </c>
      <c r="L222" s="3">
        <v>15330.0</v>
      </c>
      <c r="M222" s="3" t="s">
        <v>21</v>
      </c>
      <c r="N222" s="3">
        <v>59.0</v>
      </c>
      <c r="O222" s="3" t="s">
        <v>41</v>
      </c>
      <c r="P222" s="3" t="s">
        <v>38</v>
      </c>
      <c r="Q222" s="6">
        <f t="shared" si="3"/>
        <v>635000</v>
      </c>
    </row>
    <row r="223">
      <c r="A223" s="3">
        <v>64842.0</v>
      </c>
      <c r="B223" s="3" t="s">
        <v>252</v>
      </c>
      <c r="C223" s="3" t="s">
        <v>18</v>
      </c>
      <c r="D223" s="4" t="str">
        <f t="shared" si="1"/>
        <v>Mr.</v>
      </c>
      <c r="E223" s="3" t="str">
        <f t="shared" si="4"/>
        <v>Mr. Rishi Rao</v>
      </c>
      <c r="F223" s="3" t="str">
        <f>IFERROR(__xludf.DUMMYFUNCTION("SPLIT(B223,"" "")"),"Rishi")</f>
        <v>Rishi</v>
      </c>
      <c r="G223" s="3" t="str">
        <f>IFERROR(__xludf.DUMMYFUNCTION("""COMPUTED_VALUE"""),"Rao")</f>
        <v>Rao</v>
      </c>
      <c r="H223" s="3" t="s">
        <v>25</v>
      </c>
      <c r="I223" s="3">
        <v>2024.0</v>
      </c>
      <c r="J223" s="3">
        <f t="shared" si="2"/>
        <v>10000</v>
      </c>
      <c r="K223" s="3" t="s">
        <v>26</v>
      </c>
      <c r="L223" s="3">
        <v>15986.0</v>
      </c>
      <c r="M223" s="3" t="s">
        <v>21</v>
      </c>
      <c r="N223" s="3">
        <f>RANDBETWEEN(0,10)</f>
        <v>6</v>
      </c>
      <c r="O223" s="3" t="s">
        <v>41</v>
      </c>
      <c r="P223" s="3" t="s">
        <v>31</v>
      </c>
      <c r="Q223" s="6">
        <f t="shared" si="3"/>
        <v>910000</v>
      </c>
    </row>
    <row r="224">
      <c r="A224" s="3">
        <v>64843.0</v>
      </c>
      <c r="B224" s="3" t="s">
        <v>253</v>
      </c>
      <c r="C224" s="3" t="s">
        <v>35</v>
      </c>
      <c r="D224" s="4" t="str">
        <f t="shared" si="1"/>
        <v>Ms.</v>
      </c>
      <c r="E224" s="3" t="str">
        <f t="shared" si="4"/>
        <v>Ms. Charvi Bhat</v>
      </c>
      <c r="F224" s="3" t="str">
        <f>IFERROR(__xludf.DUMMYFUNCTION("SPLIT(B224,"" "")"),"Charvi")</f>
        <v>Charvi</v>
      </c>
      <c r="G224" s="3" t="str">
        <f>IFERROR(__xludf.DUMMYFUNCTION("""COMPUTED_VALUE"""),"Bhat")</f>
        <v>Bhat</v>
      </c>
      <c r="H224" s="3" t="s">
        <v>46</v>
      </c>
      <c r="I224" s="3">
        <v>2026.0</v>
      </c>
      <c r="J224" s="3">
        <f t="shared" si="2"/>
        <v>5000</v>
      </c>
      <c r="K224" s="3" t="s">
        <v>20</v>
      </c>
      <c r="L224" s="3">
        <v>0.0</v>
      </c>
      <c r="M224" s="3" t="s">
        <v>21</v>
      </c>
      <c r="N224" s="3">
        <v>40.0</v>
      </c>
      <c r="O224" s="3" t="s">
        <v>41</v>
      </c>
      <c r="P224" s="3" t="s">
        <v>38</v>
      </c>
      <c r="Q224" s="6">
        <f t="shared" si="3"/>
        <v>635000</v>
      </c>
    </row>
    <row r="225">
      <c r="A225" s="3">
        <v>64844.0</v>
      </c>
      <c r="B225" s="3" t="s">
        <v>254</v>
      </c>
      <c r="C225" s="3" t="s">
        <v>18</v>
      </c>
      <c r="D225" s="4" t="str">
        <f t="shared" si="1"/>
        <v>Mr.</v>
      </c>
      <c r="E225" s="3" t="str">
        <f t="shared" si="4"/>
        <v>Mr. Arnav Chowdhury</v>
      </c>
      <c r="F225" s="3" t="str">
        <f>IFERROR(__xludf.DUMMYFUNCTION("SPLIT(B225,"" "")"),"Arnav")</f>
        <v>Arnav</v>
      </c>
      <c r="G225" s="3" t="str">
        <f>IFERROR(__xludf.DUMMYFUNCTION("""COMPUTED_VALUE"""),"Chowdhury")</f>
        <v>Chowdhury</v>
      </c>
      <c r="H225" s="3" t="s">
        <v>46</v>
      </c>
      <c r="I225" s="3">
        <v>2024.0</v>
      </c>
      <c r="J225" s="3">
        <f t="shared" si="2"/>
        <v>5000</v>
      </c>
      <c r="K225" s="3" t="s">
        <v>20</v>
      </c>
      <c r="L225" s="3">
        <v>0.0</v>
      </c>
      <c r="M225" s="3" t="s">
        <v>21</v>
      </c>
      <c r="N225" s="3">
        <v>4.0</v>
      </c>
      <c r="O225" s="3" t="s">
        <v>41</v>
      </c>
      <c r="P225" s="3" t="s">
        <v>31</v>
      </c>
      <c r="Q225" s="6">
        <f t="shared" si="3"/>
        <v>910000</v>
      </c>
    </row>
    <row r="226">
      <c r="A226" s="3">
        <v>64845.0</v>
      </c>
      <c r="B226" s="3" t="s">
        <v>255</v>
      </c>
      <c r="C226" s="3" t="s">
        <v>35</v>
      </c>
      <c r="D226" s="4" t="str">
        <f t="shared" si="1"/>
        <v>Ms.</v>
      </c>
      <c r="E226" s="3" t="str">
        <f t="shared" si="4"/>
        <v>Ms. Inaaya Das</v>
      </c>
      <c r="F226" s="3" t="str">
        <f>IFERROR(__xludf.DUMMYFUNCTION("SPLIT(B226,"" "")"),"Inaaya")</f>
        <v>Inaaya</v>
      </c>
      <c r="G226" s="3" t="str">
        <f>IFERROR(__xludf.DUMMYFUNCTION("""COMPUTED_VALUE"""),"Das")</f>
        <v>Das</v>
      </c>
      <c r="H226" s="3" t="s">
        <v>33</v>
      </c>
      <c r="I226" s="3">
        <v>2024.0</v>
      </c>
      <c r="J226" s="3">
        <f t="shared" si="2"/>
        <v>10000</v>
      </c>
      <c r="K226" s="3" t="s">
        <v>26</v>
      </c>
      <c r="L226" s="3">
        <v>3999.0</v>
      </c>
      <c r="M226" s="3" t="s">
        <v>21</v>
      </c>
      <c r="N226" s="3">
        <v>14.0</v>
      </c>
      <c r="O226" s="3" t="s">
        <v>41</v>
      </c>
      <c r="P226" s="3" t="s">
        <v>23</v>
      </c>
      <c r="Q226" s="6">
        <f t="shared" si="3"/>
        <v>430000</v>
      </c>
    </row>
    <row r="227">
      <c r="A227" s="3">
        <v>64846.0</v>
      </c>
      <c r="B227" s="3" t="s">
        <v>256</v>
      </c>
      <c r="C227" s="3" t="s">
        <v>18</v>
      </c>
      <c r="D227" s="4" t="str">
        <f t="shared" si="1"/>
        <v>Mr.</v>
      </c>
      <c r="E227" s="3" t="str">
        <f t="shared" si="4"/>
        <v>Mr. Atharv Iyer</v>
      </c>
      <c r="F227" s="3" t="str">
        <f>IFERROR(__xludf.DUMMYFUNCTION("SPLIT(B227,"" "")"),"Atharv")</f>
        <v>Atharv</v>
      </c>
      <c r="G227" s="3" t="str">
        <f>IFERROR(__xludf.DUMMYFUNCTION("""COMPUTED_VALUE"""),"Iyer")</f>
        <v>Iyer</v>
      </c>
      <c r="H227" s="3" t="s">
        <v>33</v>
      </c>
      <c r="I227" s="3">
        <v>2027.0</v>
      </c>
      <c r="J227" s="3">
        <f t="shared" si="2"/>
        <v>10000</v>
      </c>
      <c r="K227" s="3" t="s">
        <v>20</v>
      </c>
      <c r="L227" s="3">
        <v>0.0</v>
      </c>
      <c r="M227" s="3" t="s">
        <v>21</v>
      </c>
      <c r="N227" s="3">
        <v>64.0</v>
      </c>
      <c r="O227" s="3" t="s">
        <v>41</v>
      </c>
      <c r="P227" s="3" t="s">
        <v>23</v>
      </c>
      <c r="Q227" s="6">
        <f t="shared" si="3"/>
        <v>430000</v>
      </c>
    </row>
    <row r="228">
      <c r="A228" s="3">
        <v>64848.0</v>
      </c>
      <c r="B228" s="3" t="s">
        <v>257</v>
      </c>
      <c r="C228" s="3" t="s">
        <v>18</v>
      </c>
      <c r="D228" s="4" t="str">
        <f t="shared" si="1"/>
        <v>Mr.</v>
      </c>
      <c r="E228" s="3" t="str">
        <f t="shared" si="4"/>
        <v>Mr. Harsh Kulkarni</v>
      </c>
      <c r="F228" s="3" t="str">
        <f>IFERROR(__xludf.DUMMYFUNCTION("SPLIT(B228,"" "")"),"Harsh")</f>
        <v>Harsh</v>
      </c>
      <c r="G228" s="3" t="str">
        <f>IFERROR(__xludf.DUMMYFUNCTION("""COMPUTED_VALUE"""),"Kulkarni")</f>
        <v>Kulkarni</v>
      </c>
      <c r="H228" s="3" t="s">
        <v>46</v>
      </c>
      <c r="I228" s="3">
        <v>2022.0</v>
      </c>
      <c r="J228" s="3">
        <f t="shared" si="2"/>
        <v>5000</v>
      </c>
      <c r="K228" s="3" t="s">
        <v>20</v>
      </c>
      <c r="L228" s="3">
        <v>0.0</v>
      </c>
      <c r="M228" s="3" t="s">
        <v>30</v>
      </c>
      <c r="N228" s="3">
        <v>13.0</v>
      </c>
      <c r="O228" s="3" t="s">
        <v>41</v>
      </c>
      <c r="P228" s="3" t="s">
        <v>31</v>
      </c>
      <c r="Q228" s="6">
        <f t="shared" si="3"/>
        <v>910000</v>
      </c>
    </row>
    <row r="229">
      <c r="A229" s="3">
        <v>64849.0</v>
      </c>
      <c r="B229" s="3" t="s">
        <v>258</v>
      </c>
      <c r="C229" s="3" t="s">
        <v>35</v>
      </c>
      <c r="D229" s="4" t="str">
        <f t="shared" si="1"/>
        <v>Ms.</v>
      </c>
      <c r="E229" s="3" t="str">
        <f t="shared" si="4"/>
        <v>Ms. Ira Pillai</v>
      </c>
      <c r="F229" s="3" t="str">
        <f>IFERROR(__xludf.DUMMYFUNCTION("SPLIT(B229,"" "")"),"Ira")</f>
        <v>Ira</v>
      </c>
      <c r="G229" s="3" t="str">
        <f>IFERROR(__xludf.DUMMYFUNCTION("""COMPUTED_VALUE"""),"Pillai")</f>
        <v>Pillai</v>
      </c>
      <c r="H229" s="3" t="s">
        <v>25</v>
      </c>
      <c r="I229" s="3">
        <v>2025.0</v>
      </c>
      <c r="J229" s="3">
        <f t="shared" si="2"/>
        <v>10000</v>
      </c>
      <c r="K229" s="3" t="s">
        <v>20</v>
      </c>
      <c r="L229" s="3">
        <v>0.0</v>
      </c>
      <c r="M229" s="3" t="s">
        <v>21</v>
      </c>
      <c r="N229" s="3">
        <v>19.0</v>
      </c>
      <c r="O229" s="3" t="s">
        <v>41</v>
      </c>
      <c r="P229" s="3" t="s">
        <v>31</v>
      </c>
      <c r="Q229" s="6">
        <f t="shared" si="3"/>
        <v>910000</v>
      </c>
    </row>
    <row r="230">
      <c r="A230" s="3">
        <v>64851.0</v>
      </c>
      <c r="B230" s="3" t="s">
        <v>259</v>
      </c>
      <c r="C230" s="3" t="s">
        <v>35</v>
      </c>
      <c r="D230" s="4" t="str">
        <f t="shared" si="1"/>
        <v>Ms.</v>
      </c>
      <c r="E230" s="3" t="str">
        <f t="shared" si="4"/>
        <v>Ms. Mishka Singh</v>
      </c>
      <c r="F230" s="3" t="str">
        <f>IFERROR(__xludf.DUMMYFUNCTION("SPLIT(B230,"" "")"),"Mishka")</f>
        <v>Mishka</v>
      </c>
      <c r="G230" s="3" t="str">
        <f>IFERROR(__xludf.DUMMYFUNCTION("""COMPUTED_VALUE"""),"Singh")</f>
        <v>Singh</v>
      </c>
      <c r="H230" s="3" t="s">
        <v>33</v>
      </c>
      <c r="I230" s="3">
        <v>2024.0</v>
      </c>
      <c r="J230" s="3">
        <f t="shared" si="2"/>
        <v>10000</v>
      </c>
      <c r="K230" s="3" t="s">
        <v>26</v>
      </c>
      <c r="L230" s="3">
        <v>13137.0</v>
      </c>
      <c r="M230" s="3" t="s">
        <v>21</v>
      </c>
      <c r="N230" s="3">
        <v>55.0</v>
      </c>
      <c r="O230" s="3" t="s">
        <v>41</v>
      </c>
      <c r="P230" s="3" t="s">
        <v>78</v>
      </c>
      <c r="Q230" s="6">
        <f t="shared" si="3"/>
        <v>255000</v>
      </c>
    </row>
    <row r="231">
      <c r="A231" s="3">
        <v>64852.0</v>
      </c>
      <c r="B231" s="3" t="s">
        <v>260</v>
      </c>
      <c r="C231" s="3" t="s">
        <v>35</v>
      </c>
      <c r="D231" s="4" t="str">
        <f t="shared" si="1"/>
        <v>Ms.</v>
      </c>
      <c r="E231" s="3" t="str">
        <f t="shared" si="4"/>
        <v>Ms. Anaya Thakur</v>
      </c>
      <c r="F231" s="3" t="str">
        <f>IFERROR(__xludf.DUMMYFUNCTION("SPLIT(B231,"" "")"),"Anaya")</f>
        <v>Anaya</v>
      </c>
      <c r="G231" s="3" t="str">
        <f>IFERROR(__xludf.DUMMYFUNCTION("""COMPUTED_VALUE"""),"Thakur")</f>
        <v>Thakur</v>
      </c>
      <c r="H231" s="3" t="s">
        <v>33</v>
      </c>
      <c r="I231" s="3">
        <v>2027.0</v>
      </c>
      <c r="J231" s="3">
        <f t="shared" si="2"/>
        <v>10000</v>
      </c>
      <c r="K231" s="3" t="s">
        <v>20</v>
      </c>
      <c r="L231" s="3">
        <v>0.0</v>
      </c>
      <c r="M231" s="3" t="s">
        <v>21</v>
      </c>
      <c r="N231" s="3">
        <v>47.0</v>
      </c>
      <c r="O231" s="3" t="s">
        <v>41</v>
      </c>
      <c r="P231" s="3" t="s">
        <v>31</v>
      </c>
      <c r="Q231" s="6">
        <f t="shared" si="3"/>
        <v>910000</v>
      </c>
    </row>
    <row r="232">
      <c r="A232" s="3">
        <v>64853.0</v>
      </c>
      <c r="B232" s="3" t="s">
        <v>240</v>
      </c>
      <c r="C232" s="3" t="s">
        <v>35</v>
      </c>
      <c r="D232" s="4" t="str">
        <f t="shared" si="1"/>
        <v>Ms.</v>
      </c>
      <c r="E232" s="3" t="str">
        <f t="shared" si="4"/>
        <v>Ms. Aaradhya Chowdhury</v>
      </c>
      <c r="F232" s="3" t="str">
        <f>IFERROR(__xludf.DUMMYFUNCTION("SPLIT(B232,"" "")"),"Aaradhya")</f>
        <v>Aaradhya</v>
      </c>
      <c r="G232" s="3" t="str">
        <f>IFERROR(__xludf.DUMMYFUNCTION("""COMPUTED_VALUE"""),"Chowdhury")</f>
        <v>Chowdhury</v>
      </c>
      <c r="H232" s="3" t="s">
        <v>25</v>
      </c>
      <c r="I232" s="3">
        <v>2023.0</v>
      </c>
      <c r="J232" s="3">
        <f t="shared" si="2"/>
        <v>10000</v>
      </c>
      <c r="K232" s="3" t="s">
        <v>26</v>
      </c>
      <c r="L232" s="3">
        <v>9561.0</v>
      </c>
      <c r="M232" s="3" t="s">
        <v>21</v>
      </c>
      <c r="N232" s="3">
        <v>20.0</v>
      </c>
      <c r="O232" s="3" t="s">
        <v>22</v>
      </c>
      <c r="P232" s="3" t="s">
        <v>38</v>
      </c>
      <c r="Q232" s="6">
        <f t="shared" si="3"/>
        <v>635000</v>
      </c>
    </row>
    <row r="233">
      <c r="A233" s="3">
        <v>64854.0</v>
      </c>
      <c r="B233" s="3" t="s">
        <v>261</v>
      </c>
      <c r="C233" s="3" t="s">
        <v>18</v>
      </c>
      <c r="D233" s="4" t="str">
        <f t="shared" si="1"/>
        <v>Mr.</v>
      </c>
      <c r="E233" s="3" t="str">
        <f t="shared" si="4"/>
        <v>Mr. Ishaan Gupta</v>
      </c>
      <c r="F233" s="3" t="str">
        <f>IFERROR(__xludf.DUMMYFUNCTION("SPLIT(B233,"" "")"),"Ishaan")</f>
        <v>Ishaan</v>
      </c>
      <c r="G233" s="3" t="str">
        <f>IFERROR(__xludf.DUMMYFUNCTION("""COMPUTED_VALUE"""),"Gupta")</f>
        <v>Gupta</v>
      </c>
      <c r="H233" s="3" t="s">
        <v>25</v>
      </c>
      <c r="I233" s="3">
        <v>2023.0</v>
      </c>
      <c r="J233" s="3">
        <f t="shared" si="2"/>
        <v>10000</v>
      </c>
      <c r="K233" s="3" t="s">
        <v>20</v>
      </c>
      <c r="L233" s="3">
        <v>0.0</v>
      </c>
      <c r="M233" s="3" t="s">
        <v>21</v>
      </c>
      <c r="N233" s="3">
        <v>71.0</v>
      </c>
      <c r="O233" s="3" t="s">
        <v>41</v>
      </c>
      <c r="P233" s="3" t="s">
        <v>78</v>
      </c>
      <c r="Q233" s="6">
        <f t="shared" si="3"/>
        <v>255000</v>
      </c>
    </row>
    <row r="234">
      <c r="A234" s="3">
        <v>64855.0</v>
      </c>
      <c r="B234" s="3" t="s">
        <v>210</v>
      </c>
      <c r="C234" s="3" t="s">
        <v>18</v>
      </c>
      <c r="D234" s="4" t="str">
        <f t="shared" si="1"/>
        <v>Mr.</v>
      </c>
      <c r="E234" s="3" t="str">
        <f t="shared" si="4"/>
        <v>Mr. Parth Das</v>
      </c>
      <c r="F234" s="3" t="str">
        <f>IFERROR(__xludf.DUMMYFUNCTION("SPLIT(B234,"" "")"),"Parth")</f>
        <v>Parth</v>
      </c>
      <c r="G234" s="3" t="str">
        <f>IFERROR(__xludf.DUMMYFUNCTION("""COMPUTED_VALUE"""),"Das")</f>
        <v>Das</v>
      </c>
      <c r="H234" s="3" t="s">
        <v>19</v>
      </c>
      <c r="I234" s="3">
        <v>2025.0</v>
      </c>
      <c r="J234" s="3">
        <f t="shared" si="2"/>
        <v>5000</v>
      </c>
      <c r="K234" s="3" t="s">
        <v>20</v>
      </c>
      <c r="L234" s="3">
        <v>0.0</v>
      </c>
      <c r="M234" s="3" t="s">
        <v>21</v>
      </c>
      <c r="N234" s="3">
        <v>51.0</v>
      </c>
      <c r="O234" s="3" t="s">
        <v>41</v>
      </c>
      <c r="P234" s="3" t="s">
        <v>31</v>
      </c>
      <c r="Q234" s="6">
        <f t="shared" si="3"/>
        <v>910000</v>
      </c>
    </row>
    <row r="235">
      <c r="A235" s="3">
        <v>64856.0</v>
      </c>
      <c r="B235" s="3" t="s">
        <v>262</v>
      </c>
      <c r="C235" s="3" t="s">
        <v>35</v>
      </c>
      <c r="D235" s="4" t="str">
        <f t="shared" si="1"/>
        <v>Ms.</v>
      </c>
      <c r="E235" s="3" t="str">
        <f t="shared" si="4"/>
        <v>Ms. Aadhya Naidu</v>
      </c>
      <c r="F235" s="3" t="str">
        <f>IFERROR(__xludf.DUMMYFUNCTION("SPLIT(B235,"" "")"),"Aadhya")</f>
        <v>Aadhya</v>
      </c>
      <c r="G235" s="3" t="str">
        <f>IFERROR(__xludf.DUMMYFUNCTION("""COMPUTED_VALUE"""),"Naidu")</f>
        <v>Naidu</v>
      </c>
      <c r="H235" s="3" t="s">
        <v>19</v>
      </c>
      <c r="I235" s="3">
        <v>2028.0</v>
      </c>
      <c r="J235" s="3">
        <f t="shared" si="2"/>
        <v>5000</v>
      </c>
      <c r="K235" s="3" t="s">
        <v>20</v>
      </c>
      <c r="L235" s="3">
        <v>0.0</v>
      </c>
      <c r="M235" s="3" t="s">
        <v>21</v>
      </c>
      <c r="N235" s="3">
        <v>61.0</v>
      </c>
      <c r="O235" s="3" t="s">
        <v>41</v>
      </c>
      <c r="P235" s="3" t="s">
        <v>38</v>
      </c>
      <c r="Q235" s="6">
        <f t="shared" si="3"/>
        <v>635000</v>
      </c>
    </row>
    <row r="236">
      <c r="A236" s="3">
        <v>64857.0</v>
      </c>
      <c r="B236" s="3" t="s">
        <v>263</v>
      </c>
      <c r="C236" s="3" t="s">
        <v>35</v>
      </c>
      <c r="D236" s="4" t="str">
        <f t="shared" si="1"/>
        <v>Ms.</v>
      </c>
      <c r="E236" s="3" t="str">
        <f t="shared" si="4"/>
        <v>Ms. Aadhya Kapoor</v>
      </c>
      <c r="F236" s="3" t="str">
        <f>IFERROR(__xludf.DUMMYFUNCTION("SPLIT(B236,"" "")"),"Aadhya")</f>
        <v>Aadhya</v>
      </c>
      <c r="G236" s="3" t="str">
        <f>IFERROR(__xludf.DUMMYFUNCTION("""COMPUTED_VALUE"""),"Kapoor")</f>
        <v>Kapoor</v>
      </c>
      <c r="H236" s="3" t="s">
        <v>19</v>
      </c>
      <c r="I236" s="3">
        <v>2023.0</v>
      </c>
      <c r="J236" s="3">
        <f t="shared" si="2"/>
        <v>5000</v>
      </c>
      <c r="K236" s="3" t="s">
        <v>20</v>
      </c>
      <c r="L236" s="3">
        <v>0.0</v>
      </c>
      <c r="M236" s="3" t="s">
        <v>21</v>
      </c>
      <c r="N236" s="3">
        <v>37.0</v>
      </c>
      <c r="O236" s="3" t="s">
        <v>41</v>
      </c>
      <c r="P236" s="3" t="s">
        <v>78</v>
      </c>
      <c r="Q236" s="6">
        <f t="shared" si="3"/>
        <v>255000</v>
      </c>
    </row>
    <row r="237">
      <c r="A237" s="3">
        <v>64858.0</v>
      </c>
      <c r="B237" s="3" t="s">
        <v>264</v>
      </c>
      <c r="C237" s="3" t="s">
        <v>18</v>
      </c>
      <c r="D237" s="4" t="str">
        <f t="shared" si="1"/>
        <v>Mr.</v>
      </c>
      <c r="E237" s="3" t="str">
        <f t="shared" si="4"/>
        <v>Mr. Anirudh Mehta</v>
      </c>
      <c r="F237" s="3" t="str">
        <f>IFERROR(__xludf.DUMMYFUNCTION("SPLIT(B237,"" "")"),"Anirudh")</f>
        <v>Anirudh</v>
      </c>
      <c r="G237" s="3" t="str">
        <f>IFERROR(__xludf.DUMMYFUNCTION("""COMPUTED_VALUE"""),"Mehta")</f>
        <v>Mehta</v>
      </c>
      <c r="H237" s="3" t="s">
        <v>46</v>
      </c>
      <c r="I237" s="3">
        <v>2019.0</v>
      </c>
      <c r="J237" s="3">
        <f t="shared" si="2"/>
        <v>5000</v>
      </c>
      <c r="K237" s="3" t="s">
        <v>26</v>
      </c>
      <c r="L237" s="3">
        <v>13952.0</v>
      </c>
      <c r="M237" s="3" t="s">
        <v>30</v>
      </c>
      <c r="N237" s="3">
        <v>72.0</v>
      </c>
      <c r="O237" s="3" t="s">
        <v>22</v>
      </c>
      <c r="P237" s="3" t="s">
        <v>31</v>
      </c>
      <c r="Q237" s="6">
        <f t="shared" si="3"/>
        <v>910000</v>
      </c>
    </row>
    <row r="238">
      <c r="A238" s="3">
        <v>64859.0</v>
      </c>
      <c r="B238" s="3" t="s">
        <v>265</v>
      </c>
      <c r="C238" s="3" t="s">
        <v>35</v>
      </c>
      <c r="D238" s="4" t="str">
        <f t="shared" si="1"/>
        <v>Ms.</v>
      </c>
      <c r="E238" s="3" t="str">
        <f t="shared" si="4"/>
        <v>Ms. Aadhya Das</v>
      </c>
      <c r="F238" s="3" t="str">
        <f>IFERROR(__xludf.DUMMYFUNCTION("SPLIT(B238,"" "")"),"Aadhya")</f>
        <v>Aadhya</v>
      </c>
      <c r="G238" s="3" t="str">
        <f>IFERROR(__xludf.DUMMYFUNCTION("""COMPUTED_VALUE"""),"Das")</f>
        <v>Das</v>
      </c>
      <c r="H238" s="3" t="s">
        <v>46</v>
      </c>
      <c r="I238" s="3">
        <v>2026.0</v>
      </c>
      <c r="J238" s="3">
        <f t="shared" si="2"/>
        <v>5000</v>
      </c>
      <c r="K238" s="3" t="s">
        <v>26</v>
      </c>
      <c r="L238" s="3">
        <v>10385.0</v>
      </c>
      <c r="M238" s="3" t="s">
        <v>21</v>
      </c>
      <c r="N238" s="3">
        <v>76.0</v>
      </c>
      <c r="O238" s="3" t="s">
        <v>41</v>
      </c>
      <c r="P238" s="3" t="s">
        <v>38</v>
      </c>
      <c r="Q238" s="6">
        <f t="shared" si="3"/>
        <v>635000</v>
      </c>
    </row>
    <row r="239">
      <c r="A239" s="3">
        <v>64860.0</v>
      </c>
      <c r="B239" s="3" t="s">
        <v>266</v>
      </c>
      <c r="C239" s="3" t="s">
        <v>18</v>
      </c>
      <c r="D239" s="4" t="str">
        <f t="shared" si="1"/>
        <v>Mr.</v>
      </c>
      <c r="E239" s="3" t="str">
        <f t="shared" si="4"/>
        <v>Mr. Yashvi Patel</v>
      </c>
      <c r="F239" s="3" t="str">
        <f>IFERROR(__xludf.DUMMYFUNCTION("SPLIT(B239,"" "")"),"Yashvi")</f>
        <v>Yashvi</v>
      </c>
      <c r="G239" s="3" t="str">
        <f>IFERROR(__xludf.DUMMYFUNCTION("""COMPUTED_VALUE"""),"Patel")</f>
        <v>Patel</v>
      </c>
      <c r="H239" s="3" t="s">
        <v>33</v>
      </c>
      <c r="I239" s="3">
        <v>2024.0</v>
      </c>
      <c r="J239" s="3">
        <f t="shared" si="2"/>
        <v>10000</v>
      </c>
      <c r="K239" s="3" t="s">
        <v>26</v>
      </c>
      <c r="L239" s="3">
        <v>18036.0</v>
      </c>
      <c r="M239" s="3" t="s">
        <v>21</v>
      </c>
      <c r="N239" s="3">
        <v>58.0</v>
      </c>
      <c r="O239" s="3" t="s">
        <v>22</v>
      </c>
      <c r="P239" s="3" t="s">
        <v>38</v>
      </c>
      <c r="Q239" s="6">
        <f t="shared" si="3"/>
        <v>635000</v>
      </c>
    </row>
    <row r="240">
      <c r="A240" s="3">
        <v>64861.0</v>
      </c>
      <c r="B240" s="3" t="s">
        <v>267</v>
      </c>
      <c r="C240" s="3" t="s">
        <v>18</v>
      </c>
      <c r="D240" s="4" t="str">
        <f t="shared" si="1"/>
        <v>Mr.</v>
      </c>
      <c r="E240" s="3" t="str">
        <f t="shared" si="4"/>
        <v>Mr. Reyansh Dutta</v>
      </c>
      <c r="F240" s="3" t="str">
        <f>IFERROR(__xludf.DUMMYFUNCTION("SPLIT(B240,"" "")"),"Reyansh")</f>
        <v>Reyansh</v>
      </c>
      <c r="G240" s="3" t="str">
        <f>IFERROR(__xludf.DUMMYFUNCTION("""COMPUTED_VALUE"""),"Dutta")</f>
        <v>Dutta</v>
      </c>
      <c r="H240" s="3" t="s">
        <v>25</v>
      </c>
      <c r="I240" s="3">
        <v>2024.0</v>
      </c>
      <c r="J240" s="3">
        <f t="shared" si="2"/>
        <v>10000</v>
      </c>
      <c r="K240" s="3" t="s">
        <v>20</v>
      </c>
      <c r="L240" s="3">
        <v>0.0</v>
      </c>
      <c r="M240" s="3" t="s">
        <v>21</v>
      </c>
      <c r="N240" s="3">
        <v>26.0</v>
      </c>
      <c r="O240" s="3" t="s">
        <v>41</v>
      </c>
      <c r="P240" s="3" t="s">
        <v>31</v>
      </c>
      <c r="Q240" s="6">
        <f t="shared" si="3"/>
        <v>910000</v>
      </c>
    </row>
    <row r="241">
      <c r="A241" s="3">
        <v>64862.0</v>
      </c>
      <c r="B241" s="3" t="s">
        <v>268</v>
      </c>
      <c r="C241" s="3" t="s">
        <v>18</v>
      </c>
      <c r="D241" s="4" t="str">
        <f t="shared" si="1"/>
        <v>Mr.</v>
      </c>
      <c r="E241" s="3" t="str">
        <f t="shared" si="4"/>
        <v>Mr. Kian Rao</v>
      </c>
      <c r="F241" s="3" t="str">
        <f>IFERROR(__xludf.DUMMYFUNCTION("SPLIT(B241,"" "")"),"Kian")</f>
        <v>Kian</v>
      </c>
      <c r="G241" s="3" t="str">
        <f>IFERROR(__xludf.DUMMYFUNCTION("""COMPUTED_VALUE"""),"Rao")</f>
        <v>Rao</v>
      </c>
      <c r="H241" s="3" t="s">
        <v>25</v>
      </c>
      <c r="I241" s="3">
        <v>2026.0</v>
      </c>
      <c r="J241" s="3">
        <f t="shared" si="2"/>
        <v>10000</v>
      </c>
      <c r="K241" s="3" t="s">
        <v>20</v>
      </c>
      <c r="L241" s="3">
        <v>0.0</v>
      </c>
      <c r="M241" s="3" t="s">
        <v>21</v>
      </c>
      <c r="N241" s="3">
        <v>50.0</v>
      </c>
      <c r="O241" s="3" t="s">
        <v>41</v>
      </c>
      <c r="P241" s="3" t="s">
        <v>38</v>
      </c>
      <c r="Q241" s="6">
        <f t="shared" si="3"/>
        <v>635000</v>
      </c>
    </row>
    <row r="242">
      <c r="A242" s="3">
        <v>64863.0</v>
      </c>
      <c r="B242" s="3" t="s">
        <v>269</v>
      </c>
      <c r="C242" s="3" t="s">
        <v>35</v>
      </c>
      <c r="D242" s="4" t="str">
        <f t="shared" si="1"/>
        <v>Ms.</v>
      </c>
      <c r="E242" s="3" t="str">
        <f t="shared" si="4"/>
        <v>Ms. Navya Mishra</v>
      </c>
      <c r="F242" s="3" t="str">
        <f>IFERROR(__xludf.DUMMYFUNCTION("SPLIT(B242,"" "")"),"Navya")</f>
        <v>Navya</v>
      </c>
      <c r="G242" s="3" t="str">
        <f>IFERROR(__xludf.DUMMYFUNCTION("""COMPUTED_VALUE"""),"Mishra")</f>
        <v>Mishra</v>
      </c>
      <c r="H242" s="3" t="s">
        <v>19</v>
      </c>
      <c r="I242" s="3">
        <v>2021.0</v>
      </c>
      <c r="J242" s="3">
        <f t="shared" si="2"/>
        <v>5000</v>
      </c>
      <c r="K242" s="3" t="s">
        <v>20</v>
      </c>
      <c r="L242" s="3">
        <v>0.0</v>
      </c>
      <c r="M242" s="3" t="s">
        <v>21</v>
      </c>
      <c r="N242" s="3">
        <f>RANDBETWEEN(0,10)</f>
        <v>2</v>
      </c>
      <c r="O242" s="3" t="s">
        <v>41</v>
      </c>
      <c r="P242" s="3" t="s">
        <v>31</v>
      </c>
      <c r="Q242" s="6">
        <f t="shared" si="3"/>
        <v>910000</v>
      </c>
    </row>
    <row r="243">
      <c r="A243" s="3">
        <v>64864.0</v>
      </c>
      <c r="B243" s="3" t="s">
        <v>270</v>
      </c>
      <c r="C243" s="3" t="s">
        <v>35</v>
      </c>
      <c r="D243" s="4" t="str">
        <f t="shared" si="1"/>
        <v>Ms.</v>
      </c>
      <c r="E243" s="3" t="str">
        <f t="shared" si="4"/>
        <v>Ms. Naira Bhatt</v>
      </c>
      <c r="F243" s="3" t="str">
        <f>IFERROR(__xludf.DUMMYFUNCTION("SPLIT(B243,"" "")"),"Naira")</f>
        <v>Naira</v>
      </c>
      <c r="G243" s="3" t="str">
        <f>IFERROR(__xludf.DUMMYFUNCTION("""COMPUTED_VALUE"""),"Bhatt")</f>
        <v>Bhatt</v>
      </c>
      <c r="H243" s="3" t="s">
        <v>33</v>
      </c>
      <c r="I243" s="3">
        <v>2025.0</v>
      </c>
      <c r="J243" s="3">
        <f t="shared" si="2"/>
        <v>10000</v>
      </c>
      <c r="K243" s="3" t="s">
        <v>20</v>
      </c>
      <c r="L243" s="3">
        <v>0.0</v>
      </c>
      <c r="M243" s="3" t="s">
        <v>21</v>
      </c>
      <c r="N243" s="3">
        <v>36.0</v>
      </c>
      <c r="O243" s="3" t="s">
        <v>41</v>
      </c>
      <c r="P243" s="3" t="s">
        <v>38</v>
      </c>
      <c r="Q243" s="6">
        <f t="shared" si="3"/>
        <v>635000</v>
      </c>
    </row>
    <row r="244">
      <c r="A244" s="3">
        <v>64865.0</v>
      </c>
      <c r="B244" s="3" t="s">
        <v>271</v>
      </c>
      <c r="C244" s="3" t="s">
        <v>18</v>
      </c>
      <c r="D244" s="4" t="str">
        <f t="shared" si="1"/>
        <v>Mr.</v>
      </c>
      <c r="E244" s="3" t="str">
        <f t="shared" si="4"/>
        <v>Mr. Vivaan Desai</v>
      </c>
      <c r="F244" s="3" t="str">
        <f>IFERROR(__xludf.DUMMYFUNCTION("SPLIT(B244,"" "")"),"Vivaan")</f>
        <v>Vivaan</v>
      </c>
      <c r="G244" s="3" t="str">
        <f>IFERROR(__xludf.DUMMYFUNCTION("""COMPUTED_VALUE"""),"Desai")</f>
        <v>Desai</v>
      </c>
      <c r="H244" s="3" t="s">
        <v>25</v>
      </c>
      <c r="I244" s="3">
        <v>2026.0</v>
      </c>
      <c r="J244" s="3">
        <f t="shared" si="2"/>
        <v>10000</v>
      </c>
      <c r="K244" s="3" t="s">
        <v>20</v>
      </c>
      <c r="L244" s="3">
        <v>0.0</v>
      </c>
      <c r="M244" s="3" t="s">
        <v>21</v>
      </c>
      <c r="N244" s="3">
        <v>23.0</v>
      </c>
      <c r="O244" s="3" t="s">
        <v>41</v>
      </c>
      <c r="P244" s="3" t="s">
        <v>38</v>
      </c>
      <c r="Q244" s="6">
        <f t="shared" si="3"/>
        <v>635000</v>
      </c>
    </row>
    <row r="245">
      <c r="A245" s="3">
        <v>64866.0</v>
      </c>
      <c r="B245" s="3" t="s">
        <v>200</v>
      </c>
      <c r="C245" s="3" t="s">
        <v>35</v>
      </c>
      <c r="D245" s="4" t="str">
        <f t="shared" si="1"/>
        <v>Ms.</v>
      </c>
      <c r="E245" s="3" t="str">
        <f t="shared" si="4"/>
        <v>Ms. Kyra Malik</v>
      </c>
      <c r="F245" s="3" t="str">
        <f>IFERROR(__xludf.DUMMYFUNCTION("SPLIT(B245,"" "")"),"Kyra")</f>
        <v>Kyra</v>
      </c>
      <c r="G245" s="3" t="str">
        <f>IFERROR(__xludf.DUMMYFUNCTION("""COMPUTED_VALUE"""),"Malik")</f>
        <v>Malik</v>
      </c>
      <c r="H245" s="3" t="s">
        <v>19</v>
      </c>
      <c r="I245" s="3">
        <v>2022.0</v>
      </c>
      <c r="J245" s="3">
        <f t="shared" si="2"/>
        <v>5000</v>
      </c>
      <c r="K245" s="3" t="s">
        <v>20</v>
      </c>
      <c r="L245" s="3">
        <v>212.0</v>
      </c>
      <c r="M245" s="3" t="s">
        <v>21</v>
      </c>
      <c r="N245" s="3">
        <f>RANDBETWEEN(0,10)</f>
        <v>0</v>
      </c>
      <c r="O245" s="3" t="s">
        <v>22</v>
      </c>
      <c r="P245" s="3" t="s">
        <v>31</v>
      </c>
      <c r="Q245" s="6">
        <f t="shared" si="3"/>
        <v>910000</v>
      </c>
    </row>
    <row r="246">
      <c r="A246" s="3">
        <v>64867.0</v>
      </c>
      <c r="B246" s="3" t="s">
        <v>272</v>
      </c>
      <c r="C246" s="3" t="s">
        <v>18</v>
      </c>
      <c r="D246" s="4" t="str">
        <f t="shared" si="1"/>
        <v>Mr.</v>
      </c>
      <c r="E246" s="3" t="str">
        <f t="shared" si="4"/>
        <v>Mr. Kabir Mishra</v>
      </c>
      <c r="F246" s="3" t="str">
        <f>IFERROR(__xludf.DUMMYFUNCTION("SPLIT(B246,"" "")"),"Kabir")</f>
        <v>Kabir</v>
      </c>
      <c r="G246" s="3" t="str">
        <f>IFERROR(__xludf.DUMMYFUNCTION("""COMPUTED_VALUE"""),"Mishra")</f>
        <v>Mishra</v>
      </c>
      <c r="H246" s="3" t="s">
        <v>33</v>
      </c>
      <c r="I246" s="3">
        <v>2024.0</v>
      </c>
      <c r="J246" s="3">
        <f t="shared" si="2"/>
        <v>10000</v>
      </c>
      <c r="K246" s="3" t="s">
        <v>20</v>
      </c>
      <c r="L246" s="3">
        <v>0.0</v>
      </c>
      <c r="M246" s="3" t="s">
        <v>21</v>
      </c>
      <c r="N246" s="3">
        <v>26.0</v>
      </c>
      <c r="O246" s="3" t="s">
        <v>41</v>
      </c>
      <c r="P246" s="3" t="s">
        <v>31</v>
      </c>
      <c r="Q246" s="6">
        <f t="shared" si="3"/>
        <v>910000</v>
      </c>
    </row>
    <row r="247">
      <c r="A247" s="3">
        <v>64868.0</v>
      </c>
      <c r="B247" s="3" t="s">
        <v>162</v>
      </c>
      <c r="C247" s="3" t="s">
        <v>35</v>
      </c>
      <c r="D247" s="4" t="str">
        <f t="shared" si="1"/>
        <v>Ms.</v>
      </c>
      <c r="E247" s="3" t="str">
        <f t="shared" si="4"/>
        <v>Ms. Sara Nair</v>
      </c>
      <c r="F247" s="3" t="str">
        <f>IFERROR(__xludf.DUMMYFUNCTION("SPLIT(B247,"" "")"),"Sara")</f>
        <v>Sara</v>
      </c>
      <c r="G247" s="3" t="str">
        <f>IFERROR(__xludf.DUMMYFUNCTION("""COMPUTED_VALUE"""),"Nair")</f>
        <v>Nair</v>
      </c>
      <c r="H247" s="3" t="s">
        <v>25</v>
      </c>
      <c r="I247" s="3">
        <v>2026.0</v>
      </c>
      <c r="J247" s="3">
        <f t="shared" si="2"/>
        <v>10000</v>
      </c>
      <c r="K247" s="3" t="s">
        <v>26</v>
      </c>
      <c r="L247" s="3">
        <v>1643.0</v>
      </c>
      <c r="M247" s="3" t="s">
        <v>21</v>
      </c>
      <c r="N247" s="3">
        <v>0.0</v>
      </c>
      <c r="O247" s="3" t="s">
        <v>41</v>
      </c>
      <c r="P247" s="3" t="s">
        <v>31</v>
      </c>
      <c r="Q247" s="6">
        <f t="shared" si="3"/>
        <v>910000</v>
      </c>
    </row>
    <row r="248">
      <c r="A248" s="3">
        <v>64872.0</v>
      </c>
      <c r="B248" s="3" t="s">
        <v>273</v>
      </c>
      <c r="C248" s="3" t="s">
        <v>35</v>
      </c>
      <c r="D248" s="4" t="str">
        <f t="shared" si="1"/>
        <v>Ms.</v>
      </c>
      <c r="E248" s="3" t="str">
        <f t="shared" si="4"/>
        <v>Ms. Kyra Sharma</v>
      </c>
      <c r="F248" s="3" t="str">
        <f>IFERROR(__xludf.DUMMYFUNCTION("SPLIT(B248,"" "")"),"Kyra")</f>
        <v>Kyra</v>
      </c>
      <c r="G248" s="3" t="str">
        <f>IFERROR(__xludf.DUMMYFUNCTION("""COMPUTED_VALUE"""),"Sharma")</f>
        <v>Sharma</v>
      </c>
      <c r="H248" s="3" t="s">
        <v>46</v>
      </c>
      <c r="I248" s="3">
        <v>2025.0</v>
      </c>
      <c r="J248" s="3">
        <f t="shared" si="2"/>
        <v>5000</v>
      </c>
      <c r="K248" s="3" t="s">
        <v>26</v>
      </c>
      <c r="L248" s="3">
        <v>6329.0</v>
      </c>
      <c r="M248" s="3" t="s">
        <v>21</v>
      </c>
      <c r="N248" s="3">
        <v>35.0</v>
      </c>
      <c r="O248" s="3" t="s">
        <v>41</v>
      </c>
      <c r="P248" s="3" t="s">
        <v>23</v>
      </c>
      <c r="Q248" s="6">
        <f t="shared" si="3"/>
        <v>430000</v>
      </c>
    </row>
    <row r="249">
      <c r="A249" s="3">
        <v>64873.0</v>
      </c>
      <c r="B249" s="3" t="s">
        <v>274</v>
      </c>
      <c r="C249" s="3" t="s">
        <v>18</v>
      </c>
      <c r="D249" s="4" t="str">
        <f t="shared" si="1"/>
        <v>Mr.</v>
      </c>
      <c r="E249" s="3" t="str">
        <f t="shared" si="4"/>
        <v>Mr. Ishaan Agarwal</v>
      </c>
      <c r="F249" s="3" t="str">
        <f>IFERROR(__xludf.DUMMYFUNCTION("SPLIT(B249,"" "")"),"Ishaan")</f>
        <v>Ishaan</v>
      </c>
      <c r="G249" s="3" t="str">
        <f>IFERROR(__xludf.DUMMYFUNCTION("""COMPUTED_VALUE"""),"Agarwal")</f>
        <v>Agarwal</v>
      </c>
      <c r="H249" s="3" t="s">
        <v>25</v>
      </c>
      <c r="I249" s="3">
        <v>2026.0</v>
      </c>
      <c r="J249" s="3">
        <f t="shared" si="2"/>
        <v>10000</v>
      </c>
      <c r="K249" s="3" t="s">
        <v>20</v>
      </c>
      <c r="L249" s="10">
        <v>4695.0</v>
      </c>
      <c r="M249" s="3" t="s">
        <v>21</v>
      </c>
      <c r="N249" s="3">
        <v>71.0</v>
      </c>
      <c r="O249" s="3" t="s">
        <v>41</v>
      </c>
      <c r="P249" s="3" t="s">
        <v>38</v>
      </c>
      <c r="Q249" s="6">
        <f t="shared" si="3"/>
        <v>635000</v>
      </c>
    </row>
    <row r="250">
      <c r="A250" s="3">
        <v>64874.0</v>
      </c>
      <c r="B250" s="3" t="s">
        <v>275</v>
      </c>
      <c r="C250" s="3" t="s">
        <v>35</v>
      </c>
      <c r="D250" s="4" t="str">
        <f t="shared" si="1"/>
        <v>Ms.</v>
      </c>
      <c r="E250" s="3" t="str">
        <f t="shared" si="4"/>
        <v>Ms. Shanaya Sinha</v>
      </c>
      <c r="F250" s="3" t="str">
        <f>IFERROR(__xludf.DUMMYFUNCTION("SPLIT(B250,"" "")"),"Shanaya")</f>
        <v>Shanaya</v>
      </c>
      <c r="G250" s="3" t="str">
        <f>IFERROR(__xludf.DUMMYFUNCTION("""COMPUTED_VALUE"""),"Sinha")</f>
        <v>Sinha</v>
      </c>
      <c r="H250" s="3" t="s">
        <v>25</v>
      </c>
      <c r="I250" s="3">
        <v>2022.0</v>
      </c>
      <c r="J250" s="3">
        <f t="shared" si="2"/>
        <v>10000</v>
      </c>
      <c r="K250" s="3" t="s">
        <v>26</v>
      </c>
      <c r="L250" s="3">
        <v>1015.0</v>
      </c>
      <c r="M250" s="3" t="s">
        <v>30</v>
      </c>
      <c r="N250" s="3">
        <v>62.0</v>
      </c>
      <c r="O250" s="3" t="s">
        <v>41</v>
      </c>
      <c r="P250" s="3" t="s">
        <v>38</v>
      </c>
      <c r="Q250" s="6">
        <f t="shared" si="3"/>
        <v>635000</v>
      </c>
    </row>
    <row r="251">
      <c r="A251" s="3">
        <v>64875.0</v>
      </c>
      <c r="B251" s="3" t="s">
        <v>276</v>
      </c>
      <c r="C251" s="3" t="s">
        <v>35</v>
      </c>
      <c r="D251" s="4" t="str">
        <f t="shared" si="1"/>
        <v>Ms.</v>
      </c>
      <c r="E251" s="3" t="str">
        <f t="shared" si="4"/>
        <v>Ms. Ira Bhat</v>
      </c>
      <c r="F251" s="3" t="str">
        <f>IFERROR(__xludf.DUMMYFUNCTION("SPLIT(B251,"" "")"),"Ira")</f>
        <v>Ira</v>
      </c>
      <c r="G251" s="3" t="str">
        <f>IFERROR(__xludf.DUMMYFUNCTION("""COMPUTED_VALUE"""),"Bhat")</f>
        <v>Bhat</v>
      </c>
      <c r="H251" s="3" t="s">
        <v>33</v>
      </c>
      <c r="I251" s="3">
        <v>2025.0</v>
      </c>
      <c r="J251" s="3">
        <f t="shared" si="2"/>
        <v>10000</v>
      </c>
      <c r="K251" s="3" t="s">
        <v>20</v>
      </c>
      <c r="L251" s="3">
        <v>0.0</v>
      </c>
      <c r="M251" s="3" t="s">
        <v>21</v>
      </c>
      <c r="N251" s="3">
        <v>13.0</v>
      </c>
      <c r="O251" s="3" t="s">
        <v>41</v>
      </c>
      <c r="P251" s="3" t="s">
        <v>31</v>
      </c>
      <c r="Q251" s="6">
        <f t="shared" si="3"/>
        <v>910000</v>
      </c>
    </row>
    <row r="252">
      <c r="A252" s="3">
        <v>64878.0</v>
      </c>
      <c r="B252" s="3" t="s">
        <v>277</v>
      </c>
      <c r="C252" s="3" t="s">
        <v>35</v>
      </c>
      <c r="D252" s="4" t="str">
        <f t="shared" si="1"/>
        <v>Ms.</v>
      </c>
      <c r="E252" s="3" t="str">
        <f t="shared" si="4"/>
        <v>Ms. Avni Mishra</v>
      </c>
      <c r="F252" s="3" t="str">
        <f>IFERROR(__xludf.DUMMYFUNCTION("SPLIT(B252,"" "")"),"Avni")</f>
        <v>Avni</v>
      </c>
      <c r="G252" s="3" t="str">
        <f>IFERROR(__xludf.DUMMYFUNCTION("""COMPUTED_VALUE"""),"Mishra")</f>
        <v>Mishra</v>
      </c>
      <c r="H252" s="3" t="s">
        <v>25</v>
      </c>
      <c r="I252" s="3">
        <v>2023.0</v>
      </c>
      <c r="J252" s="3">
        <f t="shared" si="2"/>
        <v>10000</v>
      </c>
      <c r="K252" s="3" t="s">
        <v>20</v>
      </c>
      <c r="L252" s="3">
        <v>0.0</v>
      </c>
      <c r="M252" s="3" t="s">
        <v>30</v>
      </c>
      <c r="N252" s="3">
        <v>40.0</v>
      </c>
      <c r="O252" s="3" t="s">
        <v>41</v>
      </c>
      <c r="P252" s="3" t="s">
        <v>38</v>
      </c>
      <c r="Q252" s="6">
        <f t="shared" si="3"/>
        <v>635000</v>
      </c>
    </row>
    <row r="253">
      <c r="A253" s="3">
        <v>64879.0</v>
      </c>
      <c r="B253" s="3" t="s">
        <v>278</v>
      </c>
      <c r="C253" s="3" t="s">
        <v>18</v>
      </c>
      <c r="D253" s="4" t="str">
        <f t="shared" si="1"/>
        <v>Mr.</v>
      </c>
      <c r="E253" s="3" t="str">
        <f t="shared" si="4"/>
        <v>Mr. Samarth Kulkarni</v>
      </c>
      <c r="F253" s="3" t="str">
        <f>IFERROR(__xludf.DUMMYFUNCTION("SPLIT(B253,"" "")"),"Samarth")</f>
        <v>Samarth</v>
      </c>
      <c r="G253" s="3" t="str">
        <f>IFERROR(__xludf.DUMMYFUNCTION("""COMPUTED_VALUE"""),"Kulkarni")</f>
        <v>Kulkarni</v>
      </c>
      <c r="H253" s="3" t="s">
        <v>33</v>
      </c>
      <c r="I253" s="3">
        <v>2024.0</v>
      </c>
      <c r="J253" s="3">
        <f t="shared" si="2"/>
        <v>10000</v>
      </c>
      <c r="K253" s="3" t="s">
        <v>26</v>
      </c>
      <c r="L253" s="3">
        <v>18887.0</v>
      </c>
      <c r="M253" s="3" t="s">
        <v>21</v>
      </c>
      <c r="N253" s="3">
        <v>65.0</v>
      </c>
      <c r="O253" s="3" t="s">
        <v>22</v>
      </c>
      <c r="P253" s="3" t="s">
        <v>78</v>
      </c>
      <c r="Q253" s="6">
        <f t="shared" si="3"/>
        <v>255000</v>
      </c>
    </row>
    <row r="254">
      <c r="A254" s="3">
        <v>64880.0</v>
      </c>
      <c r="B254" s="3" t="s">
        <v>162</v>
      </c>
      <c r="C254" s="3" t="s">
        <v>35</v>
      </c>
      <c r="D254" s="4" t="str">
        <f t="shared" si="1"/>
        <v>Ms.</v>
      </c>
      <c r="E254" s="3" t="str">
        <f t="shared" si="4"/>
        <v>Ms. Sara Nair</v>
      </c>
      <c r="F254" s="3" t="str">
        <f>IFERROR(__xludf.DUMMYFUNCTION("SPLIT(B254,"" "")"),"Sara")</f>
        <v>Sara</v>
      </c>
      <c r="G254" s="3" t="str">
        <f>IFERROR(__xludf.DUMMYFUNCTION("""COMPUTED_VALUE"""),"Nair")</f>
        <v>Nair</v>
      </c>
      <c r="H254" s="3" t="s">
        <v>25</v>
      </c>
      <c r="I254" s="3">
        <v>2027.0</v>
      </c>
      <c r="J254" s="3">
        <f t="shared" si="2"/>
        <v>10000</v>
      </c>
      <c r="K254" s="3" t="s">
        <v>20</v>
      </c>
      <c r="L254" s="3">
        <v>0.0</v>
      </c>
      <c r="M254" s="3" t="s">
        <v>21</v>
      </c>
      <c r="N254" s="3">
        <v>65.0</v>
      </c>
      <c r="O254" s="3" t="s">
        <v>41</v>
      </c>
      <c r="P254" s="3" t="s">
        <v>31</v>
      </c>
      <c r="Q254" s="6">
        <f t="shared" si="3"/>
        <v>910000</v>
      </c>
    </row>
    <row r="255">
      <c r="A255" s="3">
        <v>64881.0</v>
      </c>
      <c r="B255" s="3" t="s">
        <v>279</v>
      </c>
      <c r="C255" s="3" t="s">
        <v>18</v>
      </c>
      <c r="D255" s="4" t="str">
        <f t="shared" si="1"/>
        <v>Mr.</v>
      </c>
      <c r="E255" s="3" t="str">
        <f t="shared" si="4"/>
        <v>Mr. Harsh Rao</v>
      </c>
      <c r="F255" s="3" t="str">
        <f>IFERROR(__xludf.DUMMYFUNCTION("SPLIT(B255,"" "")"),"Harsh")</f>
        <v>Harsh</v>
      </c>
      <c r="G255" s="3" t="str">
        <f>IFERROR(__xludf.DUMMYFUNCTION("""COMPUTED_VALUE"""),"Rao")</f>
        <v>Rao</v>
      </c>
      <c r="H255" s="3" t="s">
        <v>25</v>
      </c>
      <c r="I255" s="3">
        <v>2028.0</v>
      </c>
      <c r="J255" s="3">
        <f t="shared" si="2"/>
        <v>10000</v>
      </c>
      <c r="K255" s="3" t="s">
        <v>20</v>
      </c>
      <c r="L255" s="3">
        <v>0.0</v>
      </c>
      <c r="M255" s="3" t="s">
        <v>21</v>
      </c>
      <c r="N255" s="3">
        <v>73.0</v>
      </c>
      <c r="O255" s="3" t="s">
        <v>41</v>
      </c>
      <c r="P255" s="3" t="s">
        <v>38</v>
      </c>
      <c r="Q255" s="6">
        <f t="shared" si="3"/>
        <v>635000</v>
      </c>
    </row>
    <row r="256">
      <c r="A256" s="3">
        <v>64882.0</v>
      </c>
      <c r="B256" s="3" t="s">
        <v>280</v>
      </c>
      <c r="C256" s="3" t="s">
        <v>18</v>
      </c>
      <c r="D256" s="4" t="str">
        <f t="shared" si="1"/>
        <v>Mr.</v>
      </c>
      <c r="E256" s="3" t="str">
        <f t="shared" si="4"/>
        <v>Mr. Vivaan Iyer</v>
      </c>
      <c r="F256" s="3" t="str">
        <f>IFERROR(__xludf.DUMMYFUNCTION("SPLIT(B256,"" "")"),"Vivaan")</f>
        <v>Vivaan</v>
      </c>
      <c r="G256" s="3" t="str">
        <f>IFERROR(__xludf.DUMMYFUNCTION("""COMPUTED_VALUE"""),"Iyer")</f>
        <v>Iyer</v>
      </c>
      <c r="H256" s="3" t="s">
        <v>33</v>
      </c>
      <c r="I256" s="3">
        <v>2023.0</v>
      </c>
      <c r="J256" s="3">
        <f t="shared" si="2"/>
        <v>10000</v>
      </c>
      <c r="K256" s="3" t="s">
        <v>20</v>
      </c>
      <c r="L256" s="10">
        <v>1755.0</v>
      </c>
      <c r="M256" s="3" t="s">
        <v>21</v>
      </c>
      <c r="N256" s="3">
        <v>38.0</v>
      </c>
      <c r="O256" s="3" t="s">
        <v>22</v>
      </c>
      <c r="P256" s="3" t="s">
        <v>78</v>
      </c>
      <c r="Q256" s="6">
        <f t="shared" si="3"/>
        <v>255000</v>
      </c>
    </row>
    <row r="257">
      <c r="A257" s="3">
        <v>64883.0</v>
      </c>
      <c r="B257" s="3" t="s">
        <v>281</v>
      </c>
      <c r="C257" s="3" t="s">
        <v>18</v>
      </c>
      <c r="D257" s="4" t="str">
        <f t="shared" si="1"/>
        <v>Mr.</v>
      </c>
      <c r="E257" s="3" t="str">
        <f t="shared" si="4"/>
        <v>Mr. Reyansh Sharma</v>
      </c>
      <c r="F257" s="3" t="str">
        <f>IFERROR(__xludf.DUMMYFUNCTION("SPLIT(B257,"" "")"),"Reyansh")</f>
        <v>Reyansh</v>
      </c>
      <c r="G257" s="3" t="str">
        <f>IFERROR(__xludf.DUMMYFUNCTION("""COMPUTED_VALUE"""),"Sharma")</f>
        <v>Sharma</v>
      </c>
      <c r="H257" s="3" t="s">
        <v>19</v>
      </c>
      <c r="I257" s="3">
        <v>2023.0</v>
      </c>
      <c r="J257" s="3">
        <f t="shared" si="2"/>
        <v>5000</v>
      </c>
      <c r="K257" s="3" t="s">
        <v>20</v>
      </c>
      <c r="L257" s="3">
        <v>608.0</v>
      </c>
      <c r="M257" s="3" t="s">
        <v>21</v>
      </c>
      <c r="N257" s="3">
        <v>37.0</v>
      </c>
      <c r="O257" s="3" t="s">
        <v>41</v>
      </c>
      <c r="P257" s="3" t="s">
        <v>31</v>
      </c>
      <c r="Q257" s="6">
        <f t="shared" si="3"/>
        <v>910000</v>
      </c>
    </row>
    <row r="258">
      <c r="A258" s="3">
        <v>64884.0</v>
      </c>
      <c r="B258" s="3" t="s">
        <v>282</v>
      </c>
      <c r="C258" s="3" t="s">
        <v>35</v>
      </c>
      <c r="D258" s="4" t="str">
        <f t="shared" si="1"/>
        <v>Ms.</v>
      </c>
      <c r="E258" s="3" t="str">
        <f t="shared" si="4"/>
        <v>Ms. Gauri Thakur</v>
      </c>
      <c r="F258" s="3" t="str">
        <f>IFERROR(__xludf.DUMMYFUNCTION("SPLIT(B258,"" "")"),"Gauri")</f>
        <v>Gauri</v>
      </c>
      <c r="G258" s="3" t="str">
        <f>IFERROR(__xludf.DUMMYFUNCTION("""COMPUTED_VALUE"""),"Thakur")</f>
        <v>Thakur</v>
      </c>
      <c r="H258" s="3" t="s">
        <v>25</v>
      </c>
      <c r="I258" s="3">
        <v>2024.0</v>
      </c>
      <c r="J258" s="3">
        <f t="shared" si="2"/>
        <v>10000</v>
      </c>
      <c r="K258" s="3" t="s">
        <v>20</v>
      </c>
      <c r="L258" s="3">
        <v>0.0</v>
      </c>
      <c r="M258" s="3" t="s">
        <v>21</v>
      </c>
      <c r="N258" s="3">
        <v>3.0</v>
      </c>
      <c r="O258" s="3" t="s">
        <v>41</v>
      </c>
      <c r="P258" s="3" t="s">
        <v>78</v>
      </c>
      <c r="Q258" s="6">
        <f t="shared" si="3"/>
        <v>255000</v>
      </c>
    </row>
    <row r="259">
      <c r="A259" s="3">
        <v>64885.0</v>
      </c>
      <c r="B259" s="3" t="s">
        <v>283</v>
      </c>
      <c r="C259" s="3" t="s">
        <v>35</v>
      </c>
      <c r="D259" s="4" t="str">
        <f t="shared" si="1"/>
        <v>Ms.</v>
      </c>
      <c r="E259" s="3" t="str">
        <f t="shared" si="4"/>
        <v>Ms. Charvi Kulkarni</v>
      </c>
      <c r="F259" s="3" t="str">
        <f>IFERROR(__xludf.DUMMYFUNCTION("SPLIT(B259,"" "")"),"Charvi")</f>
        <v>Charvi</v>
      </c>
      <c r="G259" s="3" t="str">
        <f>IFERROR(__xludf.DUMMYFUNCTION("""COMPUTED_VALUE"""),"Kulkarni")</f>
        <v>Kulkarni</v>
      </c>
      <c r="H259" s="3" t="s">
        <v>33</v>
      </c>
      <c r="I259" s="3">
        <v>2026.0</v>
      </c>
      <c r="J259" s="3">
        <f t="shared" si="2"/>
        <v>10000</v>
      </c>
      <c r="K259" s="3" t="s">
        <v>20</v>
      </c>
      <c r="L259" s="3">
        <v>0.0</v>
      </c>
      <c r="M259" s="3" t="s">
        <v>21</v>
      </c>
      <c r="N259" s="3">
        <f t="shared" ref="N259:N260" si="18">RANDBETWEEN(0,10)</f>
        <v>8</v>
      </c>
      <c r="O259" s="3" t="s">
        <v>41</v>
      </c>
      <c r="P259" s="3" t="s">
        <v>31</v>
      </c>
      <c r="Q259" s="6">
        <f t="shared" si="3"/>
        <v>910000</v>
      </c>
    </row>
    <row r="260">
      <c r="A260" s="3">
        <v>64886.0</v>
      </c>
      <c r="B260" s="3" t="s">
        <v>284</v>
      </c>
      <c r="C260" s="3" t="s">
        <v>35</v>
      </c>
      <c r="D260" s="4" t="str">
        <f t="shared" si="1"/>
        <v>Ms.</v>
      </c>
      <c r="E260" s="3" t="str">
        <f t="shared" si="4"/>
        <v>Ms. Mahira Chopra</v>
      </c>
      <c r="F260" s="3" t="str">
        <f>IFERROR(__xludf.DUMMYFUNCTION("SPLIT(B260,"" "")"),"Mahira")</f>
        <v>Mahira</v>
      </c>
      <c r="G260" s="3" t="str">
        <f>IFERROR(__xludf.DUMMYFUNCTION("""COMPUTED_VALUE"""),"Chopra")</f>
        <v>Chopra</v>
      </c>
      <c r="H260" s="3" t="s">
        <v>33</v>
      </c>
      <c r="I260" s="3">
        <v>2022.0</v>
      </c>
      <c r="J260" s="3">
        <f t="shared" si="2"/>
        <v>10000</v>
      </c>
      <c r="K260" s="3" t="s">
        <v>20</v>
      </c>
      <c r="L260" s="3">
        <v>25.0</v>
      </c>
      <c r="M260" s="3" t="s">
        <v>21</v>
      </c>
      <c r="N260" s="3">
        <f t="shared" si="18"/>
        <v>2</v>
      </c>
      <c r="O260" s="3" t="s">
        <v>41</v>
      </c>
      <c r="P260" s="3" t="s">
        <v>28</v>
      </c>
      <c r="Q260" s="6">
        <f t="shared" si="3"/>
        <v>400000</v>
      </c>
    </row>
    <row r="261">
      <c r="A261" s="3">
        <v>64887.0</v>
      </c>
      <c r="B261" s="3" t="s">
        <v>285</v>
      </c>
      <c r="C261" s="3" t="s">
        <v>18</v>
      </c>
      <c r="D261" s="4" t="str">
        <f t="shared" si="1"/>
        <v>Mr.</v>
      </c>
      <c r="E261" s="3" t="str">
        <f t="shared" si="4"/>
        <v>Mr. Raghav Pillai</v>
      </c>
      <c r="F261" s="3" t="str">
        <f>IFERROR(__xludf.DUMMYFUNCTION("SPLIT(B261,"" "")"),"Raghav")</f>
        <v>Raghav</v>
      </c>
      <c r="G261" s="3" t="str">
        <f>IFERROR(__xludf.DUMMYFUNCTION("""COMPUTED_VALUE"""),"Pillai")</f>
        <v>Pillai</v>
      </c>
      <c r="H261" s="3" t="s">
        <v>46</v>
      </c>
      <c r="I261" s="3">
        <v>2024.0</v>
      </c>
      <c r="J261" s="3">
        <f t="shared" si="2"/>
        <v>5000</v>
      </c>
      <c r="K261" s="3" t="s">
        <v>20</v>
      </c>
      <c r="L261" s="3">
        <v>25.0</v>
      </c>
      <c r="M261" s="3" t="s">
        <v>21</v>
      </c>
      <c r="N261" s="3">
        <v>50.0</v>
      </c>
      <c r="O261" s="3" t="s">
        <v>41</v>
      </c>
      <c r="P261" s="3" t="s">
        <v>23</v>
      </c>
      <c r="Q261" s="6">
        <f t="shared" si="3"/>
        <v>430000</v>
      </c>
    </row>
    <row r="262">
      <c r="A262" s="3">
        <v>64889.0</v>
      </c>
      <c r="B262" s="3" t="s">
        <v>286</v>
      </c>
      <c r="C262" s="3" t="s">
        <v>18</v>
      </c>
      <c r="D262" s="4" t="str">
        <f t="shared" si="1"/>
        <v>Mr.</v>
      </c>
      <c r="E262" s="3" t="str">
        <f t="shared" si="4"/>
        <v>Mr. Shivansh Sinha</v>
      </c>
      <c r="F262" s="3" t="str">
        <f>IFERROR(__xludf.DUMMYFUNCTION("SPLIT(B262,"" "")"),"Shivansh")</f>
        <v>Shivansh</v>
      </c>
      <c r="G262" s="3" t="str">
        <f>IFERROR(__xludf.DUMMYFUNCTION("""COMPUTED_VALUE"""),"Sinha")</f>
        <v>Sinha</v>
      </c>
      <c r="H262" s="3" t="s">
        <v>19</v>
      </c>
      <c r="I262" s="3">
        <v>2022.0</v>
      </c>
      <c r="J262" s="3">
        <f t="shared" si="2"/>
        <v>5000</v>
      </c>
      <c r="K262" s="3" t="s">
        <v>20</v>
      </c>
      <c r="L262" s="3">
        <v>0.0</v>
      </c>
      <c r="M262" s="3" t="s">
        <v>21</v>
      </c>
      <c r="N262" s="3">
        <v>19.0</v>
      </c>
      <c r="O262" s="3" t="s">
        <v>41</v>
      </c>
      <c r="P262" s="3" t="s">
        <v>31</v>
      </c>
      <c r="Q262" s="6">
        <f t="shared" si="3"/>
        <v>910000</v>
      </c>
    </row>
    <row r="263">
      <c r="A263" s="3">
        <v>64890.0</v>
      </c>
      <c r="B263" s="3" t="s">
        <v>287</v>
      </c>
      <c r="C263" s="3" t="s">
        <v>35</v>
      </c>
      <c r="D263" s="4" t="str">
        <f t="shared" si="1"/>
        <v>Ms.</v>
      </c>
      <c r="E263" s="3" t="str">
        <f t="shared" si="4"/>
        <v>Ms. Lavanya Bhatt</v>
      </c>
      <c r="F263" s="3" t="str">
        <f>IFERROR(__xludf.DUMMYFUNCTION("SPLIT(B263,"" "")"),"Lavanya")</f>
        <v>Lavanya</v>
      </c>
      <c r="G263" s="3" t="str">
        <f>IFERROR(__xludf.DUMMYFUNCTION("""COMPUTED_VALUE"""),"Bhatt")</f>
        <v>Bhatt</v>
      </c>
      <c r="H263" s="3" t="s">
        <v>46</v>
      </c>
      <c r="I263" s="3">
        <v>2020.0</v>
      </c>
      <c r="J263" s="3">
        <f t="shared" si="2"/>
        <v>5000</v>
      </c>
      <c r="K263" s="3" t="s">
        <v>26</v>
      </c>
      <c r="L263" s="3">
        <v>19078.0</v>
      </c>
      <c r="M263" s="3" t="s">
        <v>21</v>
      </c>
      <c r="N263" s="3">
        <v>65.0</v>
      </c>
      <c r="O263" s="3" t="s">
        <v>41</v>
      </c>
      <c r="P263" s="3" t="s">
        <v>31</v>
      </c>
      <c r="Q263" s="6">
        <f t="shared" si="3"/>
        <v>910000</v>
      </c>
    </row>
    <row r="264">
      <c r="A264" s="3">
        <v>64891.0</v>
      </c>
      <c r="B264" s="3" t="s">
        <v>68</v>
      </c>
      <c r="C264" s="3" t="s">
        <v>35</v>
      </c>
      <c r="D264" s="4" t="str">
        <f t="shared" si="1"/>
        <v>Ms.</v>
      </c>
      <c r="E264" s="3" t="str">
        <f t="shared" si="4"/>
        <v>Ms. Riddhi Malik</v>
      </c>
      <c r="F264" s="3" t="str">
        <f>IFERROR(__xludf.DUMMYFUNCTION("SPLIT(B264,"" "")"),"Riddhi")</f>
        <v>Riddhi</v>
      </c>
      <c r="G264" s="3" t="str">
        <f>IFERROR(__xludf.DUMMYFUNCTION("""COMPUTED_VALUE"""),"Malik")</f>
        <v>Malik</v>
      </c>
      <c r="H264" s="3" t="s">
        <v>46</v>
      </c>
      <c r="I264" s="3">
        <v>2025.0</v>
      </c>
      <c r="J264" s="3">
        <f t="shared" si="2"/>
        <v>5000</v>
      </c>
      <c r="K264" s="3" t="s">
        <v>20</v>
      </c>
      <c r="L264" s="3">
        <v>0.0</v>
      </c>
      <c r="M264" s="3" t="s">
        <v>21</v>
      </c>
      <c r="N264" s="3">
        <v>1.0</v>
      </c>
      <c r="O264" s="3" t="s">
        <v>41</v>
      </c>
      <c r="P264" s="3" t="s">
        <v>38</v>
      </c>
      <c r="Q264" s="6">
        <f t="shared" si="3"/>
        <v>635000</v>
      </c>
    </row>
    <row r="265">
      <c r="A265" s="3">
        <v>64892.0</v>
      </c>
      <c r="B265" s="3" t="s">
        <v>288</v>
      </c>
      <c r="C265" s="3" t="s">
        <v>35</v>
      </c>
      <c r="D265" s="4" t="str">
        <f t="shared" si="1"/>
        <v>Ms.</v>
      </c>
      <c r="E265" s="3" t="str">
        <f t="shared" si="4"/>
        <v>Ms. Shanaya Kumar</v>
      </c>
      <c r="F265" s="3" t="str">
        <f>IFERROR(__xludf.DUMMYFUNCTION("SPLIT(B265,"" "")"),"Shanaya")</f>
        <v>Shanaya</v>
      </c>
      <c r="G265" s="3" t="str">
        <f>IFERROR(__xludf.DUMMYFUNCTION("""COMPUTED_VALUE"""),"Kumar")</f>
        <v>Kumar</v>
      </c>
      <c r="H265" s="3" t="s">
        <v>33</v>
      </c>
      <c r="I265" s="3">
        <v>2020.0</v>
      </c>
      <c r="J265" s="3">
        <f t="shared" si="2"/>
        <v>10000</v>
      </c>
      <c r="K265" s="3" t="s">
        <v>20</v>
      </c>
      <c r="L265" s="10">
        <v>2490.0</v>
      </c>
      <c r="M265" s="3" t="s">
        <v>21</v>
      </c>
      <c r="N265" s="3">
        <v>22.0</v>
      </c>
      <c r="O265" s="3" t="s">
        <v>22</v>
      </c>
      <c r="P265" s="3" t="s">
        <v>28</v>
      </c>
      <c r="Q265" s="6">
        <f t="shared" si="3"/>
        <v>400000</v>
      </c>
    </row>
    <row r="266">
      <c r="A266" s="3">
        <v>64894.0</v>
      </c>
      <c r="B266" s="3" t="s">
        <v>289</v>
      </c>
      <c r="C266" s="3" t="s">
        <v>18</v>
      </c>
      <c r="D266" s="4" t="str">
        <f t="shared" si="1"/>
        <v>Mr.</v>
      </c>
      <c r="E266" s="3" t="str">
        <f t="shared" si="4"/>
        <v>Mr. Ishaan Kulkarni</v>
      </c>
      <c r="F266" s="3" t="str">
        <f>IFERROR(__xludf.DUMMYFUNCTION("SPLIT(B266,"" "")"),"Ishaan")</f>
        <v>Ishaan</v>
      </c>
      <c r="G266" s="3" t="str">
        <f>IFERROR(__xludf.DUMMYFUNCTION("""COMPUTED_VALUE"""),"Kulkarni")</f>
        <v>Kulkarni</v>
      </c>
      <c r="H266" s="3" t="s">
        <v>33</v>
      </c>
      <c r="I266" s="3">
        <v>2024.0</v>
      </c>
      <c r="J266" s="3">
        <f t="shared" si="2"/>
        <v>10000</v>
      </c>
      <c r="K266" s="3" t="s">
        <v>20</v>
      </c>
      <c r="L266" s="3">
        <v>0.0</v>
      </c>
      <c r="M266" s="3" t="s">
        <v>21</v>
      </c>
      <c r="N266" s="3">
        <v>48.0</v>
      </c>
      <c r="O266" s="3" t="s">
        <v>41</v>
      </c>
      <c r="P266" s="3" t="s">
        <v>28</v>
      </c>
      <c r="Q266" s="6">
        <f t="shared" si="3"/>
        <v>400000</v>
      </c>
    </row>
    <row r="267">
      <c r="A267" s="3">
        <v>64895.0</v>
      </c>
      <c r="B267" s="3" t="s">
        <v>211</v>
      </c>
      <c r="C267" s="3" t="s">
        <v>35</v>
      </c>
      <c r="D267" s="4" t="str">
        <f t="shared" si="1"/>
        <v>Ms.</v>
      </c>
      <c r="E267" s="3" t="str">
        <f t="shared" si="4"/>
        <v>Ms. Sara Chowdhury</v>
      </c>
      <c r="F267" s="3" t="str">
        <f>IFERROR(__xludf.DUMMYFUNCTION("SPLIT(B267,"" "")"),"Sara")</f>
        <v>Sara</v>
      </c>
      <c r="G267" s="3" t="str">
        <f>IFERROR(__xludf.DUMMYFUNCTION("""COMPUTED_VALUE"""),"Chowdhury")</f>
        <v>Chowdhury</v>
      </c>
      <c r="H267" s="3" t="s">
        <v>19</v>
      </c>
      <c r="I267" s="3">
        <v>2023.0</v>
      </c>
      <c r="J267" s="3">
        <f t="shared" si="2"/>
        <v>5000</v>
      </c>
      <c r="K267" s="3" t="s">
        <v>20</v>
      </c>
      <c r="L267" s="3">
        <v>0.0</v>
      </c>
      <c r="M267" s="3" t="s">
        <v>21</v>
      </c>
      <c r="N267" s="3">
        <v>9.0</v>
      </c>
      <c r="O267" s="3" t="s">
        <v>41</v>
      </c>
      <c r="P267" s="3" t="s">
        <v>38</v>
      </c>
      <c r="Q267" s="6">
        <f t="shared" si="3"/>
        <v>635000</v>
      </c>
    </row>
    <row r="268">
      <c r="A268" s="3">
        <v>64896.0</v>
      </c>
      <c r="B268" s="3" t="s">
        <v>290</v>
      </c>
      <c r="C268" s="3" t="s">
        <v>35</v>
      </c>
      <c r="D268" s="4" t="str">
        <f t="shared" si="1"/>
        <v>Ms.</v>
      </c>
      <c r="E268" s="3" t="str">
        <f t="shared" si="4"/>
        <v>Ms. Anvi Mehta</v>
      </c>
      <c r="F268" s="3" t="str">
        <f>IFERROR(__xludf.DUMMYFUNCTION("SPLIT(B268,"" "")"),"Anvi")</f>
        <v>Anvi</v>
      </c>
      <c r="G268" s="3" t="str">
        <f>IFERROR(__xludf.DUMMYFUNCTION("""COMPUTED_VALUE"""),"Mehta")</f>
        <v>Mehta</v>
      </c>
      <c r="H268" s="3" t="s">
        <v>33</v>
      </c>
      <c r="I268" s="3">
        <v>2022.0</v>
      </c>
      <c r="J268" s="3">
        <f t="shared" si="2"/>
        <v>10000</v>
      </c>
      <c r="K268" s="3" t="s">
        <v>20</v>
      </c>
      <c r="L268" s="3">
        <v>25.0</v>
      </c>
      <c r="M268" s="3" t="s">
        <v>21</v>
      </c>
      <c r="N268" s="3">
        <f>RANDBETWEEN(0,10)</f>
        <v>10</v>
      </c>
      <c r="O268" s="3" t="s">
        <v>41</v>
      </c>
      <c r="P268" s="3" t="s">
        <v>31</v>
      </c>
      <c r="Q268" s="6">
        <f t="shared" si="3"/>
        <v>910000</v>
      </c>
    </row>
    <row r="269">
      <c r="A269" s="3">
        <v>64897.0</v>
      </c>
      <c r="B269" s="3" t="s">
        <v>291</v>
      </c>
      <c r="C269" s="3" t="s">
        <v>18</v>
      </c>
      <c r="D269" s="4" t="str">
        <f t="shared" si="1"/>
        <v>Mr.</v>
      </c>
      <c r="E269" s="3" t="str">
        <f t="shared" si="4"/>
        <v>Mr. Sai Kumar</v>
      </c>
      <c r="F269" s="3" t="str">
        <f>IFERROR(__xludf.DUMMYFUNCTION("SPLIT(B269,"" "")"),"Sai")</f>
        <v>Sai</v>
      </c>
      <c r="G269" s="3" t="str">
        <f>IFERROR(__xludf.DUMMYFUNCTION("""COMPUTED_VALUE"""),"Kumar")</f>
        <v>Kumar</v>
      </c>
      <c r="H269" s="3" t="s">
        <v>25</v>
      </c>
      <c r="I269" s="3">
        <v>2014.0</v>
      </c>
      <c r="J269" s="3">
        <f t="shared" si="2"/>
        <v>10000</v>
      </c>
      <c r="K269" s="3" t="s">
        <v>20</v>
      </c>
      <c r="L269" s="3">
        <v>0.0</v>
      </c>
      <c r="M269" s="3" t="s">
        <v>21</v>
      </c>
      <c r="N269" s="3">
        <v>74.0</v>
      </c>
      <c r="O269" s="3" t="s">
        <v>41</v>
      </c>
      <c r="P269" s="3" t="s">
        <v>38</v>
      </c>
      <c r="Q269" s="6">
        <f t="shared" si="3"/>
        <v>635000</v>
      </c>
    </row>
    <row r="270">
      <c r="A270" s="3">
        <v>64899.0</v>
      </c>
      <c r="B270" s="3" t="s">
        <v>292</v>
      </c>
      <c r="C270" s="3" t="s">
        <v>35</v>
      </c>
      <c r="D270" s="4" t="str">
        <f t="shared" si="1"/>
        <v>Ms.</v>
      </c>
      <c r="E270" s="3" t="str">
        <f t="shared" si="4"/>
        <v>Ms. Prisha Chopra</v>
      </c>
      <c r="F270" s="3" t="str">
        <f>IFERROR(__xludf.DUMMYFUNCTION("SPLIT(B270,"" "")"),"Prisha")</f>
        <v>Prisha</v>
      </c>
      <c r="G270" s="3" t="str">
        <f>IFERROR(__xludf.DUMMYFUNCTION("""COMPUTED_VALUE"""),"Chopra")</f>
        <v>Chopra</v>
      </c>
      <c r="H270" s="3" t="s">
        <v>19</v>
      </c>
      <c r="I270" s="3">
        <v>2018.0</v>
      </c>
      <c r="J270" s="3">
        <f t="shared" si="2"/>
        <v>5000</v>
      </c>
      <c r="K270" s="3" t="s">
        <v>20</v>
      </c>
      <c r="L270" s="3">
        <v>0.0</v>
      </c>
      <c r="M270" s="3" t="s">
        <v>21</v>
      </c>
      <c r="N270" s="3">
        <v>0.0</v>
      </c>
      <c r="O270" s="3" t="s">
        <v>41</v>
      </c>
      <c r="P270" s="3" t="s">
        <v>23</v>
      </c>
      <c r="Q270" s="6">
        <f t="shared" si="3"/>
        <v>430000</v>
      </c>
    </row>
    <row r="271">
      <c r="A271" s="3">
        <v>64900.0</v>
      </c>
      <c r="B271" s="3" t="s">
        <v>293</v>
      </c>
      <c r="C271" s="3" t="s">
        <v>18</v>
      </c>
      <c r="D271" s="4" t="str">
        <f t="shared" si="1"/>
        <v>Mr.</v>
      </c>
      <c r="E271" s="3" t="str">
        <f t="shared" si="4"/>
        <v>Mr. Aarav Chowdhury</v>
      </c>
      <c r="F271" s="3" t="str">
        <f>IFERROR(__xludf.DUMMYFUNCTION("SPLIT(B271,"" "")"),"Aarav")</f>
        <v>Aarav</v>
      </c>
      <c r="G271" s="3" t="str">
        <f>IFERROR(__xludf.DUMMYFUNCTION("""COMPUTED_VALUE"""),"Chowdhury")</f>
        <v>Chowdhury</v>
      </c>
      <c r="H271" s="3" t="s">
        <v>33</v>
      </c>
      <c r="I271" s="3">
        <v>2024.0</v>
      </c>
      <c r="J271" s="3">
        <f t="shared" si="2"/>
        <v>10000</v>
      </c>
      <c r="K271" s="3" t="s">
        <v>26</v>
      </c>
      <c r="L271" s="3">
        <v>21158.0</v>
      </c>
      <c r="M271" s="3" t="s">
        <v>21</v>
      </c>
      <c r="N271" s="3">
        <f>RANDBETWEEN(0,10)</f>
        <v>0</v>
      </c>
      <c r="O271" s="3" t="s">
        <v>41</v>
      </c>
      <c r="P271" s="3" t="s">
        <v>23</v>
      </c>
      <c r="Q271" s="6">
        <f t="shared" si="3"/>
        <v>430000</v>
      </c>
    </row>
    <row r="272">
      <c r="A272" s="3">
        <v>64902.0</v>
      </c>
      <c r="B272" s="3" t="s">
        <v>243</v>
      </c>
      <c r="C272" s="3" t="s">
        <v>18</v>
      </c>
      <c r="D272" s="4" t="str">
        <f t="shared" si="1"/>
        <v>Mr.</v>
      </c>
      <c r="E272" s="3" t="str">
        <f t="shared" si="4"/>
        <v>Mr. Reyansh Patel</v>
      </c>
      <c r="F272" s="3" t="str">
        <f>IFERROR(__xludf.DUMMYFUNCTION("SPLIT(B272,"" "")"),"Reyansh")</f>
        <v>Reyansh</v>
      </c>
      <c r="G272" s="3" t="str">
        <f>IFERROR(__xludf.DUMMYFUNCTION("""COMPUTED_VALUE"""),"Patel")</f>
        <v>Patel</v>
      </c>
      <c r="H272" s="3" t="s">
        <v>33</v>
      </c>
      <c r="I272" s="3">
        <v>2021.0</v>
      </c>
      <c r="J272" s="3">
        <f t="shared" si="2"/>
        <v>10000</v>
      </c>
      <c r="K272" s="3" t="s">
        <v>20</v>
      </c>
      <c r="L272" s="3">
        <v>0.0</v>
      </c>
      <c r="M272" s="3" t="s">
        <v>30</v>
      </c>
      <c r="N272" s="3">
        <v>77.0</v>
      </c>
      <c r="O272" s="3" t="s">
        <v>41</v>
      </c>
      <c r="P272" s="3" t="s">
        <v>31</v>
      </c>
      <c r="Q272" s="6">
        <f t="shared" si="3"/>
        <v>910000</v>
      </c>
    </row>
    <row r="273">
      <c r="A273" s="3">
        <v>64903.0</v>
      </c>
      <c r="B273" s="3" t="s">
        <v>294</v>
      </c>
      <c r="C273" s="3" t="s">
        <v>18</v>
      </c>
      <c r="D273" s="4" t="str">
        <f t="shared" si="1"/>
        <v>Mr.</v>
      </c>
      <c r="E273" s="3" t="str">
        <f t="shared" si="4"/>
        <v>Mr. Anirudh Singh</v>
      </c>
      <c r="F273" s="3" t="str">
        <f>IFERROR(__xludf.DUMMYFUNCTION("SPLIT(B273,"" "")"),"Anirudh")</f>
        <v>Anirudh</v>
      </c>
      <c r="G273" s="3" t="str">
        <f>IFERROR(__xludf.DUMMYFUNCTION("""COMPUTED_VALUE"""),"Singh")</f>
        <v>Singh</v>
      </c>
      <c r="H273" s="3" t="s">
        <v>19</v>
      </c>
      <c r="I273" s="3">
        <v>2024.0</v>
      </c>
      <c r="J273" s="3">
        <f t="shared" si="2"/>
        <v>5000</v>
      </c>
      <c r="K273" s="3" t="s">
        <v>26</v>
      </c>
      <c r="L273" s="3">
        <v>15418.0</v>
      </c>
      <c r="M273" s="3" t="s">
        <v>153</v>
      </c>
      <c r="N273" s="3">
        <v>25.0</v>
      </c>
      <c r="O273" s="3" t="s">
        <v>41</v>
      </c>
      <c r="P273" s="3" t="s">
        <v>28</v>
      </c>
      <c r="Q273" s="6">
        <f t="shared" si="3"/>
        <v>400000</v>
      </c>
    </row>
    <row r="274">
      <c r="A274" s="3">
        <v>64904.0</v>
      </c>
      <c r="B274" s="3" t="s">
        <v>295</v>
      </c>
      <c r="C274" s="3" t="s">
        <v>18</v>
      </c>
      <c r="D274" s="4" t="str">
        <f t="shared" si="1"/>
        <v>Mr.</v>
      </c>
      <c r="E274" s="3" t="str">
        <f t="shared" si="4"/>
        <v>Mr. Rishi Malik</v>
      </c>
      <c r="F274" s="3" t="str">
        <f>IFERROR(__xludf.DUMMYFUNCTION("SPLIT(B274,"" "")"),"Rishi")</f>
        <v>Rishi</v>
      </c>
      <c r="G274" s="3" t="str">
        <f>IFERROR(__xludf.DUMMYFUNCTION("""COMPUTED_VALUE"""),"Malik")</f>
        <v>Malik</v>
      </c>
      <c r="H274" s="3" t="s">
        <v>46</v>
      </c>
      <c r="I274" s="3">
        <v>2023.0</v>
      </c>
      <c r="J274" s="3">
        <f t="shared" si="2"/>
        <v>5000</v>
      </c>
      <c r="K274" s="3" t="s">
        <v>26</v>
      </c>
      <c r="L274" s="3">
        <v>23190.0</v>
      </c>
      <c r="M274" s="3" t="s">
        <v>30</v>
      </c>
      <c r="N274" s="3">
        <f>RANDBETWEEN(0,10)</f>
        <v>7</v>
      </c>
      <c r="O274" s="3" t="s">
        <v>41</v>
      </c>
      <c r="P274" s="3" t="s">
        <v>38</v>
      </c>
      <c r="Q274" s="6">
        <f t="shared" si="3"/>
        <v>635000</v>
      </c>
    </row>
    <row r="275">
      <c r="A275" s="3">
        <v>64905.0</v>
      </c>
      <c r="B275" s="3" t="s">
        <v>296</v>
      </c>
      <c r="C275" s="3" t="s">
        <v>18</v>
      </c>
      <c r="D275" s="4" t="str">
        <f t="shared" si="1"/>
        <v>Mr.</v>
      </c>
      <c r="E275" s="3" t="str">
        <f t="shared" si="4"/>
        <v>Mr. Shaurya Singh</v>
      </c>
      <c r="F275" s="3" t="str">
        <f>IFERROR(__xludf.DUMMYFUNCTION("SPLIT(B275,"" "")"),"Shaurya")</f>
        <v>Shaurya</v>
      </c>
      <c r="G275" s="3" t="str">
        <f>IFERROR(__xludf.DUMMYFUNCTION("""COMPUTED_VALUE"""),"Singh")</f>
        <v>Singh</v>
      </c>
      <c r="H275" s="3" t="s">
        <v>46</v>
      </c>
      <c r="I275" s="3">
        <v>2020.0</v>
      </c>
      <c r="J275" s="3">
        <f t="shared" si="2"/>
        <v>5000</v>
      </c>
      <c r="K275" s="3" t="s">
        <v>26</v>
      </c>
      <c r="L275" s="3">
        <v>2731.0</v>
      </c>
      <c r="M275" s="3" t="s">
        <v>21</v>
      </c>
      <c r="N275" s="3">
        <v>49.0</v>
      </c>
      <c r="O275" s="3" t="s">
        <v>41</v>
      </c>
      <c r="P275" s="3" t="s">
        <v>78</v>
      </c>
      <c r="Q275" s="6">
        <f t="shared" si="3"/>
        <v>255000</v>
      </c>
    </row>
    <row r="276">
      <c r="A276" s="3">
        <v>64906.0</v>
      </c>
      <c r="B276" s="3" t="s">
        <v>297</v>
      </c>
      <c r="C276" s="3" t="s">
        <v>18</v>
      </c>
      <c r="D276" s="4" t="str">
        <f t="shared" si="1"/>
        <v>Mr.</v>
      </c>
      <c r="E276" s="3" t="str">
        <f t="shared" si="4"/>
        <v>Mr. Samarth Sinha</v>
      </c>
      <c r="F276" s="3" t="str">
        <f>IFERROR(__xludf.DUMMYFUNCTION("SPLIT(B276,"" "")"),"Samarth")</f>
        <v>Samarth</v>
      </c>
      <c r="G276" s="3" t="str">
        <f>IFERROR(__xludf.DUMMYFUNCTION("""COMPUTED_VALUE"""),"Sinha")</f>
        <v>Sinha</v>
      </c>
      <c r="H276" s="3" t="s">
        <v>46</v>
      </c>
      <c r="I276" s="3">
        <v>2021.0</v>
      </c>
      <c r="J276" s="3">
        <f t="shared" si="2"/>
        <v>5000</v>
      </c>
      <c r="K276" s="3" t="s">
        <v>20</v>
      </c>
      <c r="L276" s="3">
        <v>0.0</v>
      </c>
      <c r="M276" s="3" t="s">
        <v>30</v>
      </c>
      <c r="N276" s="3">
        <v>66.0</v>
      </c>
      <c r="O276" s="3" t="s">
        <v>41</v>
      </c>
      <c r="P276" s="3" t="s">
        <v>28</v>
      </c>
      <c r="Q276" s="6">
        <f t="shared" si="3"/>
        <v>400000</v>
      </c>
    </row>
    <row r="277">
      <c r="A277" s="3">
        <v>64907.0</v>
      </c>
      <c r="B277" s="3" t="s">
        <v>82</v>
      </c>
      <c r="C277" s="3" t="s">
        <v>35</v>
      </c>
      <c r="D277" s="4" t="str">
        <f t="shared" si="1"/>
        <v>Ms.</v>
      </c>
      <c r="E277" s="3" t="str">
        <f t="shared" si="4"/>
        <v>Ms. Vanya Nair</v>
      </c>
      <c r="F277" s="3" t="str">
        <f>IFERROR(__xludf.DUMMYFUNCTION("SPLIT(B277,"" "")"),"Vanya")</f>
        <v>Vanya</v>
      </c>
      <c r="G277" s="3" t="str">
        <f>IFERROR(__xludf.DUMMYFUNCTION("""COMPUTED_VALUE"""),"Nair")</f>
        <v>Nair</v>
      </c>
      <c r="H277" s="3" t="s">
        <v>33</v>
      </c>
      <c r="I277" s="3">
        <v>2025.0</v>
      </c>
      <c r="J277" s="3">
        <f t="shared" si="2"/>
        <v>10000</v>
      </c>
      <c r="K277" s="3" t="s">
        <v>20</v>
      </c>
      <c r="L277" s="3">
        <v>0.0</v>
      </c>
      <c r="M277" s="3" t="s">
        <v>21</v>
      </c>
      <c r="N277" s="3">
        <v>40.0</v>
      </c>
      <c r="O277" s="3" t="s">
        <v>41</v>
      </c>
      <c r="P277" s="3" t="s">
        <v>23</v>
      </c>
      <c r="Q277" s="6">
        <f t="shared" si="3"/>
        <v>430000</v>
      </c>
    </row>
    <row r="278">
      <c r="A278" s="3">
        <v>64908.0</v>
      </c>
      <c r="B278" s="3" t="s">
        <v>298</v>
      </c>
      <c r="C278" s="3" t="s">
        <v>18</v>
      </c>
      <c r="D278" s="4" t="str">
        <f t="shared" si="1"/>
        <v>Mr.</v>
      </c>
      <c r="E278" s="3" t="str">
        <f t="shared" si="4"/>
        <v>Mr. Yashvi Verma</v>
      </c>
      <c r="F278" s="3" t="str">
        <f>IFERROR(__xludf.DUMMYFUNCTION("SPLIT(B278,"" "")"),"Yashvi")</f>
        <v>Yashvi</v>
      </c>
      <c r="G278" s="3" t="str">
        <f>IFERROR(__xludf.DUMMYFUNCTION("""COMPUTED_VALUE"""),"Verma")</f>
        <v>Verma</v>
      </c>
      <c r="H278" s="3" t="s">
        <v>46</v>
      </c>
      <c r="I278" s="3">
        <v>2020.0</v>
      </c>
      <c r="J278" s="3">
        <f t="shared" si="2"/>
        <v>5000</v>
      </c>
      <c r="K278" s="3" t="s">
        <v>20</v>
      </c>
      <c r="L278" s="3">
        <v>0.0</v>
      </c>
      <c r="M278" s="3" t="s">
        <v>21</v>
      </c>
      <c r="N278" s="3">
        <v>74.0</v>
      </c>
      <c r="O278" s="3" t="s">
        <v>41</v>
      </c>
      <c r="P278" s="3" t="s">
        <v>28</v>
      </c>
      <c r="Q278" s="6">
        <f t="shared" si="3"/>
        <v>400000</v>
      </c>
    </row>
    <row r="279">
      <c r="A279" s="3">
        <v>64909.0</v>
      </c>
      <c r="B279" s="3" t="s">
        <v>190</v>
      </c>
      <c r="C279" s="3" t="s">
        <v>18</v>
      </c>
      <c r="D279" s="4" t="str">
        <f t="shared" si="1"/>
        <v>Mr.</v>
      </c>
      <c r="E279" s="3" t="str">
        <f t="shared" si="4"/>
        <v>Mr. Ishaan Singh</v>
      </c>
      <c r="F279" s="3" t="str">
        <f>IFERROR(__xludf.DUMMYFUNCTION("SPLIT(B279,"" "")"),"Ishaan")</f>
        <v>Ishaan</v>
      </c>
      <c r="G279" s="3" t="str">
        <f>IFERROR(__xludf.DUMMYFUNCTION("""COMPUTED_VALUE"""),"Singh")</f>
        <v>Singh</v>
      </c>
      <c r="H279" s="3" t="s">
        <v>19</v>
      </c>
      <c r="I279" s="3">
        <v>2017.0</v>
      </c>
      <c r="J279" s="3">
        <f t="shared" si="2"/>
        <v>5000</v>
      </c>
      <c r="K279" s="3" t="s">
        <v>26</v>
      </c>
      <c r="L279" s="10">
        <v>7260.0</v>
      </c>
      <c r="M279" s="3" t="s">
        <v>21</v>
      </c>
      <c r="N279" s="3">
        <f t="shared" ref="N279:N281" si="19">RANDBETWEEN(0,10)</f>
        <v>6</v>
      </c>
      <c r="O279" s="3" t="s">
        <v>41</v>
      </c>
      <c r="P279" s="3" t="s">
        <v>31</v>
      </c>
      <c r="Q279" s="6">
        <f t="shared" si="3"/>
        <v>910000</v>
      </c>
    </row>
    <row r="280">
      <c r="A280" s="3">
        <v>64910.0</v>
      </c>
      <c r="B280" s="3" t="s">
        <v>299</v>
      </c>
      <c r="C280" s="3" t="s">
        <v>35</v>
      </c>
      <c r="D280" s="4" t="str">
        <f t="shared" si="1"/>
        <v>Ms.</v>
      </c>
      <c r="E280" s="3" t="str">
        <f t="shared" si="4"/>
        <v>Ms. Aadhya Pillai</v>
      </c>
      <c r="F280" s="3" t="str">
        <f>IFERROR(__xludf.DUMMYFUNCTION("SPLIT(B280,"" "")"),"Aadhya")</f>
        <v>Aadhya</v>
      </c>
      <c r="G280" s="3" t="str">
        <f>IFERROR(__xludf.DUMMYFUNCTION("""COMPUTED_VALUE"""),"Pillai")</f>
        <v>Pillai</v>
      </c>
      <c r="H280" s="3" t="s">
        <v>25</v>
      </c>
      <c r="I280" s="3">
        <v>2025.0</v>
      </c>
      <c r="J280" s="3">
        <f t="shared" si="2"/>
        <v>10000</v>
      </c>
      <c r="K280" s="3" t="s">
        <v>20</v>
      </c>
      <c r="L280" s="3">
        <v>0.0</v>
      </c>
      <c r="M280" s="3" t="s">
        <v>21</v>
      </c>
      <c r="N280" s="3">
        <f t="shared" si="19"/>
        <v>1</v>
      </c>
      <c r="O280" s="3" t="s">
        <v>41</v>
      </c>
      <c r="P280" s="3" t="s">
        <v>38</v>
      </c>
      <c r="Q280" s="6">
        <f t="shared" si="3"/>
        <v>635000</v>
      </c>
    </row>
    <row r="281">
      <c r="A281" s="3">
        <v>64911.0</v>
      </c>
      <c r="B281" s="3" t="s">
        <v>300</v>
      </c>
      <c r="C281" s="3" t="s">
        <v>35</v>
      </c>
      <c r="D281" s="4" t="str">
        <f t="shared" si="1"/>
        <v>Ms.</v>
      </c>
      <c r="E281" s="3" t="str">
        <f t="shared" si="4"/>
        <v>Ms. Vanya Desai</v>
      </c>
      <c r="F281" s="3" t="str">
        <f>IFERROR(__xludf.DUMMYFUNCTION("SPLIT(B281,"" "")"),"Vanya")</f>
        <v>Vanya</v>
      </c>
      <c r="G281" s="3" t="str">
        <f>IFERROR(__xludf.DUMMYFUNCTION("""COMPUTED_VALUE"""),"Desai")</f>
        <v>Desai</v>
      </c>
      <c r="H281" s="3" t="s">
        <v>25</v>
      </c>
      <c r="I281" s="3">
        <v>2023.0</v>
      </c>
      <c r="J281" s="3">
        <f t="shared" si="2"/>
        <v>10000</v>
      </c>
      <c r="K281" s="3" t="s">
        <v>20</v>
      </c>
      <c r="L281" s="3">
        <v>0.0</v>
      </c>
      <c r="M281" s="3" t="s">
        <v>21</v>
      </c>
      <c r="N281" s="3">
        <f t="shared" si="19"/>
        <v>3</v>
      </c>
      <c r="O281" s="3" t="s">
        <v>41</v>
      </c>
      <c r="P281" s="3" t="s">
        <v>31</v>
      </c>
      <c r="Q281" s="6">
        <f t="shared" si="3"/>
        <v>910000</v>
      </c>
    </row>
    <row r="282">
      <c r="A282" s="3">
        <v>64912.0</v>
      </c>
      <c r="B282" s="3" t="s">
        <v>301</v>
      </c>
      <c r="C282" s="3" t="s">
        <v>35</v>
      </c>
      <c r="D282" s="4" t="str">
        <f t="shared" si="1"/>
        <v>Ms.</v>
      </c>
      <c r="E282" s="3" t="str">
        <f t="shared" si="4"/>
        <v>Ms. Inaaya Gupta</v>
      </c>
      <c r="F282" s="3" t="str">
        <f>IFERROR(__xludf.DUMMYFUNCTION("SPLIT(B282,"" "")"),"Inaaya")</f>
        <v>Inaaya</v>
      </c>
      <c r="G282" s="3" t="str">
        <f>IFERROR(__xludf.DUMMYFUNCTION("""COMPUTED_VALUE"""),"Gupta")</f>
        <v>Gupta</v>
      </c>
      <c r="H282" s="3" t="s">
        <v>46</v>
      </c>
      <c r="I282" s="3">
        <v>2020.0</v>
      </c>
      <c r="J282" s="3">
        <f t="shared" si="2"/>
        <v>5000</v>
      </c>
      <c r="K282" s="3" t="s">
        <v>26</v>
      </c>
      <c r="L282" s="3">
        <v>18725.0</v>
      </c>
      <c r="M282" s="3" t="s">
        <v>21</v>
      </c>
      <c r="N282" s="3">
        <v>31.0</v>
      </c>
      <c r="O282" s="3" t="s">
        <v>41</v>
      </c>
      <c r="P282" s="3" t="s">
        <v>38</v>
      </c>
      <c r="Q282" s="6">
        <f t="shared" si="3"/>
        <v>635000</v>
      </c>
    </row>
    <row r="283">
      <c r="A283" s="3">
        <v>64913.0</v>
      </c>
      <c r="B283" s="3" t="s">
        <v>302</v>
      </c>
      <c r="C283" s="3" t="s">
        <v>35</v>
      </c>
      <c r="D283" s="4" t="str">
        <f t="shared" si="1"/>
        <v>Ms.</v>
      </c>
      <c r="E283" s="3" t="str">
        <f t="shared" si="4"/>
        <v>Ms. Sara Mehta</v>
      </c>
      <c r="F283" s="3" t="str">
        <f>IFERROR(__xludf.DUMMYFUNCTION("SPLIT(B283,"" "")"),"Sara")</f>
        <v>Sara</v>
      </c>
      <c r="G283" s="3" t="str">
        <f>IFERROR(__xludf.DUMMYFUNCTION("""COMPUTED_VALUE"""),"Mehta")</f>
        <v>Mehta</v>
      </c>
      <c r="H283" s="3" t="s">
        <v>19</v>
      </c>
      <c r="I283" s="3">
        <v>2023.0</v>
      </c>
      <c r="J283" s="3">
        <f t="shared" si="2"/>
        <v>5000</v>
      </c>
      <c r="K283" s="3" t="s">
        <v>20</v>
      </c>
      <c r="L283" s="3">
        <v>0.0</v>
      </c>
      <c r="M283" s="3" t="s">
        <v>21</v>
      </c>
      <c r="N283" s="3">
        <v>70.0</v>
      </c>
      <c r="O283" s="3" t="s">
        <v>41</v>
      </c>
      <c r="P283" s="3" t="s">
        <v>31</v>
      </c>
      <c r="Q283" s="6">
        <f t="shared" si="3"/>
        <v>910000</v>
      </c>
    </row>
    <row r="284">
      <c r="A284" s="3">
        <v>64916.0</v>
      </c>
      <c r="B284" s="3" t="s">
        <v>115</v>
      </c>
      <c r="C284" s="3" t="s">
        <v>18</v>
      </c>
      <c r="D284" s="4" t="str">
        <f t="shared" si="1"/>
        <v>Mr.</v>
      </c>
      <c r="E284" s="3" t="str">
        <f t="shared" si="4"/>
        <v>Mr. Kian Agarwal</v>
      </c>
      <c r="F284" s="3" t="str">
        <f>IFERROR(__xludf.DUMMYFUNCTION("SPLIT(B284,"" "")"),"Kian")</f>
        <v>Kian</v>
      </c>
      <c r="G284" s="3" t="str">
        <f>IFERROR(__xludf.DUMMYFUNCTION("""COMPUTED_VALUE"""),"Agarwal")</f>
        <v>Agarwal</v>
      </c>
      <c r="H284" s="3" t="s">
        <v>25</v>
      </c>
      <c r="I284" s="3">
        <v>2024.0</v>
      </c>
      <c r="J284" s="3">
        <f t="shared" si="2"/>
        <v>10000</v>
      </c>
      <c r="K284" s="3" t="s">
        <v>20</v>
      </c>
      <c r="L284" s="10">
        <v>3210.0</v>
      </c>
      <c r="M284" s="3" t="s">
        <v>21</v>
      </c>
      <c r="N284" s="3">
        <v>28.0</v>
      </c>
      <c r="O284" s="3" t="s">
        <v>22</v>
      </c>
      <c r="P284" s="3" t="s">
        <v>38</v>
      </c>
      <c r="Q284" s="6">
        <f t="shared" si="3"/>
        <v>635000</v>
      </c>
    </row>
    <row r="285">
      <c r="A285" s="3">
        <v>64917.0</v>
      </c>
      <c r="B285" s="3" t="s">
        <v>303</v>
      </c>
      <c r="C285" s="3" t="s">
        <v>35</v>
      </c>
      <c r="D285" s="4" t="str">
        <f t="shared" si="1"/>
        <v>Ms.</v>
      </c>
      <c r="E285" s="3" t="str">
        <f t="shared" si="4"/>
        <v>Ms. Aadhya Dutta</v>
      </c>
      <c r="F285" s="3" t="str">
        <f>IFERROR(__xludf.DUMMYFUNCTION("SPLIT(B285,"" "")"),"Aadhya")</f>
        <v>Aadhya</v>
      </c>
      <c r="G285" s="3" t="str">
        <f>IFERROR(__xludf.DUMMYFUNCTION("""COMPUTED_VALUE"""),"Dutta")</f>
        <v>Dutta</v>
      </c>
      <c r="H285" s="3" t="s">
        <v>25</v>
      </c>
      <c r="I285" s="3">
        <v>2024.0</v>
      </c>
      <c r="J285" s="3">
        <f t="shared" si="2"/>
        <v>10000</v>
      </c>
      <c r="K285" s="3" t="s">
        <v>20</v>
      </c>
      <c r="L285" s="3">
        <v>0.0</v>
      </c>
      <c r="M285" s="3" t="s">
        <v>21</v>
      </c>
      <c r="N285" s="3">
        <v>47.0</v>
      </c>
      <c r="O285" s="3" t="s">
        <v>41</v>
      </c>
      <c r="P285" s="3" t="s">
        <v>31</v>
      </c>
      <c r="Q285" s="6">
        <f t="shared" si="3"/>
        <v>910000</v>
      </c>
    </row>
    <row r="286">
      <c r="A286" s="3">
        <v>64919.0</v>
      </c>
      <c r="B286" s="3" t="s">
        <v>255</v>
      </c>
      <c r="C286" s="3" t="s">
        <v>35</v>
      </c>
      <c r="D286" s="4" t="str">
        <f t="shared" si="1"/>
        <v>Ms.</v>
      </c>
      <c r="E286" s="3" t="str">
        <f t="shared" si="4"/>
        <v>Ms. Inaaya Das</v>
      </c>
      <c r="F286" s="3" t="str">
        <f>IFERROR(__xludf.DUMMYFUNCTION("SPLIT(B286,"" "")"),"Inaaya")</f>
        <v>Inaaya</v>
      </c>
      <c r="G286" s="3" t="str">
        <f>IFERROR(__xludf.DUMMYFUNCTION("""COMPUTED_VALUE"""),"Das")</f>
        <v>Das</v>
      </c>
      <c r="H286" s="3" t="s">
        <v>25</v>
      </c>
      <c r="I286" s="3">
        <v>2023.0</v>
      </c>
      <c r="J286" s="3">
        <f t="shared" si="2"/>
        <v>10000</v>
      </c>
      <c r="K286" s="3" t="s">
        <v>20</v>
      </c>
      <c r="L286" s="3">
        <v>0.0</v>
      </c>
      <c r="M286" s="3" t="s">
        <v>21</v>
      </c>
      <c r="N286" s="3">
        <f>RANDBETWEEN(0,10)</f>
        <v>4</v>
      </c>
      <c r="O286" s="3" t="s">
        <v>41</v>
      </c>
      <c r="P286" s="3" t="s">
        <v>31</v>
      </c>
      <c r="Q286" s="6">
        <f t="shared" si="3"/>
        <v>910000</v>
      </c>
    </row>
    <row r="287">
      <c r="A287" s="3">
        <v>64920.0</v>
      </c>
      <c r="B287" s="3" t="s">
        <v>304</v>
      </c>
      <c r="C287" s="3" t="s">
        <v>18</v>
      </c>
      <c r="D287" s="4" t="str">
        <f t="shared" si="1"/>
        <v>Mr.</v>
      </c>
      <c r="E287" s="3" t="str">
        <f t="shared" si="4"/>
        <v>Mr. Ayaan Mehta</v>
      </c>
      <c r="F287" s="3" t="str">
        <f>IFERROR(__xludf.DUMMYFUNCTION("SPLIT(B287,"" "")"),"Ayaan")</f>
        <v>Ayaan</v>
      </c>
      <c r="G287" s="3" t="str">
        <f>IFERROR(__xludf.DUMMYFUNCTION("""COMPUTED_VALUE"""),"Mehta")</f>
        <v>Mehta</v>
      </c>
      <c r="H287" s="3" t="s">
        <v>19</v>
      </c>
      <c r="I287" s="3">
        <v>2024.0</v>
      </c>
      <c r="J287" s="3">
        <f t="shared" si="2"/>
        <v>5000</v>
      </c>
      <c r="K287" s="3" t="s">
        <v>20</v>
      </c>
      <c r="L287" s="3">
        <v>0.0</v>
      </c>
      <c r="M287" s="3" t="s">
        <v>21</v>
      </c>
      <c r="N287" s="3">
        <v>36.0</v>
      </c>
      <c r="O287" s="3" t="s">
        <v>41</v>
      </c>
      <c r="P287" s="3" t="s">
        <v>78</v>
      </c>
      <c r="Q287" s="6">
        <f t="shared" si="3"/>
        <v>255000</v>
      </c>
    </row>
    <row r="288">
      <c r="A288" s="3">
        <v>64921.0</v>
      </c>
      <c r="B288" s="3" t="s">
        <v>296</v>
      </c>
      <c r="C288" s="3" t="s">
        <v>18</v>
      </c>
      <c r="D288" s="4" t="str">
        <f t="shared" si="1"/>
        <v>Mr.</v>
      </c>
      <c r="E288" s="3" t="str">
        <f t="shared" si="4"/>
        <v>Mr. Shaurya Singh</v>
      </c>
      <c r="F288" s="3" t="str">
        <f>IFERROR(__xludf.DUMMYFUNCTION("SPLIT(B288,"" "")"),"Shaurya")</f>
        <v>Shaurya</v>
      </c>
      <c r="G288" s="3" t="str">
        <f>IFERROR(__xludf.DUMMYFUNCTION("""COMPUTED_VALUE"""),"Singh")</f>
        <v>Singh</v>
      </c>
      <c r="H288" s="3" t="s">
        <v>19</v>
      </c>
      <c r="I288" s="3">
        <v>2024.0</v>
      </c>
      <c r="J288" s="3">
        <f t="shared" si="2"/>
        <v>5000</v>
      </c>
      <c r="K288" s="3" t="s">
        <v>26</v>
      </c>
      <c r="L288" s="3">
        <v>12563.0</v>
      </c>
      <c r="M288" s="3" t="s">
        <v>21</v>
      </c>
      <c r="N288" s="3">
        <v>29.0</v>
      </c>
      <c r="O288" s="3" t="s">
        <v>22</v>
      </c>
      <c r="P288" s="3" t="s">
        <v>23</v>
      </c>
      <c r="Q288" s="6">
        <f t="shared" si="3"/>
        <v>430000</v>
      </c>
    </row>
    <row r="289">
      <c r="A289" s="3">
        <v>64922.0</v>
      </c>
      <c r="B289" s="3" t="s">
        <v>305</v>
      </c>
      <c r="C289" s="3" t="s">
        <v>35</v>
      </c>
      <c r="D289" s="4" t="str">
        <f t="shared" si="1"/>
        <v>Ms.</v>
      </c>
      <c r="E289" s="3" t="str">
        <f t="shared" si="4"/>
        <v>Ms. Riddhi Rao</v>
      </c>
      <c r="F289" s="3" t="str">
        <f>IFERROR(__xludf.DUMMYFUNCTION("SPLIT(B289,"" "")"),"Riddhi")</f>
        <v>Riddhi</v>
      </c>
      <c r="G289" s="3" t="str">
        <f>IFERROR(__xludf.DUMMYFUNCTION("""COMPUTED_VALUE"""),"Rao")</f>
        <v>Rao</v>
      </c>
      <c r="H289" s="3" t="s">
        <v>25</v>
      </c>
      <c r="I289" s="3">
        <v>2022.0</v>
      </c>
      <c r="J289" s="3">
        <f t="shared" si="2"/>
        <v>10000</v>
      </c>
      <c r="K289" s="3" t="s">
        <v>20</v>
      </c>
      <c r="L289" s="10">
        <v>4654.0</v>
      </c>
      <c r="M289" s="3" t="s">
        <v>30</v>
      </c>
      <c r="N289" s="3">
        <v>30.0</v>
      </c>
      <c r="O289" s="3" t="s">
        <v>22</v>
      </c>
      <c r="P289" s="3" t="s">
        <v>31</v>
      </c>
      <c r="Q289" s="6">
        <f t="shared" si="3"/>
        <v>910000</v>
      </c>
    </row>
    <row r="290">
      <c r="A290" s="3">
        <v>64923.0</v>
      </c>
      <c r="B290" s="3" t="s">
        <v>306</v>
      </c>
      <c r="C290" s="3" t="s">
        <v>18</v>
      </c>
      <c r="D290" s="4" t="str">
        <f t="shared" si="1"/>
        <v>Mr.</v>
      </c>
      <c r="E290" s="3" t="str">
        <f t="shared" si="4"/>
        <v>Mr. Kabir Verma</v>
      </c>
      <c r="F290" s="3" t="str">
        <f>IFERROR(__xludf.DUMMYFUNCTION("SPLIT(B290,"" "")"),"Kabir")</f>
        <v>Kabir</v>
      </c>
      <c r="G290" s="3" t="str">
        <f>IFERROR(__xludf.DUMMYFUNCTION("""COMPUTED_VALUE"""),"Verma")</f>
        <v>Verma</v>
      </c>
      <c r="H290" s="3" t="s">
        <v>19</v>
      </c>
      <c r="I290" s="3">
        <v>2024.0</v>
      </c>
      <c r="J290" s="3">
        <f t="shared" si="2"/>
        <v>5000</v>
      </c>
      <c r="K290" s="3" t="s">
        <v>26</v>
      </c>
      <c r="L290" s="3">
        <v>23176.0</v>
      </c>
      <c r="M290" s="3" t="s">
        <v>30</v>
      </c>
      <c r="N290" s="3">
        <v>28.0</v>
      </c>
      <c r="O290" s="3" t="s">
        <v>22</v>
      </c>
      <c r="P290" s="3" t="s">
        <v>31</v>
      </c>
      <c r="Q290" s="6">
        <f t="shared" si="3"/>
        <v>910000</v>
      </c>
    </row>
    <row r="291">
      <c r="A291" s="3">
        <v>64924.0</v>
      </c>
      <c r="B291" s="3" t="s">
        <v>307</v>
      </c>
      <c r="C291" s="3" t="s">
        <v>35</v>
      </c>
      <c r="D291" s="4" t="str">
        <f t="shared" si="1"/>
        <v>Ms.</v>
      </c>
      <c r="E291" s="3" t="str">
        <f t="shared" si="4"/>
        <v>Ms. Aadhya Malik</v>
      </c>
      <c r="F291" s="3" t="str">
        <f>IFERROR(__xludf.DUMMYFUNCTION("SPLIT(B291,"" "")"),"Aadhya")</f>
        <v>Aadhya</v>
      </c>
      <c r="G291" s="3" t="str">
        <f>IFERROR(__xludf.DUMMYFUNCTION("""COMPUTED_VALUE"""),"Malik")</f>
        <v>Malik</v>
      </c>
      <c r="H291" s="3" t="s">
        <v>19</v>
      </c>
      <c r="I291" s="3">
        <v>2024.0</v>
      </c>
      <c r="J291" s="3">
        <f t="shared" si="2"/>
        <v>5000</v>
      </c>
      <c r="K291" s="3" t="s">
        <v>20</v>
      </c>
      <c r="L291" s="3">
        <v>0.0</v>
      </c>
      <c r="M291" s="3" t="s">
        <v>21</v>
      </c>
      <c r="N291" s="3">
        <v>20.0</v>
      </c>
      <c r="O291" s="3" t="s">
        <v>22</v>
      </c>
      <c r="P291" s="3" t="s">
        <v>38</v>
      </c>
      <c r="Q291" s="6">
        <f t="shared" si="3"/>
        <v>635000</v>
      </c>
    </row>
    <row r="292">
      <c r="A292" s="3">
        <v>64925.0</v>
      </c>
      <c r="B292" s="3" t="s">
        <v>50</v>
      </c>
      <c r="C292" s="3" t="s">
        <v>35</v>
      </c>
      <c r="D292" s="4" t="str">
        <f t="shared" si="1"/>
        <v>Ms.</v>
      </c>
      <c r="E292" s="3" t="str">
        <f t="shared" si="4"/>
        <v>Ms. Manya Malik</v>
      </c>
      <c r="F292" s="3" t="str">
        <f>IFERROR(__xludf.DUMMYFUNCTION("SPLIT(B292,"" "")"),"Manya")</f>
        <v>Manya</v>
      </c>
      <c r="G292" s="3" t="str">
        <f>IFERROR(__xludf.DUMMYFUNCTION("""COMPUTED_VALUE"""),"Malik")</f>
        <v>Malik</v>
      </c>
      <c r="H292" s="3" t="s">
        <v>25</v>
      </c>
      <c r="I292" s="3">
        <v>2025.0</v>
      </c>
      <c r="J292" s="3">
        <f t="shared" si="2"/>
        <v>10000</v>
      </c>
      <c r="K292" s="3" t="s">
        <v>20</v>
      </c>
      <c r="L292" s="3">
        <v>0.0</v>
      </c>
      <c r="M292" s="3" t="s">
        <v>21</v>
      </c>
      <c r="N292" s="3">
        <v>43.0</v>
      </c>
      <c r="O292" s="3" t="s">
        <v>41</v>
      </c>
      <c r="P292" s="3" t="s">
        <v>38</v>
      </c>
      <c r="Q292" s="6">
        <f t="shared" si="3"/>
        <v>635000</v>
      </c>
    </row>
    <row r="293">
      <c r="A293" s="3">
        <v>64926.0</v>
      </c>
      <c r="B293" s="3" t="s">
        <v>308</v>
      </c>
      <c r="C293" s="3" t="s">
        <v>18</v>
      </c>
      <c r="D293" s="4" t="str">
        <f t="shared" si="1"/>
        <v>Mr.</v>
      </c>
      <c r="E293" s="3" t="str">
        <f t="shared" si="4"/>
        <v>Mr. Arjun Chopra</v>
      </c>
      <c r="F293" s="3" t="str">
        <f>IFERROR(__xludf.DUMMYFUNCTION("SPLIT(B293,"" "")"),"Arjun")</f>
        <v>Arjun</v>
      </c>
      <c r="G293" s="3" t="str">
        <f>IFERROR(__xludf.DUMMYFUNCTION("""COMPUTED_VALUE"""),"Chopra")</f>
        <v>Chopra</v>
      </c>
      <c r="H293" s="3" t="s">
        <v>46</v>
      </c>
      <c r="I293" s="3">
        <v>2023.0</v>
      </c>
      <c r="J293" s="3">
        <f t="shared" si="2"/>
        <v>5000</v>
      </c>
      <c r="K293" s="3" t="s">
        <v>20</v>
      </c>
      <c r="L293" s="3">
        <v>412.0</v>
      </c>
      <c r="M293" s="3" t="s">
        <v>30</v>
      </c>
      <c r="N293" s="3">
        <f>RANDBETWEEN(0,10)</f>
        <v>0</v>
      </c>
      <c r="O293" s="3" t="s">
        <v>22</v>
      </c>
      <c r="P293" s="3" t="s">
        <v>38</v>
      </c>
      <c r="Q293" s="6">
        <f t="shared" si="3"/>
        <v>635000</v>
      </c>
    </row>
    <row r="294">
      <c r="A294" s="3">
        <v>64927.0</v>
      </c>
      <c r="B294" s="3" t="s">
        <v>209</v>
      </c>
      <c r="C294" s="3" t="s">
        <v>18</v>
      </c>
      <c r="D294" s="4" t="str">
        <f t="shared" si="1"/>
        <v>Mr.</v>
      </c>
      <c r="E294" s="3" t="str">
        <f t="shared" si="4"/>
        <v>Mr. Shaurya Rao</v>
      </c>
      <c r="F294" s="3" t="str">
        <f>IFERROR(__xludf.DUMMYFUNCTION("SPLIT(B294,"" "")"),"Shaurya")</f>
        <v>Shaurya</v>
      </c>
      <c r="G294" s="3" t="str">
        <f>IFERROR(__xludf.DUMMYFUNCTION("""COMPUTED_VALUE"""),"Rao")</f>
        <v>Rao</v>
      </c>
      <c r="H294" s="3" t="s">
        <v>33</v>
      </c>
      <c r="I294" s="3">
        <v>2023.0</v>
      </c>
      <c r="J294" s="3">
        <f t="shared" si="2"/>
        <v>10000</v>
      </c>
      <c r="K294" s="3" t="s">
        <v>20</v>
      </c>
      <c r="L294" s="10">
        <v>4420.0</v>
      </c>
      <c r="M294" s="3" t="s">
        <v>21</v>
      </c>
      <c r="N294" s="3">
        <v>20.0</v>
      </c>
      <c r="O294" s="3" t="s">
        <v>22</v>
      </c>
      <c r="P294" s="3" t="s">
        <v>23</v>
      </c>
      <c r="Q294" s="6">
        <f t="shared" si="3"/>
        <v>430000</v>
      </c>
    </row>
    <row r="295">
      <c r="A295" s="3">
        <v>64928.0</v>
      </c>
      <c r="B295" s="3" t="s">
        <v>309</v>
      </c>
      <c r="C295" s="3" t="s">
        <v>35</v>
      </c>
      <c r="D295" s="4" t="str">
        <f t="shared" si="1"/>
        <v>Ms.</v>
      </c>
      <c r="E295" s="3" t="str">
        <f t="shared" si="4"/>
        <v>Ms. Sara Dutta</v>
      </c>
      <c r="F295" s="3" t="str">
        <f>IFERROR(__xludf.DUMMYFUNCTION("SPLIT(B295,"" "")"),"Sara")</f>
        <v>Sara</v>
      </c>
      <c r="G295" s="3" t="str">
        <f>IFERROR(__xludf.DUMMYFUNCTION("""COMPUTED_VALUE"""),"Dutta")</f>
        <v>Dutta</v>
      </c>
      <c r="H295" s="3" t="s">
        <v>33</v>
      </c>
      <c r="I295" s="3">
        <v>2026.0</v>
      </c>
      <c r="J295" s="3">
        <f t="shared" si="2"/>
        <v>10000</v>
      </c>
      <c r="K295" s="3" t="s">
        <v>20</v>
      </c>
      <c r="L295" s="3">
        <v>0.0</v>
      </c>
      <c r="M295" s="3" t="s">
        <v>21</v>
      </c>
      <c r="N295" s="3">
        <f>RANDBETWEEN(0,10)</f>
        <v>1</v>
      </c>
      <c r="O295" s="3" t="s">
        <v>41</v>
      </c>
      <c r="P295" s="3" t="s">
        <v>78</v>
      </c>
      <c r="Q295" s="6">
        <f t="shared" si="3"/>
        <v>255000</v>
      </c>
    </row>
    <row r="296">
      <c r="A296" s="3">
        <v>64929.0</v>
      </c>
      <c r="B296" s="3" t="s">
        <v>310</v>
      </c>
      <c r="C296" s="3" t="s">
        <v>18</v>
      </c>
      <c r="D296" s="4" t="str">
        <f t="shared" si="1"/>
        <v>Mr.</v>
      </c>
      <c r="E296" s="3" t="str">
        <f t="shared" si="4"/>
        <v>Mr. Om Gupta</v>
      </c>
      <c r="F296" s="3" t="str">
        <f>IFERROR(__xludf.DUMMYFUNCTION("SPLIT(B296,"" "")"),"Om")</f>
        <v>Om</v>
      </c>
      <c r="G296" s="3" t="str">
        <f>IFERROR(__xludf.DUMMYFUNCTION("""COMPUTED_VALUE"""),"Gupta")</f>
        <v>Gupta</v>
      </c>
      <c r="H296" s="3" t="s">
        <v>25</v>
      </c>
      <c r="I296" s="3">
        <v>2025.0</v>
      </c>
      <c r="J296" s="3">
        <f t="shared" si="2"/>
        <v>10000</v>
      </c>
      <c r="K296" s="3" t="s">
        <v>26</v>
      </c>
      <c r="L296" s="3">
        <v>17100.0</v>
      </c>
      <c r="M296" s="3" t="s">
        <v>21</v>
      </c>
      <c r="N296" s="3">
        <v>73.0</v>
      </c>
      <c r="O296" s="3" t="s">
        <v>41</v>
      </c>
      <c r="P296" s="3" t="s">
        <v>28</v>
      </c>
      <c r="Q296" s="6">
        <f t="shared" si="3"/>
        <v>400000</v>
      </c>
    </row>
    <row r="297">
      <c r="A297" s="3">
        <v>64930.0</v>
      </c>
      <c r="B297" s="3" t="s">
        <v>311</v>
      </c>
      <c r="C297" s="3" t="s">
        <v>35</v>
      </c>
      <c r="D297" s="4" t="str">
        <f t="shared" si="1"/>
        <v>Ms.</v>
      </c>
      <c r="E297" s="3" t="str">
        <f t="shared" si="4"/>
        <v>Ms. Lavanya Bhat</v>
      </c>
      <c r="F297" s="3" t="str">
        <f>IFERROR(__xludf.DUMMYFUNCTION("SPLIT(B297,"" "")"),"Lavanya")</f>
        <v>Lavanya</v>
      </c>
      <c r="G297" s="3" t="str">
        <f>IFERROR(__xludf.DUMMYFUNCTION("""COMPUTED_VALUE"""),"Bhat")</f>
        <v>Bhat</v>
      </c>
      <c r="H297" s="3" t="s">
        <v>25</v>
      </c>
      <c r="I297" s="3">
        <v>2025.0</v>
      </c>
      <c r="J297" s="3">
        <f t="shared" si="2"/>
        <v>10000</v>
      </c>
      <c r="K297" s="3" t="s">
        <v>20</v>
      </c>
      <c r="L297" s="10">
        <v>3095.0</v>
      </c>
      <c r="M297" s="3" t="s">
        <v>21</v>
      </c>
      <c r="N297" s="3">
        <v>35.0</v>
      </c>
      <c r="O297" s="3" t="s">
        <v>41</v>
      </c>
      <c r="P297" s="3" t="s">
        <v>23</v>
      </c>
      <c r="Q297" s="6">
        <f t="shared" si="3"/>
        <v>430000</v>
      </c>
    </row>
    <row r="298">
      <c r="A298" s="3">
        <v>64931.0</v>
      </c>
      <c r="B298" s="3" t="s">
        <v>161</v>
      </c>
      <c r="C298" s="3" t="s">
        <v>35</v>
      </c>
      <c r="D298" s="4" t="str">
        <f t="shared" si="1"/>
        <v>Ms.</v>
      </c>
      <c r="E298" s="3" t="str">
        <f t="shared" si="4"/>
        <v>Ms. Navya Singh</v>
      </c>
      <c r="F298" s="3" t="str">
        <f>IFERROR(__xludf.DUMMYFUNCTION("SPLIT(B298,"" "")"),"Navya")</f>
        <v>Navya</v>
      </c>
      <c r="G298" s="3" t="str">
        <f>IFERROR(__xludf.DUMMYFUNCTION("""COMPUTED_VALUE"""),"Singh")</f>
        <v>Singh</v>
      </c>
      <c r="H298" s="3" t="s">
        <v>46</v>
      </c>
      <c r="I298" s="3">
        <v>2019.0</v>
      </c>
      <c r="J298" s="3">
        <f t="shared" si="2"/>
        <v>5000</v>
      </c>
      <c r="K298" s="3" t="s">
        <v>20</v>
      </c>
      <c r="L298" s="3">
        <v>0.0</v>
      </c>
      <c r="M298" s="3" t="s">
        <v>30</v>
      </c>
      <c r="N298" s="3">
        <v>26.0</v>
      </c>
      <c r="O298" s="3" t="s">
        <v>41</v>
      </c>
      <c r="P298" s="3" t="s">
        <v>31</v>
      </c>
      <c r="Q298" s="6">
        <f t="shared" si="3"/>
        <v>910000</v>
      </c>
    </row>
    <row r="299">
      <c r="A299" s="3">
        <v>64932.0</v>
      </c>
      <c r="B299" s="3" t="s">
        <v>312</v>
      </c>
      <c r="C299" s="3" t="s">
        <v>35</v>
      </c>
      <c r="D299" s="4" t="str">
        <f t="shared" si="1"/>
        <v>Ms.</v>
      </c>
      <c r="E299" s="3" t="str">
        <f t="shared" si="4"/>
        <v>Ms. Anvi Iyer</v>
      </c>
      <c r="F299" s="3" t="str">
        <f>IFERROR(__xludf.DUMMYFUNCTION("SPLIT(B299,"" "")"),"Anvi")</f>
        <v>Anvi</v>
      </c>
      <c r="G299" s="3" t="str">
        <f>IFERROR(__xludf.DUMMYFUNCTION("""COMPUTED_VALUE"""),"Iyer")</f>
        <v>Iyer</v>
      </c>
      <c r="H299" s="3" t="s">
        <v>25</v>
      </c>
      <c r="I299" s="3">
        <v>2021.0</v>
      </c>
      <c r="J299" s="3">
        <f t="shared" si="2"/>
        <v>10000</v>
      </c>
      <c r="K299" s="3" t="s">
        <v>26</v>
      </c>
      <c r="L299" s="3">
        <v>13970.0</v>
      </c>
      <c r="M299" s="3" t="s">
        <v>30</v>
      </c>
      <c r="N299" s="3">
        <f>RANDBETWEEN(0,10)</f>
        <v>10</v>
      </c>
      <c r="O299" s="3" t="s">
        <v>41</v>
      </c>
      <c r="P299" s="3" t="s">
        <v>28</v>
      </c>
      <c r="Q299" s="6">
        <f t="shared" si="3"/>
        <v>400000</v>
      </c>
    </row>
    <row r="300">
      <c r="A300" s="3">
        <v>64933.0</v>
      </c>
      <c r="B300" s="3" t="s">
        <v>313</v>
      </c>
      <c r="C300" s="3" t="s">
        <v>18</v>
      </c>
      <c r="D300" s="4" t="str">
        <f t="shared" si="1"/>
        <v>Mr.</v>
      </c>
      <c r="E300" s="3" t="str">
        <f t="shared" si="4"/>
        <v>Mr. Aditya Patel</v>
      </c>
      <c r="F300" s="3" t="str">
        <f>IFERROR(__xludf.DUMMYFUNCTION("SPLIT(B300,"" "")"),"Aditya")</f>
        <v>Aditya</v>
      </c>
      <c r="G300" s="3" t="str">
        <f>IFERROR(__xludf.DUMMYFUNCTION("""COMPUTED_VALUE"""),"Patel")</f>
        <v>Patel</v>
      </c>
      <c r="H300" s="3" t="s">
        <v>25</v>
      </c>
      <c r="I300" s="3">
        <v>2024.0</v>
      </c>
      <c r="J300" s="3">
        <f t="shared" si="2"/>
        <v>10000</v>
      </c>
      <c r="K300" s="3" t="s">
        <v>26</v>
      </c>
      <c r="L300" s="10">
        <v>4665.0</v>
      </c>
      <c r="M300" s="3" t="s">
        <v>21</v>
      </c>
      <c r="N300" s="3">
        <v>33.0</v>
      </c>
      <c r="O300" s="3" t="s">
        <v>22</v>
      </c>
      <c r="P300" s="3" t="s">
        <v>31</v>
      </c>
      <c r="Q300" s="6">
        <f t="shared" si="3"/>
        <v>910000</v>
      </c>
    </row>
    <row r="301">
      <c r="A301" s="3">
        <v>64934.0</v>
      </c>
      <c r="B301" s="3" t="s">
        <v>314</v>
      </c>
      <c r="C301" s="3" t="s">
        <v>18</v>
      </c>
      <c r="D301" s="4" t="str">
        <f t="shared" si="1"/>
        <v>Mr.</v>
      </c>
      <c r="E301" s="3" t="str">
        <f t="shared" si="4"/>
        <v>Mr. Samarth Agarwal</v>
      </c>
      <c r="F301" s="3" t="str">
        <f>IFERROR(__xludf.DUMMYFUNCTION("SPLIT(B301,"" "")"),"Samarth")</f>
        <v>Samarth</v>
      </c>
      <c r="G301" s="3" t="str">
        <f>IFERROR(__xludf.DUMMYFUNCTION("""COMPUTED_VALUE"""),"Agarwal")</f>
        <v>Agarwal</v>
      </c>
      <c r="H301" s="3" t="s">
        <v>46</v>
      </c>
      <c r="I301" s="3">
        <v>2027.0</v>
      </c>
      <c r="J301" s="3">
        <f t="shared" si="2"/>
        <v>5000</v>
      </c>
      <c r="K301" s="3" t="s">
        <v>20</v>
      </c>
      <c r="L301" s="3">
        <v>0.0</v>
      </c>
      <c r="M301" s="3" t="s">
        <v>21</v>
      </c>
      <c r="N301" s="3">
        <f>RANDBETWEEN(0,10)</f>
        <v>3</v>
      </c>
      <c r="O301" s="3" t="s">
        <v>41</v>
      </c>
      <c r="P301" s="3" t="s">
        <v>31</v>
      </c>
      <c r="Q301" s="6">
        <f t="shared" si="3"/>
        <v>910000</v>
      </c>
    </row>
    <row r="302">
      <c r="A302" s="3">
        <v>64935.0</v>
      </c>
      <c r="B302" s="3" t="s">
        <v>315</v>
      </c>
      <c r="C302" s="3" t="s">
        <v>35</v>
      </c>
      <c r="D302" s="4" t="str">
        <f t="shared" si="1"/>
        <v>Ms.</v>
      </c>
      <c r="E302" s="3" t="str">
        <f t="shared" si="4"/>
        <v>Ms. Sara Verma</v>
      </c>
      <c r="F302" s="3" t="str">
        <f>IFERROR(__xludf.DUMMYFUNCTION("SPLIT(B302,"" "")"),"Sara")</f>
        <v>Sara</v>
      </c>
      <c r="G302" s="3" t="str">
        <f>IFERROR(__xludf.DUMMYFUNCTION("""COMPUTED_VALUE"""),"Verma")</f>
        <v>Verma</v>
      </c>
      <c r="H302" s="3" t="s">
        <v>25</v>
      </c>
      <c r="I302" s="3">
        <v>2021.0</v>
      </c>
      <c r="J302" s="3">
        <f t="shared" si="2"/>
        <v>10000</v>
      </c>
      <c r="K302" s="3" t="s">
        <v>20</v>
      </c>
      <c r="L302" s="3">
        <v>0.0</v>
      </c>
      <c r="M302" s="3" t="s">
        <v>21</v>
      </c>
      <c r="N302" s="3">
        <v>39.0</v>
      </c>
      <c r="O302" s="3" t="s">
        <v>41</v>
      </c>
      <c r="P302" s="3" t="s">
        <v>31</v>
      </c>
      <c r="Q302" s="6">
        <f t="shared" si="3"/>
        <v>910000</v>
      </c>
    </row>
    <row r="303">
      <c r="A303" s="3">
        <v>64936.0</v>
      </c>
      <c r="B303" s="3" t="s">
        <v>316</v>
      </c>
      <c r="C303" s="3" t="s">
        <v>35</v>
      </c>
      <c r="D303" s="4" t="str">
        <f t="shared" si="1"/>
        <v>Ms.</v>
      </c>
      <c r="E303" s="3" t="str">
        <f t="shared" si="4"/>
        <v>Ms. Siya Kapoor</v>
      </c>
      <c r="F303" s="3" t="str">
        <f>IFERROR(__xludf.DUMMYFUNCTION("SPLIT(B303,"" "")"),"Siya")</f>
        <v>Siya</v>
      </c>
      <c r="G303" s="3" t="str">
        <f>IFERROR(__xludf.DUMMYFUNCTION("""COMPUTED_VALUE"""),"Kapoor")</f>
        <v>Kapoor</v>
      </c>
      <c r="H303" s="3" t="s">
        <v>25</v>
      </c>
      <c r="I303" s="3">
        <v>2022.0</v>
      </c>
      <c r="J303" s="3">
        <f t="shared" si="2"/>
        <v>10000</v>
      </c>
      <c r="K303" s="3" t="s">
        <v>20</v>
      </c>
      <c r="L303" s="3">
        <v>0.0</v>
      </c>
      <c r="M303" s="3" t="s">
        <v>21</v>
      </c>
      <c r="N303" s="3">
        <v>3.0</v>
      </c>
      <c r="O303" s="3" t="s">
        <v>22</v>
      </c>
      <c r="P303" s="3" t="s">
        <v>31</v>
      </c>
      <c r="Q303" s="6">
        <f t="shared" si="3"/>
        <v>910000</v>
      </c>
    </row>
    <row r="304">
      <c r="A304" s="3">
        <v>64937.0</v>
      </c>
      <c r="B304" s="3" t="s">
        <v>317</v>
      </c>
      <c r="C304" s="3" t="s">
        <v>35</v>
      </c>
      <c r="D304" s="4" t="str">
        <f t="shared" si="1"/>
        <v>Ms.</v>
      </c>
      <c r="E304" s="3" t="str">
        <f t="shared" si="4"/>
        <v>Ms. Naira Gupta</v>
      </c>
      <c r="F304" s="3" t="str">
        <f>IFERROR(__xludf.DUMMYFUNCTION("SPLIT(B304,"" "")"),"Naira")</f>
        <v>Naira</v>
      </c>
      <c r="G304" s="3" t="str">
        <f>IFERROR(__xludf.DUMMYFUNCTION("""COMPUTED_VALUE"""),"Gupta")</f>
        <v>Gupta</v>
      </c>
      <c r="H304" s="3" t="s">
        <v>19</v>
      </c>
      <c r="I304" s="3">
        <v>2020.0</v>
      </c>
      <c r="J304" s="3">
        <f t="shared" si="2"/>
        <v>5000</v>
      </c>
      <c r="K304" s="3" t="s">
        <v>20</v>
      </c>
      <c r="L304" s="3">
        <v>0.0</v>
      </c>
      <c r="M304" s="3" t="s">
        <v>21</v>
      </c>
      <c r="N304" s="3">
        <f>RANDBETWEEN(0,10)</f>
        <v>7</v>
      </c>
      <c r="O304" s="3" t="s">
        <v>41</v>
      </c>
      <c r="P304" s="3" t="s">
        <v>23</v>
      </c>
      <c r="Q304" s="6">
        <f t="shared" si="3"/>
        <v>430000</v>
      </c>
    </row>
    <row r="305">
      <c r="A305" s="3">
        <v>64938.0</v>
      </c>
      <c r="B305" s="3" t="s">
        <v>113</v>
      </c>
      <c r="C305" s="3" t="s">
        <v>18</v>
      </c>
      <c r="D305" s="4" t="str">
        <f t="shared" si="1"/>
        <v>Mr.</v>
      </c>
      <c r="E305" s="3" t="str">
        <f t="shared" si="4"/>
        <v>Mr. Raghav Iyer</v>
      </c>
      <c r="F305" s="3" t="str">
        <f>IFERROR(__xludf.DUMMYFUNCTION("SPLIT(B305,"" "")"),"Raghav")</f>
        <v>Raghav</v>
      </c>
      <c r="G305" s="3" t="str">
        <f>IFERROR(__xludf.DUMMYFUNCTION("""COMPUTED_VALUE"""),"Iyer")</f>
        <v>Iyer</v>
      </c>
      <c r="H305" s="3" t="s">
        <v>25</v>
      </c>
      <c r="I305" s="3">
        <v>2026.0</v>
      </c>
      <c r="J305" s="3">
        <f t="shared" si="2"/>
        <v>10000</v>
      </c>
      <c r="K305" s="3" t="s">
        <v>20</v>
      </c>
      <c r="L305" s="3">
        <v>0.0</v>
      </c>
      <c r="M305" s="3" t="s">
        <v>21</v>
      </c>
      <c r="N305" s="3">
        <v>72.0</v>
      </c>
      <c r="O305" s="3" t="s">
        <v>41</v>
      </c>
      <c r="P305" s="3" t="s">
        <v>28</v>
      </c>
      <c r="Q305" s="6">
        <f t="shared" si="3"/>
        <v>400000</v>
      </c>
    </row>
    <row r="306">
      <c r="A306" s="3">
        <v>64939.0</v>
      </c>
      <c r="B306" s="3" t="s">
        <v>318</v>
      </c>
      <c r="C306" s="3" t="s">
        <v>35</v>
      </c>
      <c r="D306" s="4" t="str">
        <f t="shared" si="1"/>
        <v>Ms.</v>
      </c>
      <c r="E306" s="3" t="str">
        <f t="shared" si="4"/>
        <v>Ms. Aadhya Sinha</v>
      </c>
      <c r="F306" s="3" t="str">
        <f>IFERROR(__xludf.DUMMYFUNCTION("SPLIT(B306,"" "")"),"Aadhya")</f>
        <v>Aadhya</v>
      </c>
      <c r="G306" s="3" t="str">
        <f>IFERROR(__xludf.DUMMYFUNCTION("""COMPUTED_VALUE"""),"Sinha")</f>
        <v>Sinha</v>
      </c>
      <c r="H306" s="3" t="s">
        <v>46</v>
      </c>
      <c r="I306" s="3">
        <v>2026.0</v>
      </c>
      <c r="J306" s="3">
        <f t="shared" si="2"/>
        <v>5000</v>
      </c>
      <c r="K306" s="3" t="s">
        <v>20</v>
      </c>
      <c r="L306" s="3">
        <v>0.0</v>
      </c>
      <c r="M306" s="3" t="s">
        <v>21</v>
      </c>
      <c r="N306" s="3">
        <v>48.0</v>
      </c>
      <c r="O306" s="3" t="s">
        <v>41</v>
      </c>
      <c r="P306" s="3" t="s">
        <v>78</v>
      </c>
      <c r="Q306" s="6">
        <f t="shared" si="3"/>
        <v>255000</v>
      </c>
    </row>
    <row r="307">
      <c r="A307" s="3">
        <v>64940.0</v>
      </c>
      <c r="B307" s="3" t="s">
        <v>319</v>
      </c>
      <c r="C307" s="3" t="s">
        <v>35</v>
      </c>
      <c r="D307" s="4" t="str">
        <f t="shared" si="1"/>
        <v>Ms.</v>
      </c>
      <c r="E307" s="3" t="str">
        <f t="shared" si="4"/>
        <v>Ms. Diya Pillai</v>
      </c>
      <c r="F307" s="3" t="str">
        <f>IFERROR(__xludf.DUMMYFUNCTION("SPLIT(B307,"" "")"),"Diya")</f>
        <v>Diya</v>
      </c>
      <c r="G307" s="3" t="str">
        <f>IFERROR(__xludf.DUMMYFUNCTION("""COMPUTED_VALUE"""),"Pillai")</f>
        <v>Pillai</v>
      </c>
      <c r="H307" s="3" t="s">
        <v>19</v>
      </c>
      <c r="I307" s="3">
        <v>2021.0</v>
      </c>
      <c r="J307" s="3">
        <f t="shared" si="2"/>
        <v>5000</v>
      </c>
      <c r="K307" s="3" t="s">
        <v>26</v>
      </c>
      <c r="L307" s="3">
        <v>14150.0</v>
      </c>
      <c r="M307" s="3" t="s">
        <v>21</v>
      </c>
      <c r="N307" s="3">
        <f t="shared" ref="N307:N308" si="20">RANDBETWEEN(0,10)</f>
        <v>2</v>
      </c>
      <c r="O307" s="3" t="s">
        <v>41</v>
      </c>
      <c r="P307" s="3" t="s">
        <v>31</v>
      </c>
      <c r="Q307" s="6">
        <f t="shared" si="3"/>
        <v>910000</v>
      </c>
    </row>
    <row r="308">
      <c r="A308" s="3">
        <v>64941.0</v>
      </c>
      <c r="B308" s="3" t="s">
        <v>320</v>
      </c>
      <c r="C308" s="3" t="s">
        <v>35</v>
      </c>
      <c r="D308" s="4" t="str">
        <f t="shared" si="1"/>
        <v>Ms.</v>
      </c>
      <c r="E308" s="3" t="str">
        <f t="shared" si="4"/>
        <v>Ms. Anvi Nair</v>
      </c>
      <c r="F308" s="3" t="str">
        <f>IFERROR(__xludf.DUMMYFUNCTION("SPLIT(B308,"" "")"),"Anvi")</f>
        <v>Anvi</v>
      </c>
      <c r="G308" s="3" t="str">
        <f>IFERROR(__xludf.DUMMYFUNCTION("""COMPUTED_VALUE"""),"Nair")</f>
        <v>Nair</v>
      </c>
      <c r="H308" s="3" t="s">
        <v>33</v>
      </c>
      <c r="I308" s="3">
        <v>2023.0</v>
      </c>
      <c r="J308" s="3">
        <f t="shared" si="2"/>
        <v>10000</v>
      </c>
      <c r="K308" s="3" t="s">
        <v>20</v>
      </c>
      <c r="L308" s="3">
        <v>0.0</v>
      </c>
      <c r="M308" s="3" t="s">
        <v>21</v>
      </c>
      <c r="N308" s="3">
        <f t="shared" si="20"/>
        <v>3</v>
      </c>
      <c r="O308" s="3" t="s">
        <v>41</v>
      </c>
      <c r="P308" s="3" t="s">
        <v>31</v>
      </c>
      <c r="Q308" s="6">
        <f t="shared" si="3"/>
        <v>910000</v>
      </c>
    </row>
    <row r="309">
      <c r="A309" s="3">
        <v>64942.0</v>
      </c>
      <c r="B309" s="3" t="s">
        <v>321</v>
      </c>
      <c r="C309" s="3" t="s">
        <v>18</v>
      </c>
      <c r="D309" s="4" t="str">
        <f t="shared" si="1"/>
        <v>Mr.</v>
      </c>
      <c r="E309" s="3" t="str">
        <f t="shared" si="4"/>
        <v>Mr. Vivaan Mishra</v>
      </c>
      <c r="F309" s="3" t="str">
        <f>IFERROR(__xludf.DUMMYFUNCTION("SPLIT(B309,"" "")"),"Vivaan")</f>
        <v>Vivaan</v>
      </c>
      <c r="G309" s="3" t="str">
        <f>IFERROR(__xludf.DUMMYFUNCTION("""COMPUTED_VALUE"""),"Mishra")</f>
        <v>Mishra</v>
      </c>
      <c r="H309" s="3" t="s">
        <v>19</v>
      </c>
      <c r="I309" s="3">
        <v>2022.0</v>
      </c>
      <c r="J309" s="3">
        <f t="shared" si="2"/>
        <v>5000</v>
      </c>
      <c r="K309" s="3" t="s">
        <v>20</v>
      </c>
      <c r="L309" s="3">
        <v>58.0</v>
      </c>
      <c r="M309" s="3" t="s">
        <v>30</v>
      </c>
      <c r="N309" s="3">
        <v>29.0</v>
      </c>
      <c r="O309" s="3" t="s">
        <v>22</v>
      </c>
      <c r="P309" s="3" t="s">
        <v>78</v>
      </c>
      <c r="Q309" s="6">
        <f t="shared" si="3"/>
        <v>255000</v>
      </c>
    </row>
    <row r="310">
      <c r="A310" s="3">
        <v>64944.0</v>
      </c>
      <c r="B310" s="3" t="s">
        <v>322</v>
      </c>
      <c r="C310" s="3" t="s">
        <v>18</v>
      </c>
      <c r="D310" s="4" t="str">
        <f t="shared" si="1"/>
        <v>Mr.</v>
      </c>
      <c r="E310" s="3" t="str">
        <f t="shared" si="4"/>
        <v>Mr. Ayaan Malik</v>
      </c>
      <c r="F310" s="3" t="str">
        <f>IFERROR(__xludf.DUMMYFUNCTION("SPLIT(B310,"" "")"),"Ayaan")</f>
        <v>Ayaan</v>
      </c>
      <c r="G310" s="3" t="str">
        <f>IFERROR(__xludf.DUMMYFUNCTION("""COMPUTED_VALUE"""),"Malik")</f>
        <v>Malik</v>
      </c>
      <c r="H310" s="3" t="s">
        <v>33</v>
      </c>
      <c r="I310" s="3">
        <v>2026.0</v>
      </c>
      <c r="J310" s="3">
        <f t="shared" si="2"/>
        <v>10000</v>
      </c>
      <c r="K310" s="3" t="s">
        <v>26</v>
      </c>
      <c r="L310" s="3">
        <v>20581.0</v>
      </c>
      <c r="M310" s="3" t="s">
        <v>21</v>
      </c>
      <c r="N310" s="3">
        <f>RANDBETWEEN(0,10)</f>
        <v>7</v>
      </c>
      <c r="O310" s="3" t="s">
        <v>41</v>
      </c>
      <c r="P310" s="3" t="s">
        <v>23</v>
      </c>
      <c r="Q310" s="6">
        <f t="shared" si="3"/>
        <v>430000</v>
      </c>
    </row>
    <row r="311">
      <c r="A311" s="3">
        <v>64946.0</v>
      </c>
      <c r="B311" s="3" t="s">
        <v>323</v>
      </c>
      <c r="C311" s="3" t="s">
        <v>35</v>
      </c>
      <c r="D311" s="4" t="str">
        <f t="shared" si="1"/>
        <v>Ms.</v>
      </c>
      <c r="E311" s="3" t="str">
        <f t="shared" si="4"/>
        <v>Ms. Anvi Bhatt</v>
      </c>
      <c r="F311" s="3" t="str">
        <f>IFERROR(__xludf.DUMMYFUNCTION("SPLIT(B311,"" "")"),"Anvi")</f>
        <v>Anvi</v>
      </c>
      <c r="G311" s="3" t="str">
        <f>IFERROR(__xludf.DUMMYFUNCTION("""COMPUTED_VALUE"""),"Bhatt")</f>
        <v>Bhatt</v>
      </c>
      <c r="H311" s="3" t="s">
        <v>25</v>
      </c>
      <c r="I311" s="3">
        <v>2023.0</v>
      </c>
      <c r="J311" s="3">
        <f t="shared" si="2"/>
        <v>10000</v>
      </c>
      <c r="K311" s="3" t="s">
        <v>20</v>
      </c>
      <c r="L311" s="3">
        <v>0.0</v>
      </c>
      <c r="M311" s="3" t="s">
        <v>30</v>
      </c>
      <c r="N311" s="3">
        <v>36.0</v>
      </c>
      <c r="O311" s="3" t="s">
        <v>41</v>
      </c>
      <c r="P311" s="3" t="s">
        <v>31</v>
      </c>
      <c r="Q311" s="6">
        <f t="shared" si="3"/>
        <v>910000</v>
      </c>
    </row>
    <row r="312">
      <c r="A312" s="3">
        <v>64947.0</v>
      </c>
      <c r="B312" s="3" t="s">
        <v>324</v>
      </c>
      <c r="C312" s="3" t="s">
        <v>18</v>
      </c>
      <c r="D312" s="4" t="str">
        <f t="shared" si="1"/>
        <v>Mr.</v>
      </c>
      <c r="E312" s="3" t="str">
        <f t="shared" si="4"/>
        <v>Mr. Samarth Patel</v>
      </c>
      <c r="F312" s="3" t="str">
        <f>IFERROR(__xludf.DUMMYFUNCTION("SPLIT(B312,"" "")"),"Samarth")</f>
        <v>Samarth</v>
      </c>
      <c r="G312" s="3" t="str">
        <f>IFERROR(__xludf.DUMMYFUNCTION("""COMPUTED_VALUE"""),"Patel")</f>
        <v>Patel</v>
      </c>
      <c r="H312" s="3" t="s">
        <v>25</v>
      </c>
      <c r="I312" s="3">
        <v>2024.0</v>
      </c>
      <c r="J312" s="3">
        <f t="shared" si="2"/>
        <v>10000</v>
      </c>
      <c r="K312" s="3" t="s">
        <v>20</v>
      </c>
      <c r="L312" s="3">
        <v>0.0</v>
      </c>
      <c r="M312" s="3" t="s">
        <v>21</v>
      </c>
      <c r="N312" s="3">
        <v>15.0</v>
      </c>
      <c r="O312" s="3" t="s">
        <v>41</v>
      </c>
      <c r="P312" s="3" t="s">
        <v>23</v>
      </c>
      <c r="Q312" s="6">
        <f t="shared" si="3"/>
        <v>430000</v>
      </c>
    </row>
    <row r="313">
      <c r="A313" s="3">
        <v>64948.0</v>
      </c>
      <c r="B313" s="3" t="s">
        <v>325</v>
      </c>
      <c r="C313" s="3" t="s">
        <v>35</v>
      </c>
      <c r="D313" s="4" t="str">
        <f t="shared" si="1"/>
        <v>Ms.</v>
      </c>
      <c r="E313" s="3" t="str">
        <f t="shared" si="4"/>
        <v>Ms. Shanaya Pillai</v>
      </c>
      <c r="F313" s="3" t="str">
        <f>IFERROR(__xludf.DUMMYFUNCTION("SPLIT(B313,"" "")"),"Shanaya")</f>
        <v>Shanaya</v>
      </c>
      <c r="G313" s="3" t="str">
        <f>IFERROR(__xludf.DUMMYFUNCTION("""COMPUTED_VALUE"""),"Pillai")</f>
        <v>Pillai</v>
      </c>
      <c r="H313" s="3" t="s">
        <v>25</v>
      </c>
      <c r="I313" s="3">
        <v>2013.0</v>
      </c>
      <c r="J313" s="3">
        <f t="shared" si="2"/>
        <v>10000</v>
      </c>
      <c r="K313" s="3" t="s">
        <v>20</v>
      </c>
      <c r="L313" s="3">
        <v>0.0</v>
      </c>
      <c r="M313" s="3" t="s">
        <v>21</v>
      </c>
      <c r="N313" s="3">
        <v>71.0</v>
      </c>
      <c r="O313" s="3" t="s">
        <v>41</v>
      </c>
      <c r="P313" s="3" t="s">
        <v>23</v>
      </c>
      <c r="Q313" s="6">
        <f t="shared" si="3"/>
        <v>430000</v>
      </c>
    </row>
    <row r="314">
      <c r="A314" s="3">
        <v>64949.0</v>
      </c>
      <c r="B314" s="3" t="s">
        <v>326</v>
      </c>
      <c r="C314" s="3" t="s">
        <v>35</v>
      </c>
      <c r="D314" s="4" t="str">
        <f t="shared" si="1"/>
        <v>Ms.</v>
      </c>
      <c r="E314" s="3" t="str">
        <f t="shared" si="4"/>
        <v>Ms. Mahira Sinha</v>
      </c>
      <c r="F314" s="3" t="str">
        <f>IFERROR(__xludf.DUMMYFUNCTION("SPLIT(B314,"" "")"),"Mahira")</f>
        <v>Mahira</v>
      </c>
      <c r="G314" s="3" t="str">
        <f>IFERROR(__xludf.DUMMYFUNCTION("""COMPUTED_VALUE"""),"Sinha")</f>
        <v>Sinha</v>
      </c>
      <c r="H314" s="3" t="s">
        <v>25</v>
      </c>
      <c r="I314" s="3">
        <v>2025.0</v>
      </c>
      <c r="J314" s="3">
        <f t="shared" si="2"/>
        <v>10000</v>
      </c>
      <c r="K314" s="3" t="s">
        <v>26</v>
      </c>
      <c r="L314" s="3">
        <v>20414.0</v>
      </c>
      <c r="M314" s="3" t="s">
        <v>21</v>
      </c>
      <c r="N314" s="3">
        <v>39.0</v>
      </c>
      <c r="O314" s="3" t="s">
        <v>41</v>
      </c>
      <c r="P314" s="3" t="s">
        <v>31</v>
      </c>
      <c r="Q314" s="6">
        <f t="shared" si="3"/>
        <v>910000</v>
      </c>
    </row>
    <row r="315">
      <c r="A315" s="3">
        <v>64950.0</v>
      </c>
      <c r="B315" s="3" t="s">
        <v>327</v>
      </c>
      <c r="C315" s="3" t="s">
        <v>18</v>
      </c>
      <c r="D315" s="4" t="str">
        <f t="shared" si="1"/>
        <v>Mr.</v>
      </c>
      <c r="E315" s="3" t="str">
        <f t="shared" si="4"/>
        <v>Mr. Samarth Dutta</v>
      </c>
      <c r="F315" s="3" t="str">
        <f>IFERROR(__xludf.DUMMYFUNCTION("SPLIT(B315,"" "")"),"Samarth")</f>
        <v>Samarth</v>
      </c>
      <c r="G315" s="3" t="str">
        <f>IFERROR(__xludf.DUMMYFUNCTION("""COMPUTED_VALUE"""),"Dutta")</f>
        <v>Dutta</v>
      </c>
      <c r="H315" s="3" t="s">
        <v>25</v>
      </c>
      <c r="I315" s="3">
        <v>2020.0</v>
      </c>
      <c r="J315" s="3">
        <f t="shared" si="2"/>
        <v>10000</v>
      </c>
      <c r="K315" s="3" t="s">
        <v>20</v>
      </c>
      <c r="L315" s="10">
        <v>31798.0</v>
      </c>
      <c r="M315" s="3" t="s">
        <v>21</v>
      </c>
      <c r="N315" s="3">
        <v>21.0</v>
      </c>
      <c r="O315" s="3" t="s">
        <v>22</v>
      </c>
      <c r="P315" s="3" t="s">
        <v>38</v>
      </c>
      <c r="Q315" s="6">
        <f t="shared" si="3"/>
        <v>635000</v>
      </c>
    </row>
    <row r="316">
      <c r="A316" s="3">
        <v>64952.0</v>
      </c>
      <c r="B316" s="3" t="s">
        <v>328</v>
      </c>
      <c r="C316" s="3" t="s">
        <v>18</v>
      </c>
      <c r="D316" s="4" t="str">
        <f t="shared" si="1"/>
        <v>Mr.</v>
      </c>
      <c r="E316" s="3" t="str">
        <f t="shared" si="4"/>
        <v>Mr. Shivansh Kumar</v>
      </c>
      <c r="F316" s="3" t="str">
        <f>IFERROR(__xludf.DUMMYFUNCTION("SPLIT(B316,"" "")"),"Shivansh")</f>
        <v>Shivansh</v>
      </c>
      <c r="G316" s="3" t="str">
        <f>IFERROR(__xludf.DUMMYFUNCTION("""COMPUTED_VALUE"""),"Kumar")</f>
        <v>Kumar</v>
      </c>
      <c r="H316" s="3" t="s">
        <v>19</v>
      </c>
      <c r="I316" s="3">
        <v>2021.0</v>
      </c>
      <c r="J316" s="3">
        <f t="shared" si="2"/>
        <v>5000</v>
      </c>
      <c r="K316" s="3" t="s">
        <v>20</v>
      </c>
      <c r="L316" s="3">
        <v>270.0</v>
      </c>
      <c r="M316" s="3" t="s">
        <v>30</v>
      </c>
      <c r="N316" s="3">
        <f>RANDBETWEEN(0,10)</f>
        <v>6</v>
      </c>
      <c r="O316" s="3" t="s">
        <v>22</v>
      </c>
      <c r="P316" s="3" t="s">
        <v>28</v>
      </c>
      <c r="Q316" s="6">
        <f t="shared" si="3"/>
        <v>400000</v>
      </c>
    </row>
    <row r="317">
      <c r="A317" s="3">
        <v>64953.0</v>
      </c>
      <c r="B317" s="3" t="s">
        <v>329</v>
      </c>
      <c r="C317" s="3" t="s">
        <v>35</v>
      </c>
      <c r="D317" s="4" t="str">
        <f t="shared" si="1"/>
        <v>Ms.</v>
      </c>
      <c r="E317" s="3" t="str">
        <f t="shared" si="4"/>
        <v>Ms. Aaradhya Gupta</v>
      </c>
      <c r="F317" s="3" t="str">
        <f>IFERROR(__xludf.DUMMYFUNCTION("SPLIT(B317,"" "")"),"Aaradhya")</f>
        <v>Aaradhya</v>
      </c>
      <c r="G317" s="3" t="str">
        <f>IFERROR(__xludf.DUMMYFUNCTION("""COMPUTED_VALUE"""),"Gupta")</f>
        <v>Gupta</v>
      </c>
      <c r="H317" s="3" t="s">
        <v>33</v>
      </c>
      <c r="I317" s="3">
        <v>2025.0</v>
      </c>
      <c r="J317" s="3">
        <f t="shared" si="2"/>
        <v>10000</v>
      </c>
      <c r="K317" s="3" t="s">
        <v>26</v>
      </c>
      <c r="L317" s="3">
        <v>20362.0</v>
      </c>
      <c r="M317" s="3" t="s">
        <v>21</v>
      </c>
      <c r="N317" s="3">
        <v>15.0</v>
      </c>
      <c r="O317" s="3" t="s">
        <v>41</v>
      </c>
      <c r="P317" s="3" t="s">
        <v>28</v>
      </c>
      <c r="Q317" s="6">
        <f t="shared" si="3"/>
        <v>400000</v>
      </c>
    </row>
    <row r="318">
      <c r="A318" s="3">
        <v>64957.0</v>
      </c>
      <c r="B318" s="3" t="s">
        <v>330</v>
      </c>
      <c r="C318" s="3" t="s">
        <v>18</v>
      </c>
      <c r="D318" s="4" t="str">
        <f t="shared" si="1"/>
        <v>Mr.</v>
      </c>
      <c r="E318" s="3" t="str">
        <f t="shared" si="4"/>
        <v>Mr. Rudra Iyer</v>
      </c>
      <c r="F318" s="3" t="str">
        <f>IFERROR(__xludf.DUMMYFUNCTION("SPLIT(B318,"" "")"),"Rudra")</f>
        <v>Rudra</v>
      </c>
      <c r="G318" s="3" t="str">
        <f>IFERROR(__xludf.DUMMYFUNCTION("""COMPUTED_VALUE"""),"Iyer")</f>
        <v>Iyer</v>
      </c>
      <c r="H318" s="3" t="s">
        <v>25</v>
      </c>
      <c r="I318" s="3">
        <v>2025.0</v>
      </c>
      <c r="J318" s="3">
        <f t="shared" si="2"/>
        <v>10000</v>
      </c>
      <c r="K318" s="3" t="s">
        <v>20</v>
      </c>
      <c r="L318" s="3">
        <v>0.0</v>
      </c>
      <c r="M318" s="3" t="s">
        <v>21</v>
      </c>
      <c r="N318" s="3">
        <v>26.0</v>
      </c>
      <c r="O318" s="3" t="s">
        <v>41</v>
      </c>
      <c r="P318" s="3" t="s">
        <v>38</v>
      </c>
      <c r="Q318" s="6">
        <f t="shared" si="3"/>
        <v>635000</v>
      </c>
    </row>
    <row r="319">
      <c r="A319" s="3">
        <v>64958.0</v>
      </c>
      <c r="B319" s="3" t="s">
        <v>331</v>
      </c>
      <c r="C319" s="3" t="s">
        <v>35</v>
      </c>
      <c r="D319" s="4" t="str">
        <f t="shared" si="1"/>
        <v>Ms.</v>
      </c>
      <c r="E319" s="3" t="str">
        <f t="shared" si="4"/>
        <v>Ms. Mishka Sinha</v>
      </c>
      <c r="F319" s="3" t="str">
        <f>IFERROR(__xludf.DUMMYFUNCTION("SPLIT(B319,"" "")"),"Mishka")</f>
        <v>Mishka</v>
      </c>
      <c r="G319" s="3" t="str">
        <f>IFERROR(__xludf.DUMMYFUNCTION("""COMPUTED_VALUE"""),"Sinha")</f>
        <v>Sinha</v>
      </c>
      <c r="H319" s="3" t="s">
        <v>46</v>
      </c>
      <c r="I319" s="3">
        <v>2024.0</v>
      </c>
      <c r="J319" s="3">
        <f t="shared" si="2"/>
        <v>5000</v>
      </c>
      <c r="K319" s="3" t="s">
        <v>26</v>
      </c>
      <c r="L319" s="3">
        <v>22027.0</v>
      </c>
      <c r="M319" s="3" t="s">
        <v>21</v>
      </c>
      <c r="N319" s="3">
        <f t="shared" ref="N319:N320" si="21">RANDBETWEEN(0,10)</f>
        <v>6</v>
      </c>
      <c r="O319" s="3" t="s">
        <v>41</v>
      </c>
      <c r="P319" s="3" t="s">
        <v>28</v>
      </c>
      <c r="Q319" s="6">
        <f t="shared" si="3"/>
        <v>400000</v>
      </c>
    </row>
    <row r="320">
      <c r="A320" s="3">
        <v>64959.0</v>
      </c>
      <c r="B320" s="3" t="s">
        <v>332</v>
      </c>
      <c r="C320" s="3" t="s">
        <v>18</v>
      </c>
      <c r="D320" s="4" t="str">
        <f t="shared" si="1"/>
        <v>Mr.</v>
      </c>
      <c r="E320" s="3" t="str">
        <f t="shared" si="4"/>
        <v>Mr. Aditya Nair</v>
      </c>
      <c r="F320" s="3" t="str">
        <f>IFERROR(__xludf.DUMMYFUNCTION("SPLIT(B320,"" "")"),"Aditya")</f>
        <v>Aditya</v>
      </c>
      <c r="G320" s="3" t="str">
        <f>IFERROR(__xludf.DUMMYFUNCTION("""COMPUTED_VALUE"""),"Nair")</f>
        <v>Nair</v>
      </c>
      <c r="H320" s="3" t="s">
        <v>25</v>
      </c>
      <c r="I320" s="3">
        <v>2024.0</v>
      </c>
      <c r="J320" s="3">
        <f t="shared" si="2"/>
        <v>10000</v>
      </c>
      <c r="K320" s="3" t="s">
        <v>26</v>
      </c>
      <c r="L320" s="3">
        <v>22830.0</v>
      </c>
      <c r="M320" s="3" t="s">
        <v>21</v>
      </c>
      <c r="N320" s="3">
        <f t="shared" si="21"/>
        <v>6</v>
      </c>
      <c r="O320" s="3" t="s">
        <v>41</v>
      </c>
      <c r="P320" s="3" t="s">
        <v>31</v>
      </c>
      <c r="Q320" s="6">
        <f t="shared" si="3"/>
        <v>910000</v>
      </c>
    </row>
    <row r="321">
      <c r="A321" s="3">
        <v>64960.0</v>
      </c>
      <c r="B321" s="3" t="s">
        <v>333</v>
      </c>
      <c r="C321" s="3" t="s">
        <v>18</v>
      </c>
      <c r="D321" s="4" t="str">
        <f t="shared" si="1"/>
        <v>Mr.</v>
      </c>
      <c r="E321" s="3" t="str">
        <f t="shared" si="4"/>
        <v>Mr. Samarth Rao</v>
      </c>
      <c r="F321" s="3" t="str">
        <f>IFERROR(__xludf.DUMMYFUNCTION("SPLIT(B321,"" "")"),"Samarth")</f>
        <v>Samarth</v>
      </c>
      <c r="G321" s="3" t="str">
        <f>IFERROR(__xludf.DUMMYFUNCTION("""COMPUTED_VALUE"""),"Rao")</f>
        <v>Rao</v>
      </c>
      <c r="H321" s="3" t="s">
        <v>25</v>
      </c>
      <c r="I321" s="3">
        <v>2028.0</v>
      </c>
      <c r="J321" s="3">
        <f t="shared" si="2"/>
        <v>10000</v>
      </c>
      <c r="K321" s="3" t="s">
        <v>20</v>
      </c>
      <c r="L321" s="3">
        <v>0.0</v>
      </c>
      <c r="M321" s="3" t="s">
        <v>21</v>
      </c>
      <c r="N321" s="3">
        <v>40.0</v>
      </c>
      <c r="O321" s="3" t="s">
        <v>41</v>
      </c>
      <c r="P321" s="3" t="s">
        <v>31</v>
      </c>
      <c r="Q321" s="6">
        <f t="shared" si="3"/>
        <v>910000</v>
      </c>
    </row>
    <row r="322">
      <c r="A322" s="3">
        <v>64961.0</v>
      </c>
      <c r="B322" s="3" t="s">
        <v>72</v>
      </c>
      <c r="C322" s="3" t="s">
        <v>18</v>
      </c>
      <c r="D322" s="4" t="str">
        <f t="shared" si="1"/>
        <v>Mr.</v>
      </c>
      <c r="E322" s="3" t="str">
        <f t="shared" si="4"/>
        <v>Mr. Aaryan Kumar</v>
      </c>
      <c r="F322" s="3" t="str">
        <f>IFERROR(__xludf.DUMMYFUNCTION("SPLIT(B322,"" "")"),"Aaryan")</f>
        <v>Aaryan</v>
      </c>
      <c r="G322" s="3" t="str">
        <f>IFERROR(__xludf.DUMMYFUNCTION("""COMPUTED_VALUE"""),"Kumar")</f>
        <v>Kumar</v>
      </c>
      <c r="H322" s="3" t="s">
        <v>25</v>
      </c>
      <c r="I322" s="3">
        <v>2025.0</v>
      </c>
      <c r="J322" s="3">
        <f t="shared" si="2"/>
        <v>10000</v>
      </c>
      <c r="K322" s="3" t="s">
        <v>26</v>
      </c>
      <c r="L322" s="3">
        <v>21522.0</v>
      </c>
      <c r="M322" s="3" t="s">
        <v>21</v>
      </c>
      <c r="N322" s="3">
        <v>15.0</v>
      </c>
      <c r="O322" s="3" t="s">
        <v>41</v>
      </c>
      <c r="P322" s="3" t="s">
        <v>28</v>
      </c>
      <c r="Q322" s="6">
        <f t="shared" si="3"/>
        <v>400000</v>
      </c>
    </row>
    <row r="323">
      <c r="A323" s="3">
        <v>64962.0</v>
      </c>
      <c r="B323" s="3" t="s">
        <v>137</v>
      </c>
      <c r="C323" s="3" t="s">
        <v>18</v>
      </c>
      <c r="D323" s="4" t="str">
        <f t="shared" si="1"/>
        <v>Mr.</v>
      </c>
      <c r="E323" s="3" t="str">
        <f t="shared" si="4"/>
        <v>Mr. Shivansh Thakur</v>
      </c>
      <c r="F323" s="3" t="str">
        <f>IFERROR(__xludf.DUMMYFUNCTION("SPLIT(B323,"" "")"),"Shivansh")</f>
        <v>Shivansh</v>
      </c>
      <c r="G323" s="3" t="str">
        <f>IFERROR(__xludf.DUMMYFUNCTION("""COMPUTED_VALUE"""),"Thakur")</f>
        <v>Thakur</v>
      </c>
      <c r="H323" s="3" t="s">
        <v>33</v>
      </c>
      <c r="I323" s="3">
        <v>2023.0</v>
      </c>
      <c r="J323" s="3">
        <f t="shared" si="2"/>
        <v>10000</v>
      </c>
      <c r="K323" s="3" t="s">
        <v>20</v>
      </c>
      <c r="L323" s="3">
        <v>0.0</v>
      </c>
      <c r="M323" s="3" t="s">
        <v>21</v>
      </c>
      <c r="N323" s="3">
        <v>64.0</v>
      </c>
      <c r="O323" s="3" t="s">
        <v>41</v>
      </c>
      <c r="P323" s="3" t="s">
        <v>38</v>
      </c>
      <c r="Q323" s="6">
        <f t="shared" si="3"/>
        <v>635000</v>
      </c>
    </row>
    <row r="324">
      <c r="A324" s="3">
        <v>64963.0</v>
      </c>
      <c r="B324" s="3" t="s">
        <v>334</v>
      </c>
      <c r="C324" s="3" t="s">
        <v>35</v>
      </c>
      <c r="D324" s="4" t="str">
        <f t="shared" si="1"/>
        <v>Ms.</v>
      </c>
      <c r="E324" s="3" t="str">
        <f t="shared" si="4"/>
        <v>Ms. Ira Rao</v>
      </c>
      <c r="F324" s="3" t="str">
        <f>IFERROR(__xludf.DUMMYFUNCTION("SPLIT(B324,"" "")"),"Ira")</f>
        <v>Ira</v>
      </c>
      <c r="G324" s="3" t="str">
        <f>IFERROR(__xludf.DUMMYFUNCTION("""COMPUTED_VALUE"""),"Rao")</f>
        <v>Rao</v>
      </c>
      <c r="H324" s="3" t="s">
        <v>25</v>
      </c>
      <c r="I324" s="3">
        <v>2021.0</v>
      </c>
      <c r="J324" s="3">
        <f t="shared" si="2"/>
        <v>10000</v>
      </c>
      <c r="K324" s="3" t="s">
        <v>20</v>
      </c>
      <c r="L324" s="3">
        <v>0.0</v>
      </c>
      <c r="M324" s="3" t="s">
        <v>21</v>
      </c>
      <c r="N324" s="3">
        <f t="shared" ref="N324:N325" si="22">RANDBETWEEN(0,10)</f>
        <v>0</v>
      </c>
      <c r="O324" s="3" t="s">
        <v>41</v>
      </c>
      <c r="P324" s="3" t="s">
        <v>31</v>
      </c>
      <c r="Q324" s="6">
        <f t="shared" si="3"/>
        <v>910000</v>
      </c>
    </row>
    <row r="325">
      <c r="A325" s="3">
        <v>64964.0</v>
      </c>
      <c r="B325" s="3" t="s">
        <v>335</v>
      </c>
      <c r="C325" s="3" t="s">
        <v>35</v>
      </c>
      <c r="D325" s="4" t="str">
        <f t="shared" si="1"/>
        <v>Ms.</v>
      </c>
      <c r="E325" s="3" t="str">
        <f t="shared" si="4"/>
        <v>Ms. Diya Mehta</v>
      </c>
      <c r="F325" s="3" t="str">
        <f>IFERROR(__xludf.DUMMYFUNCTION("SPLIT(B325,"" "")"),"Diya")</f>
        <v>Diya</v>
      </c>
      <c r="G325" s="3" t="str">
        <f>IFERROR(__xludf.DUMMYFUNCTION("""COMPUTED_VALUE"""),"Mehta")</f>
        <v>Mehta</v>
      </c>
      <c r="H325" s="3" t="s">
        <v>25</v>
      </c>
      <c r="I325" s="3">
        <v>2002.0</v>
      </c>
      <c r="J325" s="3">
        <f t="shared" si="2"/>
        <v>10000</v>
      </c>
      <c r="K325" s="3" t="s">
        <v>20</v>
      </c>
      <c r="L325" s="3">
        <v>0.0</v>
      </c>
      <c r="M325" s="3" t="s">
        <v>153</v>
      </c>
      <c r="N325" s="3">
        <f t="shared" si="22"/>
        <v>7</v>
      </c>
      <c r="O325" s="3" t="s">
        <v>41</v>
      </c>
      <c r="P325" s="3" t="s">
        <v>31</v>
      </c>
      <c r="Q325" s="6">
        <f t="shared" si="3"/>
        <v>910000</v>
      </c>
    </row>
    <row r="326">
      <c r="A326" s="3">
        <v>64965.0</v>
      </c>
      <c r="B326" s="3" t="s">
        <v>336</v>
      </c>
      <c r="C326" s="3" t="s">
        <v>18</v>
      </c>
      <c r="D326" s="4" t="str">
        <f t="shared" si="1"/>
        <v>Mr.</v>
      </c>
      <c r="E326" s="3" t="str">
        <f t="shared" si="4"/>
        <v>Mr. Shivansh Agarwal</v>
      </c>
      <c r="F326" s="3" t="str">
        <f>IFERROR(__xludf.DUMMYFUNCTION("SPLIT(B326,"" "")"),"Shivansh")</f>
        <v>Shivansh</v>
      </c>
      <c r="G326" s="3" t="str">
        <f>IFERROR(__xludf.DUMMYFUNCTION("""COMPUTED_VALUE"""),"Agarwal")</f>
        <v>Agarwal</v>
      </c>
      <c r="H326" s="3" t="s">
        <v>33</v>
      </c>
      <c r="I326" s="3">
        <v>2020.0</v>
      </c>
      <c r="J326" s="3">
        <f t="shared" si="2"/>
        <v>10000</v>
      </c>
      <c r="K326" s="3" t="s">
        <v>20</v>
      </c>
      <c r="L326" s="3">
        <v>151.0</v>
      </c>
      <c r="M326" s="3" t="s">
        <v>21</v>
      </c>
      <c r="N326" s="3">
        <v>21.0</v>
      </c>
      <c r="O326" s="3" t="s">
        <v>22</v>
      </c>
      <c r="P326" s="3" t="s">
        <v>31</v>
      </c>
      <c r="Q326" s="6">
        <f t="shared" si="3"/>
        <v>910000</v>
      </c>
    </row>
    <row r="327">
      <c r="A327" s="3">
        <v>64966.0</v>
      </c>
      <c r="B327" s="3" t="s">
        <v>337</v>
      </c>
      <c r="C327" s="3" t="s">
        <v>18</v>
      </c>
      <c r="D327" s="4" t="str">
        <f t="shared" si="1"/>
        <v>Mr.</v>
      </c>
      <c r="E327" s="3" t="str">
        <f t="shared" si="4"/>
        <v>Mr. Ayaan Bhat</v>
      </c>
      <c r="F327" s="3" t="str">
        <f>IFERROR(__xludf.DUMMYFUNCTION("SPLIT(B327,"" "")"),"Ayaan")</f>
        <v>Ayaan</v>
      </c>
      <c r="G327" s="3" t="str">
        <f>IFERROR(__xludf.DUMMYFUNCTION("""COMPUTED_VALUE"""),"Bhat")</f>
        <v>Bhat</v>
      </c>
      <c r="H327" s="3" t="s">
        <v>25</v>
      </c>
      <c r="I327" s="3">
        <v>2023.0</v>
      </c>
      <c r="J327" s="3">
        <f t="shared" si="2"/>
        <v>10000</v>
      </c>
      <c r="K327" s="3" t="s">
        <v>20</v>
      </c>
      <c r="L327" s="3">
        <v>270.0</v>
      </c>
      <c r="M327" s="3" t="s">
        <v>21</v>
      </c>
      <c r="N327" s="3">
        <v>20.0</v>
      </c>
      <c r="O327" s="3" t="s">
        <v>22</v>
      </c>
      <c r="P327" s="3" t="s">
        <v>78</v>
      </c>
      <c r="Q327" s="6">
        <f t="shared" si="3"/>
        <v>255000</v>
      </c>
    </row>
    <row r="328">
      <c r="A328" s="3">
        <v>64967.0</v>
      </c>
      <c r="B328" s="3" t="s">
        <v>305</v>
      </c>
      <c r="C328" s="3" t="s">
        <v>35</v>
      </c>
      <c r="D328" s="4" t="str">
        <f t="shared" si="1"/>
        <v>Ms.</v>
      </c>
      <c r="E328" s="3" t="str">
        <f t="shared" si="4"/>
        <v>Ms. Riddhi Rao</v>
      </c>
      <c r="F328" s="3" t="str">
        <f>IFERROR(__xludf.DUMMYFUNCTION("SPLIT(B328,"" "")"),"Riddhi")</f>
        <v>Riddhi</v>
      </c>
      <c r="G328" s="3" t="str">
        <f>IFERROR(__xludf.DUMMYFUNCTION("""COMPUTED_VALUE"""),"Rao")</f>
        <v>Rao</v>
      </c>
      <c r="H328" s="3" t="s">
        <v>19</v>
      </c>
      <c r="I328" s="3">
        <v>2024.0</v>
      </c>
      <c r="J328" s="3">
        <f t="shared" si="2"/>
        <v>5000</v>
      </c>
      <c r="K328" s="3" t="s">
        <v>20</v>
      </c>
      <c r="L328" s="3">
        <v>0.0</v>
      </c>
      <c r="M328" s="3" t="s">
        <v>21</v>
      </c>
      <c r="N328" s="3">
        <f>RANDBETWEEN(0,10)</f>
        <v>0</v>
      </c>
      <c r="O328" s="3" t="s">
        <v>41</v>
      </c>
      <c r="P328" s="3" t="s">
        <v>31</v>
      </c>
      <c r="Q328" s="6">
        <f t="shared" si="3"/>
        <v>910000</v>
      </c>
    </row>
    <row r="329">
      <c r="A329" s="3">
        <v>64968.0</v>
      </c>
      <c r="B329" s="3" t="s">
        <v>338</v>
      </c>
      <c r="C329" s="3" t="s">
        <v>35</v>
      </c>
      <c r="D329" s="4" t="str">
        <f t="shared" si="1"/>
        <v>Ms.</v>
      </c>
      <c r="E329" s="3" t="str">
        <f t="shared" si="4"/>
        <v>Ms. Diya Prasad</v>
      </c>
      <c r="F329" s="3" t="str">
        <f>IFERROR(__xludf.DUMMYFUNCTION("SPLIT(B329,"" "")"),"Diya")</f>
        <v>Diya</v>
      </c>
      <c r="G329" s="3" t="str">
        <f>IFERROR(__xludf.DUMMYFUNCTION("""COMPUTED_VALUE"""),"Prasad")</f>
        <v>Prasad</v>
      </c>
      <c r="H329" s="3" t="s">
        <v>19</v>
      </c>
      <c r="I329" s="3">
        <v>2009.0</v>
      </c>
      <c r="J329" s="3">
        <f t="shared" si="2"/>
        <v>5000</v>
      </c>
      <c r="K329" s="3" t="s">
        <v>20</v>
      </c>
      <c r="L329" s="3">
        <v>0.0</v>
      </c>
      <c r="M329" s="3" t="s">
        <v>21</v>
      </c>
      <c r="N329" s="3">
        <v>32.0</v>
      </c>
      <c r="O329" s="3" t="s">
        <v>41</v>
      </c>
      <c r="P329" s="3" t="s">
        <v>31</v>
      </c>
      <c r="Q329" s="6">
        <f t="shared" si="3"/>
        <v>910000</v>
      </c>
    </row>
    <row r="330">
      <c r="A330" s="3">
        <v>64970.0</v>
      </c>
      <c r="B330" s="3" t="s">
        <v>339</v>
      </c>
      <c r="C330" s="3" t="s">
        <v>35</v>
      </c>
      <c r="D330" s="4" t="str">
        <f t="shared" si="1"/>
        <v>Ms.</v>
      </c>
      <c r="E330" s="3" t="str">
        <f t="shared" si="4"/>
        <v>Ms. Anvi Dutta</v>
      </c>
      <c r="F330" s="3" t="str">
        <f>IFERROR(__xludf.DUMMYFUNCTION("SPLIT(B330,"" "")"),"Anvi")</f>
        <v>Anvi</v>
      </c>
      <c r="G330" s="3" t="str">
        <f>IFERROR(__xludf.DUMMYFUNCTION("""COMPUTED_VALUE"""),"Dutta")</f>
        <v>Dutta</v>
      </c>
      <c r="H330" s="3" t="s">
        <v>33</v>
      </c>
      <c r="I330" s="3">
        <v>2025.0</v>
      </c>
      <c r="J330" s="3">
        <f t="shared" si="2"/>
        <v>10000</v>
      </c>
      <c r="K330" s="3" t="s">
        <v>26</v>
      </c>
      <c r="L330" s="10">
        <v>1638.0</v>
      </c>
      <c r="M330" s="3" t="s">
        <v>21</v>
      </c>
      <c r="N330" s="3">
        <v>44.0</v>
      </c>
      <c r="O330" s="3" t="s">
        <v>22</v>
      </c>
      <c r="P330" s="3" t="s">
        <v>31</v>
      </c>
      <c r="Q330" s="6">
        <f t="shared" si="3"/>
        <v>910000</v>
      </c>
    </row>
    <row r="331">
      <c r="A331" s="3">
        <v>64971.0</v>
      </c>
      <c r="B331" s="3" t="s">
        <v>340</v>
      </c>
      <c r="C331" s="3" t="s">
        <v>18</v>
      </c>
      <c r="D331" s="4" t="str">
        <f t="shared" si="1"/>
        <v>Mr.</v>
      </c>
      <c r="E331" s="3" t="str">
        <f t="shared" si="4"/>
        <v>Mr. Dhanush Sinha</v>
      </c>
      <c r="F331" s="3" t="str">
        <f>IFERROR(__xludf.DUMMYFUNCTION("SPLIT(B331,"" "")"),"Dhanush")</f>
        <v>Dhanush</v>
      </c>
      <c r="G331" s="3" t="str">
        <f>IFERROR(__xludf.DUMMYFUNCTION("""COMPUTED_VALUE"""),"Sinha")</f>
        <v>Sinha</v>
      </c>
      <c r="H331" s="3" t="s">
        <v>19</v>
      </c>
      <c r="I331" s="3">
        <v>2024.0</v>
      </c>
      <c r="J331" s="3">
        <f t="shared" si="2"/>
        <v>5000</v>
      </c>
      <c r="K331" s="3" t="s">
        <v>26</v>
      </c>
      <c r="L331" s="10">
        <v>8338.0</v>
      </c>
      <c r="M331" s="3" t="s">
        <v>21</v>
      </c>
      <c r="N331" s="3">
        <f>RANDBETWEEN(0,10)</f>
        <v>1</v>
      </c>
      <c r="O331" s="3" t="s">
        <v>22</v>
      </c>
      <c r="P331" s="3" t="s">
        <v>31</v>
      </c>
      <c r="Q331" s="6">
        <f t="shared" si="3"/>
        <v>910000</v>
      </c>
    </row>
    <row r="332">
      <c r="A332" s="3">
        <v>64972.0</v>
      </c>
      <c r="B332" s="3" t="s">
        <v>341</v>
      </c>
      <c r="C332" s="3" t="s">
        <v>35</v>
      </c>
      <c r="D332" s="4" t="str">
        <f t="shared" si="1"/>
        <v>Ms.</v>
      </c>
      <c r="E332" s="3" t="str">
        <f t="shared" si="4"/>
        <v>Ms. Anaya Kumar</v>
      </c>
      <c r="F332" s="3" t="str">
        <f>IFERROR(__xludf.DUMMYFUNCTION("SPLIT(B332,"" "")"),"Anaya")</f>
        <v>Anaya</v>
      </c>
      <c r="G332" s="3" t="str">
        <f>IFERROR(__xludf.DUMMYFUNCTION("""COMPUTED_VALUE"""),"Kumar")</f>
        <v>Kumar</v>
      </c>
      <c r="H332" s="3" t="s">
        <v>46</v>
      </c>
      <c r="I332" s="3">
        <v>2021.0</v>
      </c>
      <c r="J332" s="3">
        <f t="shared" si="2"/>
        <v>5000</v>
      </c>
      <c r="K332" s="3" t="s">
        <v>26</v>
      </c>
      <c r="L332" s="3">
        <v>12522.0</v>
      </c>
      <c r="M332" s="3" t="s">
        <v>21</v>
      </c>
      <c r="N332" s="3">
        <v>36.0</v>
      </c>
      <c r="O332" s="3" t="s">
        <v>41</v>
      </c>
      <c r="P332" s="3" t="s">
        <v>31</v>
      </c>
      <c r="Q332" s="6">
        <f t="shared" si="3"/>
        <v>910000</v>
      </c>
    </row>
    <row r="333">
      <c r="A333" s="3">
        <v>64973.0</v>
      </c>
      <c r="B333" s="3" t="s">
        <v>342</v>
      </c>
      <c r="C333" s="3" t="s">
        <v>18</v>
      </c>
      <c r="D333" s="4" t="str">
        <f t="shared" si="1"/>
        <v>Mr.</v>
      </c>
      <c r="E333" s="3" t="str">
        <f t="shared" si="4"/>
        <v>Mr. Arnav Dutta</v>
      </c>
      <c r="F333" s="3" t="str">
        <f>IFERROR(__xludf.DUMMYFUNCTION("SPLIT(B333,"" "")"),"Arnav")</f>
        <v>Arnav</v>
      </c>
      <c r="G333" s="3" t="str">
        <f>IFERROR(__xludf.DUMMYFUNCTION("""COMPUTED_VALUE"""),"Dutta")</f>
        <v>Dutta</v>
      </c>
      <c r="H333" s="3" t="s">
        <v>19</v>
      </c>
      <c r="I333" s="3">
        <v>2024.0</v>
      </c>
      <c r="J333" s="3">
        <f t="shared" si="2"/>
        <v>5000</v>
      </c>
      <c r="K333" s="3" t="s">
        <v>20</v>
      </c>
      <c r="L333" s="3">
        <v>13.0</v>
      </c>
      <c r="M333" s="3" t="s">
        <v>21</v>
      </c>
      <c r="N333" s="3">
        <v>42.0</v>
      </c>
      <c r="O333" s="3" t="s">
        <v>22</v>
      </c>
      <c r="P333" s="3" t="s">
        <v>31</v>
      </c>
      <c r="Q333" s="6">
        <f t="shared" si="3"/>
        <v>910000</v>
      </c>
    </row>
    <row r="334">
      <c r="A334" s="3">
        <v>64974.0</v>
      </c>
      <c r="B334" s="3" t="s">
        <v>343</v>
      </c>
      <c r="C334" s="3" t="s">
        <v>18</v>
      </c>
      <c r="D334" s="4" t="str">
        <f t="shared" si="1"/>
        <v>Mr.</v>
      </c>
      <c r="E334" s="3" t="str">
        <f t="shared" si="4"/>
        <v>Mr. Kian Bhatt</v>
      </c>
      <c r="F334" s="3" t="str">
        <f>IFERROR(__xludf.DUMMYFUNCTION("SPLIT(B334,"" "")"),"Kian")</f>
        <v>Kian</v>
      </c>
      <c r="G334" s="3" t="str">
        <f>IFERROR(__xludf.DUMMYFUNCTION("""COMPUTED_VALUE"""),"Bhatt")</f>
        <v>Bhatt</v>
      </c>
      <c r="H334" s="3" t="s">
        <v>33</v>
      </c>
      <c r="I334" s="3">
        <v>2025.0</v>
      </c>
      <c r="J334" s="3">
        <f t="shared" si="2"/>
        <v>10000</v>
      </c>
      <c r="K334" s="3" t="s">
        <v>26</v>
      </c>
      <c r="L334" s="3">
        <v>9488.0</v>
      </c>
      <c r="M334" s="3" t="s">
        <v>21</v>
      </c>
      <c r="N334" s="3">
        <v>30.0</v>
      </c>
      <c r="O334" s="3" t="s">
        <v>41</v>
      </c>
      <c r="P334" s="3" t="s">
        <v>38</v>
      </c>
      <c r="Q334" s="6">
        <f t="shared" si="3"/>
        <v>635000</v>
      </c>
    </row>
    <row r="335">
      <c r="A335" s="3">
        <v>64975.0</v>
      </c>
      <c r="B335" s="3" t="s">
        <v>344</v>
      </c>
      <c r="C335" s="3" t="s">
        <v>35</v>
      </c>
      <c r="D335" s="4" t="str">
        <f t="shared" si="1"/>
        <v>Ms.</v>
      </c>
      <c r="E335" s="3" t="str">
        <f t="shared" si="4"/>
        <v>Ms. Gauri Desai</v>
      </c>
      <c r="F335" s="3" t="str">
        <f>IFERROR(__xludf.DUMMYFUNCTION("SPLIT(B335,"" "")"),"Gauri")</f>
        <v>Gauri</v>
      </c>
      <c r="G335" s="3" t="str">
        <f>IFERROR(__xludf.DUMMYFUNCTION("""COMPUTED_VALUE"""),"Desai")</f>
        <v>Desai</v>
      </c>
      <c r="H335" s="3" t="s">
        <v>33</v>
      </c>
      <c r="I335" s="3">
        <v>2020.0</v>
      </c>
      <c r="J335" s="3">
        <f t="shared" si="2"/>
        <v>10000</v>
      </c>
      <c r="K335" s="3" t="s">
        <v>20</v>
      </c>
      <c r="L335" s="10">
        <v>6110.0</v>
      </c>
      <c r="M335" s="3" t="s">
        <v>30</v>
      </c>
      <c r="N335" s="3">
        <f>RANDBETWEEN(0,10)</f>
        <v>9</v>
      </c>
      <c r="O335" s="3" t="s">
        <v>22</v>
      </c>
      <c r="P335" s="3" t="s">
        <v>23</v>
      </c>
      <c r="Q335" s="6">
        <f t="shared" si="3"/>
        <v>430000</v>
      </c>
    </row>
    <row r="336">
      <c r="A336" s="3">
        <v>64976.0</v>
      </c>
      <c r="B336" s="3" t="s">
        <v>345</v>
      </c>
      <c r="C336" s="3" t="s">
        <v>35</v>
      </c>
      <c r="D336" s="4" t="str">
        <f t="shared" si="1"/>
        <v>Ms.</v>
      </c>
      <c r="E336" s="3" t="str">
        <f t="shared" si="4"/>
        <v>Ms. Eva Iyer</v>
      </c>
      <c r="F336" s="3" t="str">
        <f>IFERROR(__xludf.DUMMYFUNCTION("SPLIT(B336,"" "")"),"Eva")</f>
        <v>Eva</v>
      </c>
      <c r="G336" s="3" t="str">
        <f>IFERROR(__xludf.DUMMYFUNCTION("""COMPUTED_VALUE"""),"Iyer")</f>
        <v>Iyer</v>
      </c>
      <c r="H336" s="3" t="s">
        <v>33</v>
      </c>
      <c r="I336" s="3">
        <v>2024.0</v>
      </c>
      <c r="J336" s="3">
        <f t="shared" si="2"/>
        <v>10000</v>
      </c>
      <c r="K336" s="3" t="s">
        <v>20</v>
      </c>
      <c r="L336" s="10">
        <v>4080.0</v>
      </c>
      <c r="M336" s="3" t="s">
        <v>30</v>
      </c>
      <c r="N336" s="3">
        <v>74.0</v>
      </c>
      <c r="O336" s="3" t="s">
        <v>22</v>
      </c>
      <c r="P336" s="3" t="s">
        <v>28</v>
      </c>
      <c r="Q336" s="6">
        <f t="shared" si="3"/>
        <v>400000</v>
      </c>
    </row>
    <row r="337">
      <c r="A337" s="3">
        <v>64977.0</v>
      </c>
      <c r="B337" s="3" t="s">
        <v>346</v>
      </c>
      <c r="C337" s="3" t="s">
        <v>35</v>
      </c>
      <c r="D337" s="4" t="str">
        <f t="shared" si="1"/>
        <v>Ms.</v>
      </c>
      <c r="E337" s="3" t="str">
        <f t="shared" si="4"/>
        <v>Ms. Aarohi Pillai</v>
      </c>
      <c r="F337" s="3" t="str">
        <f>IFERROR(__xludf.DUMMYFUNCTION("SPLIT(B337,"" "")"),"Aarohi")</f>
        <v>Aarohi</v>
      </c>
      <c r="G337" s="3" t="str">
        <f>IFERROR(__xludf.DUMMYFUNCTION("""COMPUTED_VALUE"""),"Pillai")</f>
        <v>Pillai</v>
      </c>
      <c r="H337" s="3" t="s">
        <v>33</v>
      </c>
      <c r="I337" s="3">
        <v>2016.0</v>
      </c>
      <c r="J337" s="3">
        <f t="shared" si="2"/>
        <v>10000</v>
      </c>
      <c r="K337" s="3" t="s">
        <v>20</v>
      </c>
      <c r="L337" s="3">
        <v>0.0</v>
      </c>
      <c r="M337" s="3" t="s">
        <v>30</v>
      </c>
      <c r="N337" s="3">
        <v>14.0</v>
      </c>
      <c r="O337" s="3" t="s">
        <v>41</v>
      </c>
      <c r="P337" s="3" t="s">
        <v>78</v>
      </c>
      <c r="Q337" s="6">
        <f t="shared" si="3"/>
        <v>255000</v>
      </c>
    </row>
    <row r="338">
      <c r="A338" s="3">
        <v>64978.0</v>
      </c>
      <c r="B338" s="3" t="s">
        <v>347</v>
      </c>
      <c r="C338" s="3" t="s">
        <v>18</v>
      </c>
      <c r="D338" s="4" t="str">
        <f t="shared" si="1"/>
        <v>Mr.</v>
      </c>
      <c r="E338" s="3" t="str">
        <f t="shared" si="4"/>
        <v>Mr. Om Rao</v>
      </c>
      <c r="F338" s="3" t="str">
        <f>IFERROR(__xludf.DUMMYFUNCTION("SPLIT(B338,"" "")"),"Om")</f>
        <v>Om</v>
      </c>
      <c r="G338" s="3" t="str">
        <f>IFERROR(__xludf.DUMMYFUNCTION("""COMPUTED_VALUE"""),"Rao")</f>
        <v>Rao</v>
      </c>
      <c r="H338" s="3" t="s">
        <v>33</v>
      </c>
      <c r="I338" s="3">
        <v>2012.0</v>
      </c>
      <c r="J338" s="3">
        <f t="shared" si="2"/>
        <v>10000</v>
      </c>
      <c r="K338" s="3" t="s">
        <v>20</v>
      </c>
      <c r="L338" s="3">
        <v>0.0</v>
      </c>
      <c r="M338" s="3" t="s">
        <v>21</v>
      </c>
      <c r="N338" s="3">
        <v>0.0</v>
      </c>
      <c r="O338" s="3" t="s">
        <v>41</v>
      </c>
      <c r="P338" s="3" t="s">
        <v>28</v>
      </c>
      <c r="Q338" s="6">
        <f t="shared" si="3"/>
        <v>400000</v>
      </c>
    </row>
    <row r="339">
      <c r="A339" s="3">
        <v>64979.0</v>
      </c>
      <c r="B339" s="3" t="s">
        <v>348</v>
      </c>
      <c r="C339" s="3" t="s">
        <v>18</v>
      </c>
      <c r="D339" s="4" t="str">
        <f t="shared" si="1"/>
        <v>Mr.</v>
      </c>
      <c r="E339" s="3" t="str">
        <f t="shared" si="4"/>
        <v>Mr. Aryan Dutta</v>
      </c>
      <c r="F339" s="3" t="str">
        <f>IFERROR(__xludf.DUMMYFUNCTION("SPLIT(B339,"" "")"),"Aryan")</f>
        <v>Aryan</v>
      </c>
      <c r="G339" s="3" t="str">
        <f>IFERROR(__xludf.DUMMYFUNCTION("""COMPUTED_VALUE"""),"Dutta")</f>
        <v>Dutta</v>
      </c>
      <c r="H339" s="3" t="s">
        <v>46</v>
      </c>
      <c r="I339" s="3">
        <v>2022.0</v>
      </c>
      <c r="J339" s="3">
        <f t="shared" si="2"/>
        <v>5000</v>
      </c>
      <c r="K339" s="3" t="s">
        <v>26</v>
      </c>
      <c r="L339" s="3">
        <v>21258.0</v>
      </c>
      <c r="M339" s="3" t="s">
        <v>21</v>
      </c>
      <c r="N339" s="3">
        <f>RANDBETWEEN(0,10)</f>
        <v>10</v>
      </c>
      <c r="O339" s="3" t="s">
        <v>41</v>
      </c>
      <c r="P339" s="3" t="s">
        <v>23</v>
      </c>
      <c r="Q339" s="6">
        <f t="shared" si="3"/>
        <v>430000</v>
      </c>
    </row>
    <row r="340">
      <c r="A340" s="3">
        <v>64980.0</v>
      </c>
      <c r="B340" s="3" t="s">
        <v>198</v>
      </c>
      <c r="C340" s="3" t="s">
        <v>18</v>
      </c>
      <c r="D340" s="4" t="str">
        <f t="shared" si="1"/>
        <v>Mr.</v>
      </c>
      <c r="E340" s="3" t="str">
        <f t="shared" si="4"/>
        <v>Mr. Raghav Gupta</v>
      </c>
      <c r="F340" s="3" t="str">
        <f>IFERROR(__xludf.DUMMYFUNCTION("SPLIT(B340,"" "")"),"Raghav")</f>
        <v>Raghav</v>
      </c>
      <c r="G340" s="3" t="str">
        <f>IFERROR(__xludf.DUMMYFUNCTION("""COMPUTED_VALUE"""),"Gupta")</f>
        <v>Gupta</v>
      </c>
      <c r="H340" s="3" t="s">
        <v>25</v>
      </c>
      <c r="I340" s="3">
        <v>2025.0</v>
      </c>
      <c r="J340" s="3">
        <f t="shared" si="2"/>
        <v>10000</v>
      </c>
      <c r="K340" s="3" t="s">
        <v>20</v>
      </c>
      <c r="L340" s="3">
        <v>0.0</v>
      </c>
      <c r="M340" s="3" t="s">
        <v>21</v>
      </c>
      <c r="N340" s="3">
        <v>35.0</v>
      </c>
      <c r="O340" s="3" t="s">
        <v>41</v>
      </c>
      <c r="P340" s="3" t="s">
        <v>31</v>
      </c>
      <c r="Q340" s="6">
        <f t="shared" si="3"/>
        <v>910000</v>
      </c>
    </row>
    <row r="341">
      <c r="A341" s="3">
        <v>64981.0</v>
      </c>
      <c r="B341" s="3" t="s">
        <v>349</v>
      </c>
      <c r="C341" s="3" t="s">
        <v>35</v>
      </c>
      <c r="D341" s="4" t="str">
        <f t="shared" si="1"/>
        <v>Ms.</v>
      </c>
      <c r="E341" s="3" t="str">
        <f t="shared" si="4"/>
        <v>Ms. Siya Malik</v>
      </c>
      <c r="F341" s="3" t="str">
        <f>IFERROR(__xludf.DUMMYFUNCTION("SPLIT(B341,"" "")"),"Siya")</f>
        <v>Siya</v>
      </c>
      <c r="G341" s="3" t="str">
        <f>IFERROR(__xludf.DUMMYFUNCTION("""COMPUTED_VALUE"""),"Malik")</f>
        <v>Malik</v>
      </c>
      <c r="H341" s="3" t="s">
        <v>46</v>
      </c>
      <c r="I341" s="3">
        <v>2023.0</v>
      </c>
      <c r="J341" s="3">
        <f t="shared" si="2"/>
        <v>5000</v>
      </c>
      <c r="K341" s="3" t="s">
        <v>20</v>
      </c>
      <c r="L341" s="3">
        <v>0.0</v>
      </c>
      <c r="M341" s="3" t="s">
        <v>21</v>
      </c>
      <c r="N341" s="3">
        <v>68.0</v>
      </c>
      <c r="O341" s="3" t="s">
        <v>41</v>
      </c>
      <c r="P341" s="3" t="s">
        <v>23</v>
      </c>
      <c r="Q341" s="6">
        <f t="shared" si="3"/>
        <v>430000</v>
      </c>
    </row>
    <row r="342">
      <c r="A342" s="3">
        <v>64982.0</v>
      </c>
      <c r="B342" s="3" t="s">
        <v>350</v>
      </c>
      <c r="C342" s="3" t="s">
        <v>18</v>
      </c>
      <c r="D342" s="4" t="str">
        <f t="shared" si="1"/>
        <v>Mr.</v>
      </c>
      <c r="E342" s="3" t="str">
        <f t="shared" si="4"/>
        <v>Mr. Kian Kumar</v>
      </c>
      <c r="F342" s="3" t="str">
        <f>IFERROR(__xludf.DUMMYFUNCTION("SPLIT(B342,"" "")"),"Kian")</f>
        <v>Kian</v>
      </c>
      <c r="G342" s="3" t="str">
        <f>IFERROR(__xludf.DUMMYFUNCTION("""COMPUTED_VALUE"""),"Kumar")</f>
        <v>Kumar</v>
      </c>
      <c r="H342" s="3" t="s">
        <v>19</v>
      </c>
      <c r="I342" s="3">
        <v>2027.0</v>
      </c>
      <c r="J342" s="3">
        <f t="shared" si="2"/>
        <v>5000</v>
      </c>
      <c r="K342" s="3" t="s">
        <v>20</v>
      </c>
      <c r="L342" s="3">
        <v>0.0</v>
      </c>
      <c r="M342" s="3" t="s">
        <v>21</v>
      </c>
      <c r="N342" s="3">
        <v>37.0</v>
      </c>
      <c r="O342" s="3" t="s">
        <v>41</v>
      </c>
      <c r="P342" s="3" t="s">
        <v>31</v>
      </c>
      <c r="Q342" s="6">
        <f t="shared" si="3"/>
        <v>910000</v>
      </c>
    </row>
    <row r="343">
      <c r="A343" s="3">
        <v>64983.0</v>
      </c>
      <c r="B343" s="3" t="s">
        <v>351</v>
      </c>
      <c r="C343" s="3" t="s">
        <v>18</v>
      </c>
      <c r="D343" s="4" t="str">
        <f t="shared" si="1"/>
        <v>Mr.</v>
      </c>
      <c r="E343" s="3" t="str">
        <f t="shared" si="4"/>
        <v>Mr. Reyansh Gupta</v>
      </c>
      <c r="F343" s="3" t="str">
        <f>IFERROR(__xludf.DUMMYFUNCTION("SPLIT(B343,"" "")"),"Reyansh")</f>
        <v>Reyansh</v>
      </c>
      <c r="G343" s="3" t="str">
        <f>IFERROR(__xludf.DUMMYFUNCTION("""COMPUTED_VALUE"""),"Gupta")</f>
        <v>Gupta</v>
      </c>
      <c r="H343" s="3" t="s">
        <v>25</v>
      </c>
      <c r="I343" s="3">
        <v>2020.0</v>
      </c>
      <c r="J343" s="3">
        <f t="shared" si="2"/>
        <v>10000</v>
      </c>
      <c r="K343" s="3" t="s">
        <v>20</v>
      </c>
      <c r="L343" s="3">
        <v>0.0</v>
      </c>
      <c r="M343" s="3" t="s">
        <v>21</v>
      </c>
      <c r="N343" s="3">
        <v>30.0</v>
      </c>
      <c r="O343" s="3" t="s">
        <v>41</v>
      </c>
      <c r="P343" s="3" t="s">
        <v>78</v>
      </c>
      <c r="Q343" s="6">
        <f t="shared" si="3"/>
        <v>255000</v>
      </c>
    </row>
    <row r="344">
      <c r="A344" s="3">
        <v>64984.0</v>
      </c>
      <c r="B344" s="3" t="s">
        <v>352</v>
      </c>
      <c r="C344" s="3" t="s">
        <v>35</v>
      </c>
      <c r="D344" s="4" t="str">
        <f t="shared" si="1"/>
        <v>Ms.</v>
      </c>
      <c r="E344" s="3" t="str">
        <f t="shared" si="4"/>
        <v>Ms. Kyra Patel</v>
      </c>
      <c r="F344" s="3" t="str">
        <f>IFERROR(__xludf.DUMMYFUNCTION("SPLIT(B344,"" "")"),"Kyra")</f>
        <v>Kyra</v>
      </c>
      <c r="G344" s="3" t="str">
        <f>IFERROR(__xludf.DUMMYFUNCTION("""COMPUTED_VALUE"""),"Patel")</f>
        <v>Patel</v>
      </c>
      <c r="H344" s="3" t="s">
        <v>25</v>
      </c>
      <c r="I344" s="3">
        <v>2025.0</v>
      </c>
      <c r="J344" s="3">
        <f t="shared" si="2"/>
        <v>10000</v>
      </c>
      <c r="K344" s="3" t="s">
        <v>26</v>
      </c>
      <c r="L344" s="10">
        <v>14099.0</v>
      </c>
      <c r="M344" s="3" t="s">
        <v>30</v>
      </c>
      <c r="N344" s="3">
        <v>7.0</v>
      </c>
      <c r="O344" s="3" t="s">
        <v>22</v>
      </c>
      <c r="P344" s="3" t="s">
        <v>38</v>
      </c>
      <c r="Q344" s="6">
        <f t="shared" si="3"/>
        <v>635000</v>
      </c>
    </row>
    <row r="345">
      <c r="A345" s="3">
        <v>64985.0</v>
      </c>
      <c r="B345" s="3" t="s">
        <v>340</v>
      </c>
      <c r="C345" s="3" t="s">
        <v>18</v>
      </c>
      <c r="D345" s="4" t="str">
        <f t="shared" si="1"/>
        <v>Mr.</v>
      </c>
      <c r="E345" s="3" t="str">
        <f t="shared" si="4"/>
        <v>Mr. Dhanush Sinha</v>
      </c>
      <c r="F345" s="3" t="str">
        <f>IFERROR(__xludf.DUMMYFUNCTION("SPLIT(B345,"" "")"),"Dhanush")</f>
        <v>Dhanush</v>
      </c>
      <c r="G345" s="3" t="str">
        <f>IFERROR(__xludf.DUMMYFUNCTION("""COMPUTED_VALUE"""),"Sinha")</f>
        <v>Sinha</v>
      </c>
      <c r="H345" s="3" t="s">
        <v>25</v>
      </c>
      <c r="I345" s="3">
        <v>2022.0</v>
      </c>
      <c r="J345" s="3">
        <f t="shared" si="2"/>
        <v>10000</v>
      </c>
      <c r="K345" s="3" t="s">
        <v>20</v>
      </c>
      <c r="L345" s="3">
        <v>545.0</v>
      </c>
      <c r="M345" s="3" t="s">
        <v>30</v>
      </c>
      <c r="N345" s="3">
        <v>5.0</v>
      </c>
      <c r="O345" s="3" t="s">
        <v>22</v>
      </c>
      <c r="P345" s="3" t="s">
        <v>28</v>
      </c>
      <c r="Q345" s="6">
        <f t="shared" si="3"/>
        <v>400000</v>
      </c>
    </row>
    <row r="346">
      <c r="A346" s="3">
        <v>64986.0</v>
      </c>
      <c r="B346" s="3" t="s">
        <v>353</v>
      </c>
      <c r="C346" s="3" t="s">
        <v>18</v>
      </c>
      <c r="D346" s="4" t="str">
        <f t="shared" si="1"/>
        <v>Mr.</v>
      </c>
      <c r="E346" s="3" t="str">
        <f t="shared" si="4"/>
        <v>Mr. Dhanush Gupta</v>
      </c>
      <c r="F346" s="3" t="str">
        <f>IFERROR(__xludf.DUMMYFUNCTION("SPLIT(B346,"" "")"),"Dhanush")</f>
        <v>Dhanush</v>
      </c>
      <c r="G346" s="3" t="str">
        <f>IFERROR(__xludf.DUMMYFUNCTION("""COMPUTED_VALUE"""),"Gupta")</f>
        <v>Gupta</v>
      </c>
      <c r="H346" s="3" t="s">
        <v>25</v>
      </c>
      <c r="I346" s="3">
        <v>2025.0</v>
      </c>
      <c r="J346" s="3">
        <f t="shared" si="2"/>
        <v>10000</v>
      </c>
      <c r="K346" s="3" t="s">
        <v>20</v>
      </c>
      <c r="L346" s="3">
        <v>19.0</v>
      </c>
      <c r="M346" s="3" t="s">
        <v>21</v>
      </c>
      <c r="N346" s="3">
        <v>32.0</v>
      </c>
      <c r="O346" s="3" t="s">
        <v>41</v>
      </c>
      <c r="P346" s="3" t="s">
        <v>31</v>
      </c>
      <c r="Q346" s="6">
        <f t="shared" si="3"/>
        <v>910000</v>
      </c>
    </row>
    <row r="347">
      <c r="A347" s="3">
        <v>64987.0</v>
      </c>
      <c r="B347" s="3" t="s">
        <v>90</v>
      </c>
      <c r="C347" s="3" t="s">
        <v>35</v>
      </c>
      <c r="D347" s="4" t="str">
        <f t="shared" si="1"/>
        <v>Ms.</v>
      </c>
      <c r="E347" s="3" t="str">
        <f t="shared" si="4"/>
        <v>Ms. Mahira Gupta</v>
      </c>
      <c r="F347" s="3" t="str">
        <f>IFERROR(__xludf.DUMMYFUNCTION("SPLIT(B347,"" "")"),"Mahira")</f>
        <v>Mahira</v>
      </c>
      <c r="G347" s="3" t="str">
        <f>IFERROR(__xludf.DUMMYFUNCTION("""COMPUTED_VALUE"""),"Gupta")</f>
        <v>Gupta</v>
      </c>
      <c r="H347" s="3" t="s">
        <v>46</v>
      </c>
      <c r="I347" s="3">
        <v>2020.0</v>
      </c>
      <c r="J347" s="3">
        <f t="shared" si="2"/>
        <v>5000</v>
      </c>
      <c r="K347" s="3" t="s">
        <v>26</v>
      </c>
      <c r="L347" s="3">
        <v>4449.0</v>
      </c>
      <c r="M347" s="3" t="s">
        <v>30</v>
      </c>
      <c r="N347" s="3">
        <v>57.0</v>
      </c>
      <c r="O347" s="3" t="s">
        <v>22</v>
      </c>
      <c r="P347" s="3" t="s">
        <v>38</v>
      </c>
      <c r="Q347" s="6">
        <f t="shared" si="3"/>
        <v>635000</v>
      </c>
    </row>
    <row r="348">
      <c r="A348" s="3">
        <v>64988.0</v>
      </c>
      <c r="B348" s="3" t="s">
        <v>354</v>
      </c>
      <c r="C348" s="3" t="s">
        <v>35</v>
      </c>
      <c r="D348" s="4" t="str">
        <f t="shared" si="1"/>
        <v>Ms.</v>
      </c>
      <c r="E348" s="3" t="str">
        <f t="shared" si="4"/>
        <v>Ms. Mishka Sharma</v>
      </c>
      <c r="F348" s="3" t="str">
        <f>IFERROR(__xludf.DUMMYFUNCTION("SPLIT(B348,"" "")"),"Mishka")</f>
        <v>Mishka</v>
      </c>
      <c r="G348" s="3" t="str">
        <f>IFERROR(__xludf.DUMMYFUNCTION("""COMPUTED_VALUE"""),"Sharma")</f>
        <v>Sharma</v>
      </c>
      <c r="H348" s="3" t="s">
        <v>46</v>
      </c>
      <c r="I348" s="3">
        <v>2025.0</v>
      </c>
      <c r="J348" s="3">
        <f t="shared" si="2"/>
        <v>5000</v>
      </c>
      <c r="K348" s="3" t="s">
        <v>20</v>
      </c>
      <c r="L348" s="3">
        <v>0.0</v>
      </c>
      <c r="M348" s="3" t="s">
        <v>21</v>
      </c>
      <c r="N348" s="3">
        <v>68.0</v>
      </c>
      <c r="O348" s="3" t="s">
        <v>41</v>
      </c>
      <c r="P348" s="3" t="s">
        <v>23</v>
      </c>
      <c r="Q348" s="6">
        <f t="shared" si="3"/>
        <v>430000</v>
      </c>
    </row>
    <row r="349">
      <c r="A349" s="3">
        <v>64990.0</v>
      </c>
      <c r="B349" s="3" t="s">
        <v>355</v>
      </c>
      <c r="C349" s="3" t="s">
        <v>18</v>
      </c>
      <c r="D349" s="4" t="str">
        <f t="shared" si="1"/>
        <v>Mr.</v>
      </c>
      <c r="E349" s="3" t="str">
        <f t="shared" si="4"/>
        <v>Mr. Vivaan Agarwal</v>
      </c>
      <c r="F349" s="3" t="str">
        <f>IFERROR(__xludf.DUMMYFUNCTION("SPLIT(B349,"" "")"),"Vivaan")</f>
        <v>Vivaan</v>
      </c>
      <c r="G349" s="3" t="str">
        <f>IFERROR(__xludf.DUMMYFUNCTION("""COMPUTED_VALUE"""),"Agarwal")</f>
        <v>Agarwal</v>
      </c>
      <c r="H349" s="3" t="s">
        <v>19</v>
      </c>
      <c r="I349" s="3">
        <v>2027.0</v>
      </c>
      <c r="J349" s="3">
        <f t="shared" si="2"/>
        <v>5000</v>
      </c>
      <c r="K349" s="3" t="s">
        <v>20</v>
      </c>
      <c r="L349" s="3">
        <v>355.0</v>
      </c>
      <c r="M349" s="3" t="s">
        <v>21</v>
      </c>
      <c r="N349" s="3">
        <v>78.0</v>
      </c>
      <c r="O349" s="3" t="s">
        <v>41</v>
      </c>
      <c r="P349" s="3" t="s">
        <v>31</v>
      </c>
      <c r="Q349" s="6">
        <f t="shared" si="3"/>
        <v>910000</v>
      </c>
    </row>
    <row r="350">
      <c r="A350" s="3">
        <v>64991.0</v>
      </c>
      <c r="B350" s="3" t="s">
        <v>356</v>
      </c>
      <c r="C350" s="3" t="s">
        <v>18</v>
      </c>
      <c r="D350" s="4" t="str">
        <f t="shared" si="1"/>
        <v>Mr.</v>
      </c>
      <c r="E350" s="3" t="str">
        <f t="shared" si="4"/>
        <v>Mr. Ayaan Verma</v>
      </c>
      <c r="F350" s="3" t="str">
        <f>IFERROR(__xludf.DUMMYFUNCTION("SPLIT(B350,"" "")"),"Ayaan")</f>
        <v>Ayaan</v>
      </c>
      <c r="G350" s="3" t="str">
        <f>IFERROR(__xludf.DUMMYFUNCTION("""COMPUTED_VALUE"""),"Verma")</f>
        <v>Verma</v>
      </c>
      <c r="H350" s="3" t="s">
        <v>25</v>
      </c>
      <c r="I350" s="3">
        <v>2023.0</v>
      </c>
      <c r="J350" s="3">
        <f t="shared" si="2"/>
        <v>10000</v>
      </c>
      <c r="K350" s="3" t="s">
        <v>26</v>
      </c>
      <c r="L350" s="3">
        <v>20522.0</v>
      </c>
      <c r="M350" s="3" t="s">
        <v>21</v>
      </c>
      <c r="N350" s="3">
        <v>19.0</v>
      </c>
      <c r="O350" s="3" t="s">
        <v>22</v>
      </c>
      <c r="P350" s="3" t="s">
        <v>31</v>
      </c>
      <c r="Q350" s="6">
        <f t="shared" si="3"/>
        <v>910000</v>
      </c>
    </row>
    <row r="351">
      <c r="A351" s="3">
        <v>64992.0</v>
      </c>
      <c r="B351" s="3" t="s">
        <v>357</v>
      </c>
      <c r="C351" s="3" t="s">
        <v>18</v>
      </c>
      <c r="D351" s="4" t="str">
        <f t="shared" si="1"/>
        <v>Mr.</v>
      </c>
      <c r="E351" s="3" t="str">
        <f t="shared" si="4"/>
        <v>Mr. Kian Dutta</v>
      </c>
      <c r="F351" s="3" t="str">
        <f>IFERROR(__xludf.DUMMYFUNCTION("SPLIT(B351,"" "")"),"Kian")</f>
        <v>Kian</v>
      </c>
      <c r="G351" s="3" t="str">
        <f>IFERROR(__xludf.DUMMYFUNCTION("""COMPUTED_VALUE"""),"Dutta")</f>
        <v>Dutta</v>
      </c>
      <c r="H351" s="3" t="s">
        <v>25</v>
      </c>
      <c r="I351" s="3">
        <v>2022.0</v>
      </c>
      <c r="J351" s="3">
        <f t="shared" si="2"/>
        <v>10000</v>
      </c>
      <c r="K351" s="3" t="s">
        <v>26</v>
      </c>
      <c r="L351" s="3">
        <v>22485.0</v>
      </c>
      <c r="M351" s="3" t="s">
        <v>21</v>
      </c>
      <c r="N351" s="3">
        <v>40.0</v>
      </c>
      <c r="O351" s="3" t="s">
        <v>22</v>
      </c>
      <c r="P351" s="3" t="s">
        <v>31</v>
      </c>
      <c r="Q351" s="6">
        <f t="shared" si="3"/>
        <v>910000</v>
      </c>
    </row>
    <row r="352">
      <c r="A352" s="3">
        <v>64993.0</v>
      </c>
      <c r="B352" s="3" t="s">
        <v>358</v>
      </c>
      <c r="C352" s="3" t="s">
        <v>35</v>
      </c>
      <c r="D352" s="4" t="str">
        <f t="shared" si="1"/>
        <v>Ms.</v>
      </c>
      <c r="E352" s="3" t="str">
        <f t="shared" si="4"/>
        <v>Ms. Shanaya Jain</v>
      </c>
      <c r="F352" s="3" t="str">
        <f>IFERROR(__xludf.DUMMYFUNCTION("SPLIT(B352,"" "")"),"Shanaya")</f>
        <v>Shanaya</v>
      </c>
      <c r="G352" s="3" t="str">
        <f>IFERROR(__xludf.DUMMYFUNCTION("""COMPUTED_VALUE"""),"Jain")</f>
        <v>Jain</v>
      </c>
      <c r="H352" s="3" t="s">
        <v>33</v>
      </c>
      <c r="I352" s="3">
        <v>2026.0</v>
      </c>
      <c r="J352" s="3">
        <f t="shared" si="2"/>
        <v>10000</v>
      </c>
      <c r="K352" s="3" t="s">
        <v>20</v>
      </c>
      <c r="L352" s="3">
        <v>0.0</v>
      </c>
      <c r="M352" s="3" t="s">
        <v>21</v>
      </c>
      <c r="N352" s="3">
        <f>RANDBETWEEN(0,10)</f>
        <v>9</v>
      </c>
      <c r="O352" s="3" t="s">
        <v>41</v>
      </c>
      <c r="P352" s="3" t="s">
        <v>28</v>
      </c>
      <c r="Q352" s="6">
        <f t="shared" si="3"/>
        <v>400000</v>
      </c>
    </row>
    <row r="353">
      <c r="A353" s="3">
        <v>64995.0</v>
      </c>
      <c r="B353" s="3" t="s">
        <v>359</v>
      </c>
      <c r="C353" s="3" t="s">
        <v>18</v>
      </c>
      <c r="D353" s="4" t="str">
        <f t="shared" si="1"/>
        <v>Mr.</v>
      </c>
      <c r="E353" s="3" t="str">
        <f t="shared" si="4"/>
        <v>Mr. Dev Reddy</v>
      </c>
      <c r="F353" s="3" t="str">
        <f>IFERROR(__xludf.DUMMYFUNCTION("SPLIT(B353,"" "")"),"Dev")</f>
        <v>Dev</v>
      </c>
      <c r="G353" s="3" t="str">
        <f>IFERROR(__xludf.DUMMYFUNCTION("""COMPUTED_VALUE"""),"Reddy")</f>
        <v>Reddy</v>
      </c>
      <c r="H353" s="3" t="s">
        <v>25</v>
      </c>
      <c r="I353" s="3">
        <v>2020.0</v>
      </c>
      <c r="J353" s="3">
        <f t="shared" si="2"/>
        <v>10000</v>
      </c>
      <c r="K353" s="3" t="s">
        <v>20</v>
      </c>
      <c r="L353" s="3">
        <v>0.0</v>
      </c>
      <c r="M353" s="3" t="s">
        <v>21</v>
      </c>
      <c r="N353" s="3">
        <v>47.0</v>
      </c>
      <c r="O353" s="3" t="s">
        <v>22</v>
      </c>
      <c r="P353" s="3" t="s">
        <v>31</v>
      </c>
      <c r="Q353" s="6">
        <f t="shared" si="3"/>
        <v>910000</v>
      </c>
    </row>
    <row r="354">
      <c r="A354" s="3">
        <v>64997.0</v>
      </c>
      <c r="B354" s="3" t="s">
        <v>360</v>
      </c>
      <c r="C354" s="3" t="s">
        <v>35</v>
      </c>
      <c r="D354" s="4" t="str">
        <f t="shared" si="1"/>
        <v>Ms.</v>
      </c>
      <c r="E354" s="3" t="str">
        <f t="shared" si="4"/>
        <v>Ms. Sara Chopra</v>
      </c>
      <c r="F354" s="3" t="str">
        <f>IFERROR(__xludf.DUMMYFUNCTION("SPLIT(B354,"" "")"),"Sara")</f>
        <v>Sara</v>
      </c>
      <c r="G354" s="3" t="str">
        <f>IFERROR(__xludf.DUMMYFUNCTION("""COMPUTED_VALUE"""),"Chopra")</f>
        <v>Chopra</v>
      </c>
      <c r="H354" s="3" t="s">
        <v>46</v>
      </c>
      <c r="I354" s="3">
        <v>2025.0</v>
      </c>
      <c r="J354" s="3">
        <f t="shared" si="2"/>
        <v>5000</v>
      </c>
      <c r="K354" s="3" t="s">
        <v>20</v>
      </c>
      <c r="L354" s="3">
        <v>0.0</v>
      </c>
      <c r="M354" s="3" t="s">
        <v>30</v>
      </c>
      <c r="N354" s="3">
        <v>14.0</v>
      </c>
      <c r="O354" s="3" t="s">
        <v>41</v>
      </c>
      <c r="P354" s="3" t="s">
        <v>38</v>
      </c>
      <c r="Q354" s="6">
        <f t="shared" si="3"/>
        <v>635000</v>
      </c>
    </row>
    <row r="355">
      <c r="A355" s="3">
        <v>64998.0</v>
      </c>
      <c r="B355" s="3" t="s">
        <v>361</v>
      </c>
      <c r="C355" s="3" t="s">
        <v>35</v>
      </c>
      <c r="D355" s="4" t="str">
        <f t="shared" si="1"/>
        <v>Ms.</v>
      </c>
      <c r="E355" s="3" t="str">
        <f t="shared" si="4"/>
        <v>Ms. Mishka Nair</v>
      </c>
      <c r="F355" s="3" t="str">
        <f>IFERROR(__xludf.DUMMYFUNCTION("SPLIT(B355,"" "")"),"Mishka")</f>
        <v>Mishka</v>
      </c>
      <c r="G355" s="3" t="str">
        <f>IFERROR(__xludf.DUMMYFUNCTION("""COMPUTED_VALUE"""),"Nair")</f>
        <v>Nair</v>
      </c>
      <c r="H355" s="3" t="s">
        <v>33</v>
      </c>
      <c r="I355" s="3">
        <v>2026.0</v>
      </c>
      <c r="J355" s="3">
        <f t="shared" si="2"/>
        <v>10000</v>
      </c>
      <c r="K355" s="3" t="s">
        <v>20</v>
      </c>
      <c r="L355" s="3">
        <v>0.0</v>
      </c>
      <c r="M355" s="3" t="s">
        <v>21</v>
      </c>
      <c r="N355" s="3">
        <v>49.0</v>
      </c>
      <c r="O355" s="3" t="s">
        <v>41</v>
      </c>
      <c r="P355" s="3" t="s">
        <v>31</v>
      </c>
      <c r="Q355" s="6">
        <f t="shared" si="3"/>
        <v>910000</v>
      </c>
    </row>
    <row r="356">
      <c r="A356" s="3">
        <v>64999.0</v>
      </c>
      <c r="B356" s="3" t="s">
        <v>362</v>
      </c>
      <c r="C356" s="3" t="s">
        <v>35</v>
      </c>
      <c r="D356" s="4" t="str">
        <f t="shared" si="1"/>
        <v>Ms.</v>
      </c>
      <c r="E356" s="3" t="str">
        <f t="shared" si="4"/>
        <v>Ms. Aadhya Verma</v>
      </c>
      <c r="F356" s="3" t="str">
        <f>IFERROR(__xludf.DUMMYFUNCTION("SPLIT(B356,"" "")"),"Aadhya")</f>
        <v>Aadhya</v>
      </c>
      <c r="G356" s="3" t="str">
        <f>IFERROR(__xludf.DUMMYFUNCTION("""COMPUTED_VALUE"""),"Verma")</f>
        <v>Verma</v>
      </c>
      <c r="H356" s="3" t="s">
        <v>46</v>
      </c>
      <c r="I356" s="3">
        <v>2025.0</v>
      </c>
      <c r="J356" s="3">
        <f t="shared" si="2"/>
        <v>5000</v>
      </c>
      <c r="K356" s="3" t="s">
        <v>20</v>
      </c>
      <c r="L356" s="3">
        <v>0.0</v>
      </c>
      <c r="M356" s="3" t="s">
        <v>21</v>
      </c>
      <c r="N356" s="3">
        <v>22.0</v>
      </c>
      <c r="O356" s="3" t="s">
        <v>41</v>
      </c>
      <c r="P356" s="3" t="s">
        <v>38</v>
      </c>
      <c r="Q356" s="6">
        <f t="shared" si="3"/>
        <v>635000</v>
      </c>
    </row>
    <row r="357">
      <c r="A357" s="3">
        <v>65000.0</v>
      </c>
      <c r="B357" s="3" t="s">
        <v>363</v>
      </c>
      <c r="C357" s="3" t="s">
        <v>35</v>
      </c>
      <c r="D357" s="4" t="str">
        <f t="shared" si="1"/>
        <v>Ms.</v>
      </c>
      <c r="E357" s="3" t="str">
        <f t="shared" si="4"/>
        <v>Ms. Siya Chopra</v>
      </c>
      <c r="F357" s="3" t="str">
        <f>IFERROR(__xludf.DUMMYFUNCTION("SPLIT(B357,"" "")"),"Siya")</f>
        <v>Siya</v>
      </c>
      <c r="G357" s="3" t="str">
        <f>IFERROR(__xludf.DUMMYFUNCTION("""COMPUTED_VALUE"""),"Chopra")</f>
        <v>Chopra</v>
      </c>
      <c r="H357" s="3" t="s">
        <v>25</v>
      </c>
      <c r="I357" s="3">
        <v>2025.0</v>
      </c>
      <c r="J357" s="3">
        <f t="shared" si="2"/>
        <v>10000</v>
      </c>
      <c r="K357" s="3" t="s">
        <v>37</v>
      </c>
      <c r="L357" s="3">
        <v>0.0</v>
      </c>
      <c r="M357" s="3" t="s">
        <v>21</v>
      </c>
      <c r="N357" s="3">
        <v>37.0</v>
      </c>
      <c r="O357" s="3" t="s">
        <v>41</v>
      </c>
      <c r="P357" s="3" t="s">
        <v>78</v>
      </c>
      <c r="Q357" s="6">
        <f t="shared" si="3"/>
        <v>255000</v>
      </c>
    </row>
    <row r="358">
      <c r="A358" s="3">
        <v>65001.0</v>
      </c>
      <c r="B358" s="3" t="s">
        <v>364</v>
      </c>
      <c r="C358" s="3" t="s">
        <v>35</v>
      </c>
      <c r="D358" s="4" t="str">
        <f t="shared" si="1"/>
        <v>Ms.</v>
      </c>
      <c r="E358" s="3" t="str">
        <f t="shared" si="4"/>
        <v>Ms. Vanya Jain</v>
      </c>
      <c r="F358" s="3" t="str">
        <f>IFERROR(__xludf.DUMMYFUNCTION("SPLIT(B358,"" "")"),"Vanya")</f>
        <v>Vanya</v>
      </c>
      <c r="G358" s="3" t="str">
        <f>IFERROR(__xludf.DUMMYFUNCTION("""COMPUTED_VALUE"""),"Jain")</f>
        <v>Jain</v>
      </c>
      <c r="H358" s="3" t="s">
        <v>33</v>
      </c>
      <c r="I358" s="3">
        <v>2020.0</v>
      </c>
      <c r="J358" s="3">
        <f t="shared" si="2"/>
        <v>10000</v>
      </c>
      <c r="K358" s="3" t="s">
        <v>26</v>
      </c>
      <c r="L358" s="3">
        <v>6305.0</v>
      </c>
      <c r="M358" s="3" t="s">
        <v>21</v>
      </c>
      <c r="N358" s="3">
        <v>79.0</v>
      </c>
      <c r="O358" s="3" t="s">
        <v>41</v>
      </c>
      <c r="P358" s="3" t="s">
        <v>38</v>
      </c>
      <c r="Q358" s="6">
        <f t="shared" si="3"/>
        <v>635000</v>
      </c>
    </row>
    <row r="359">
      <c r="A359" s="3">
        <v>65002.0</v>
      </c>
      <c r="B359" s="3" t="s">
        <v>365</v>
      </c>
      <c r="C359" s="3" t="s">
        <v>35</v>
      </c>
      <c r="D359" s="4" t="str">
        <f t="shared" si="1"/>
        <v>Ms.</v>
      </c>
      <c r="E359" s="3" t="str">
        <f t="shared" si="4"/>
        <v>Ms. Vanya Rao</v>
      </c>
      <c r="F359" s="3" t="str">
        <f>IFERROR(__xludf.DUMMYFUNCTION("SPLIT(B359,"" "")"),"Vanya")</f>
        <v>Vanya</v>
      </c>
      <c r="G359" s="3" t="str">
        <f>IFERROR(__xludf.DUMMYFUNCTION("""COMPUTED_VALUE"""),"Rao")</f>
        <v>Rao</v>
      </c>
      <c r="H359" s="3" t="s">
        <v>33</v>
      </c>
      <c r="I359" s="3">
        <v>2028.0</v>
      </c>
      <c r="J359" s="3">
        <f t="shared" si="2"/>
        <v>10000</v>
      </c>
      <c r="K359" s="3" t="s">
        <v>26</v>
      </c>
      <c r="L359" s="3">
        <v>8191.0</v>
      </c>
      <c r="M359" s="3" t="s">
        <v>21</v>
      </c>
      <c r="N359" s="3">
        <v>68.0</v>
      </c>
      <c r="O359" s="3" t="s">
        <v>41</v>
      </c>
      <c r="P359" s="3" t="s">
        <v>28</v>
      </c>
      <c r="Q359" s="6">
        <f t="shared" si="3"/>
        <v>400000</v>
      </c>
    </row>
    <row r="360">
      <c r="A360" s="3">
        <v>65003.0</v>
      </c>
      <c r="B360" s="3" t="s">
        <v>366</v>
      </c>
      <c r="C360" s="3" t="s">
        <v>35</v>
      </c>
      <c r="D360" s="4" t="str">
        <f t="shared" si="1"/>
        <v>Ms.</v>
      </c>
      <c r="E360" s="3" t="str">
        <f t="shared" si="4"/>
        <v>Ms. Aarohi Mishra</v>
      </c>
      <c r="F360" s="3" t="str">
        <f>IFERROR(__xludf.DUMMYFUNCTION("SPLIT(B360,"" "")"),"Aarohi")</f>
        <v>Aarohi</v>
      </c>
      <c r="G360" s="3" t="str">
        <f>IFERROR(__xludf.DUMMYFUNCTION("""COMPUTED_VALUE"""),"Mishra")</f>
        <v>Mishra</v>
      </c>
      <c r="H360" s="3" t="s">
        <v>25</v>
      </c>
      <c r="I360" s="3">
        <v>2026.0</v>
      </c>
      <c r="J360" s="3">
        <f t="shared" si="2"/>
        <v>10000</v>
      </c>
      <c r="K360" s="3" t="s">
        <v>26</v>
      </c>
      <c r="L360" s="3">
        <v>1808.0</v>
      </c>
      <c r="M360" s="3" t="s">
        <v>21</v>
      </c>
      <c r="N360" s="3">
        <v>53.0</v>
      </c>
      <c r="O360" s="3" t="s">
        <v>41</v>
      </c>
      <c r="P360" s="3" t="s">
        <v>23</v>
      </c>
      <c r="Q360" s="6">
        <f t="shared" si="3"/>
        <v>430000</v>
      </c>
    </row>
    <row r="361">
      <c r="A361" s="3">
        <v>65004.0</v>
      </c>
      <c r="B361" s="3" t="s">
        <v>367</v>
      </c>
      <c r="C361" s="3" t="s">
        <v>18</v>
      </c>
      <c r="D361" s="4" t="str">
        <f t="shared" si="1"/>
        <v>Mr.</v>
      </c>
      <c r="E361" s="3" t="str">
        <f t="shared" si="4"/>
        <v>Mr. Kabir Naidu</v>
      </c>
      <c r="F361" s="3" t="str">
        <f>IFERROR(__xludf.DUMMYFUNCTION("SPLIT(B361,"" "")"),"Kabir")</f>
        <v>Kabir</v>
      </c>
      <c r="G361" s="3" t="str">
        <f>IFERROR(__xludf.DUMMYFUNCTION("""COMPUTED_VALUE"""),"Naidu")</f>
        <v>Naidu</v>
      </c>
      <c r="H361" s="3" t="s">
        <v>19</v>
      </c>
      <c r="I361" s="3">
        <v>2025.0</v>
      </c>
      <c r="J361" s="3">
        <f t="shared" si="2"/>
        <v>5000</v>
      </c>
      <c r="K361" s="3" t="s">
        <v>20</v>
      </c>
      <c r="L361" s="10">
        <v>7112.0</v>
      </c>
      <c r="M361" s="3" t="s">
        <v>21</v>
      </c>
      <c r="N361" s="3">
        <v>73.0</v>
      </c>
      <c r="O361" s="3" t="s">
        <v>41</v>
      </c>
      <c r="P361" s="3" t="s">
        <v>23</v>
      </c>
      <c r="Q361" s="6">
        <f t="shared" si="3"/>
        <v>430000</v>
      </c>
    </row>
    <row r="362">
      <c r="A362" s="3">
        <v>65005.0</v>
      </c>
      <c r="B362" s="3" t="s">
        <v>368</v>
      </c>
      <c r="C362" s="3" t="s">
        <v>18</v>
      </c>
      <c r="D362" s="4" t="str">
        <f t="shared" si="1"/>
        <v>Mr.</v>
      </c>
      <c r="E362" s="3" t="str">
        <f t="shared" si="4"/>
        <v>Mr. Rishi Naidu</v>
      </c>
      <c r="F362" s="3" t="str">
        <f>IFERROR(__xludf.DUMMYFUNCTION("SPLIT(B362,"" "")"),"Rishi")</f>
        <v>Rishi</v>
      </c>
      <c r="G362" s="3" t="str">
        <f>IFERROR(__xludf.DUMMYFUNCTION("""COMPUTED_VALUE"""),"Naidu")</f>
        <v>Naidu</v>
      </c>
      <c r="H362" s="3" t="s">
        <v>33</v>
      </c>
      <c r="I362" s="3">
        <v>2026.0</v>
      </c>
      <c r="J362" s="3">
        <f t="shared" si="2"/>
        <v>10000</v>
      </c>
      <c r="K362" s="3" t="s">
        <v>20</v>
      </c>
      <c r="L362" s="3">
        <v>0.0</v>
      </c>
      <c r="M362" s="3" t="s">
        <v>21</v>
      </c>
      <c r="N362" s="3">
        <v>46.0</v>
      </c>
      <c r="O362" s="3" t="s">
        <v>41</v>
      </c>
      <c r="P362" s="3" t="s">
        <v>31</v>
      </c>
      <c r="Q362" s="6">
        <f t="shared" si="3"/>
        <v>910000</v>
      </c>
    </row>
    <row r="363">
      <c r="A363" s="3">
        <v>65006.0</v>
      </c>
      <c r="B363" s="3" t="s">
        <v>369</v>
      </c>
      <c r="C363" s="3" t="s">
        <v>35</v>
      </c>
      <c r="D363" s="4" t="str">
        <f t="shared" si="1"/>
        <v>Ms.</v>
      </c>
      <c r="E363" s="3" t="str">
        <f t="shared" si="4"/>
        <v>Ms. Riddhi Bhat</v>
      </c>
      <c r="F363" s="3" t="str">
        <f>IFERROR(__xludf.DUMMYFUNCTION("SPLIT(B363,"" "")"),"Riddhi")</f>
        <v>Riddhi</v>
      </c>
      <c r="G363" s="3" t="str">
        <f>IFERROR(__xludf.DUMMYFUNCTION("""COMPUTED_VALUE"""),"Bhat")</f>
        <v>Bhat</v>
      </c>
      <c r="H363" s="3" t="s">
        <v>25</v>
      </c>
      <c r="I363" s="3">
        <v>2024.0</v>
      </c>
      <c r="J363" s="3">
        <f t="shared" si="2"/>
        <v>10000</v>
      </c>
      <c r="K363" s="3" t="s">
        <v>20</v>
      </c>
      <c r="L363" s="3">
        <v>0.0</v>
      </c>
      <c r="M363" s="3" t="s">
        <v>21</v>
      </c>
      <c r="N363" s="3">
        <v>6.0</v>
      </c>
      <c r="O363" s="3" t="s">
        <v>41</v>
      </c>
      <c r="P363" s="3" t="s">
        <v>38</v>
      </c>
      <c r="Q363" s="6">
        <f t="shared" si="3"/>
        <v>635000</v>
      </c>
    </row>
    <row r="364">
      <c r="A364" s="3">
        <v>65007.0</v>
      </c>
      <c r="B364" s="3" t="s">
        <v>370</v>
      </c>
      <c r="C364" s="3" t="s">
        <v>18</v>
      </c>
      <c r="D364" s="4" t="str">
        <f t="shared" si="1"/>
        <v>Mr.</v>
      </c>
      <c r="E364" s="3" t="str">
        <f t="shared" si="4"/>
        <v>Mr. Atharv Bhatt</v>
      </c>
      <c r="F364" s="3" t="str">
        <f>IFERROR(__xludf.DUMMYFUNCTION("SPLIT(B364,"" "")"),"Atharv")</f>
        <v>Atharv</v>
      </c>
      <c r="G364" s="3" t="str">
        <f>IFERROR(__xludf.DUMMYFUNCTION("""COMPUTED_VALUE"""),"Bhatt")</f>
        <v>Bhatt</v>
      </c>
      <c r="H364" s="3" t="s">
        <v>19</v>
      </c>
      <c r="I364" s="3">
        <v>2022.0</v>
      </c>
      <c r="J364" s="3">
        <f t="shared" si="2"/>
        <v>5000</v>
      </c>
      <c r="K364" s="3" t="s">
        <v>26</v>
      </c>
      <c r="L364" s="3">
        <v>19049.0</v>
      </c>
      <c r="M364" s="3" t="s">
        <v>21</v>
      </c>
      <c r="N364" s="3">
        <v>55.0</v>
      </c>
      <c r="O364" s="3" t="s">
        <v>41</v>
      </c>
      <c r="P364" s="3" t="s">
        <v>28</v>
      </c>
      <c r="Q364" s="6">
        <f t="shared" si="3"/>
        <v>400000</v>
      </c>
    </row>
    <row r="365">
      <c r="A365" s="3">
        <v>65008.0</v>
      </c>
      <c r="B365" s="3" t="s">
        <v>371</v>
      </c>
      <c r="C365" s="3" t="s">
        <v>35</v>
      </c>
      <c r="D365" s="4" t="str">
        <f t="shared" si="1"/>
        <v>Ms.</v>
      </c>
      <c r="E365" s="3" t="str">
        <f t="shared" si="4"/>
        <v>Ms. Navya Bhat</v>
      </c>
      <c r="F365" s="3" t="str">
        <f>IFERROR(__xludf.DUMMYFUNCTION("SPLIT(B365,"" "")"),"Navya")</f>
        <v>Navya</v>
      </c>
      <c r="G365" s="3" t="str">
        <f>IFERROR(__xludf.DUMMYFUNCTION("""COMPUTED_VALUE"""),"Bhat")</f>
        <v>Bhat</v>
      </c>
      <c r="H365" s="3" t="s">
        <v>19</v>
      </c>
      <c r="I365" s="3">
        <v>2021.0</v>
      </c>
      <c r="J365" s="3">
        <f t="shared" si="2"/>
        <v>5000</v>
      </c>
      <c r="K365" s="3" t="s">
        <v>20</v>
      </c>
      <c r="L365" s="3">
        <v>71.0</v>
      </c>
      <c r="M365" s="3" t="s">
        <v>21</v>
      </c>
      <c r="N365" s="3">
        <v>62.0</v>
      </c>
      <c r="O365" s="3" t="s">
        <v>22</v>
      </c>
      <c r="P365" s="3" t="s">
        <v>28</v>
      </c>
      <c r="Q365" s="6">
        <f t="shared" si="3"/>
        <v>400000</v>
      </c>
    </row>
    <row r="366">
      <c r="A366" s="3">
        <v>65009.0</v>
      </c>
      <c r="B366" s="3" t="s">
        <v>372</v>
      </c>
      <c r="C366" s="3" t="s">
        <v>35</v>
      </c>
      <c r="D366" s="4" t="str">
        <f t="shared" si="1"/>
        <v>Ms.</v>
      </c>
      <c r="E366" s="3" t="str">
        <f t="shared" si="4"/>
        <v>Ms. Kyra Agarwal</v>
      </c>
      <c r="F366" s="3" t="str">
        <f>IFERROR(__xludf.DUMMYFUNCTION("SPLIT(B366,"" "")"),"Kyra")</f>
        <v>Kyra</v>
      </c>
      <c r="G366" s="3" t="str">
        <f>IFERROR(__xludf.DUMMYFUNCTION("""COMPUTED_VALUE"""),"Agarwal")</f>
        <v>Agarwal</v>
      </c>
      <c r="H366" s="3" t="s">
        <v>33</v>
      </c>
      <c r="I366" s="3">
        <v>2028.0</v>
      </c>
      <c r="J366" s="3">
        <f t="shared" si="2"/>
        <v>10000</v>
      </c>
      <c r="K366" s="3" t="s">
        <v>20</v>
      </c>
      <c r="L366" s="3">
        <v>0.0</v>
      </c>
      <c r="M366" s="3" t="s">
        <v>21</v>
      </c>
      <c r="N366" s="3">
        <v>35.0</v>
      </c>
      <c r="O366" s="3" t="s">
        <v>41</v>
      </c>
      <c r="P366" s="3" t="s">
        <v>31</v>
      </c>
      <c r="Q366" s="6">
        <f t="shared" si="3"/>
        <v>910000</v>
      </c>
    </row>
    <row r="367">
      <c r="A367" s="3">
        <v>65013.0</v>
      </c>
      <c r="B367" s="3" t="s">
        <v>373</v>
      </c>
      <c r="C367" s="3" t="s">
        <v>35</v>
      </c>
      <c r="D367" s="4" t="str">
        <f t="shared" si="1"/>
        <v>Ms.</v>
      </c>
      <c r="E367" s="3" t="str">
        <f t="shared" si="4"/>
        <v>Ms. Ira Dutta</v>
      </c>
      <c r="F367" s="3" t="str">
        <f>IFERROR(__xludf.DUMMYFUNCTION("SPLIT(B367,"" "")"),"Ira")</f>
        <v>Ira</v>
      </c>
      <c r="G367" s="3" t="str">
        <f>IFERROR(__xludf.DUMMYFUNCTION("""COMPUTED_VALUE"""),"Dutta")</f>
        <v>Dutta</v>
      </c>
      <c r="H367" s="3" t="s">
        <v>46</v>
      </c>
      <c r="I367" s="3">
        <v>2025.0</v>
      </c>
      <c r="J367" s="3">
        <f t="shared" si="2"/>
        <v>5000</v>
      </c>
      <c r="K367" s="3" t="s">
        <v>20</v>
      </c>
      <c r="L367" s="3">
        <v>0.0</v>
      </c>
      <c r="M367" s="3" t="s">
        <v>21</v>
      </c>
      <c r="N367" s="3">
        <f>RANDBETWEEN(0,10)</f>
        <v>3</v>
      </c>
      <c r="O367" s="3" t="s">
        <v>41</v>
      </c>
      <c r="P367" s="3" t="s">
        <v>23</v>
      </c>
      <c r="Q367" s="6">
        <f t="shared" si="3"/>
        <v>430000</v>
      </c>
    </row>
    <row r="368">
      <c r="A368" s="3">
        <v>65014.0</v>
      </c>
      <c r="B368" s="3" t="s">
        <v>144</v>
      </c>
      <c r="C368" s="3" t="s">
        <v>18</v>
      </c>
      <c r="D368" s="4" t="str">
        <f t="shared" si="1"/>
        <v>Mr.</v>
      </c>
      <c r="E368" s="3" t="str">
        <f t="shared" si="4"/>
        <v>Mr. Raghav Bhat</v>
      </c>
      <c r="F368" s="3" t="str">
        <f>IFERROR(__xludf.DUMMYFUNCTION("SPLIT(B368,"" "")"),"Raghav")</f>
        <v>Raghav</v>
      </c>
      <c r="G368" s="3" t="str">
        <f>IFERROR(__xludf.DUMMYFUNCTION("""COMPUTED_VALUE"""),"Bhat")</f>
        <v>Bhat</v>
      </c>
      <c r="H368" s="3" t="s">
        <v>19</v>
      </c>
      <c r="I368" s="3">
        <v>2022.0</v>
      </c>
      <c r="J368" s="3">
        <f t="shared" si="2"/>
        <v>5000</v>
      </c>
      <c r="K368" s="3" t="s">
        <v>20</v>
      </c>
      <c r="L368" s="3">
        <v>0.0</v>
      </c>
      <c r="M368" s="3" t="s">
        <v>21</v>
      </c>
      <c r="N368" s="3">
        <v>20.0</v>
      </c>
      <c r="O368" s="3" t="s">
        <v>41</v>
      </c>
      <c r="P368" s="3" t="s">
        <v>23</v>
      </c>
      <c r="Q368" s="6">
        <f t="shared" si="3"/>
        <v>430000</v>
      </c>
    </row>
    <row r="369">
      <c r="A369" s="3">
        <v>65015.0</v>
      </c>
      <c r="B369" s="3" t="s">
        <v>374</v>
      </c>
      <c r="C369" s="3" t="s">
        <v>35</v>
      </c>
      <c r="D369" s="4" t="str">
        <f t="shared" si="1"/>
        <v>Ms.</v>
      </c>
      <c r="E369" s="3" t="str">
        <f t="shared" si="4"/>
        <v>Ms. Tara Mehta</v>
      </c>
      <c r="F369" s="3" t="str">
        <f>IFERROR(__xludf.DUMMYFUNCTION("SPLIT(B369,"" "")"),"Tara")</f>
        <v>Tara</v>
      </c>
      <c r="G369" s="3" t="str">
        <f>IFERROR(__xludf.DUMMYFUNCTION("""COMPUTED_VALUE"""),"Mehta")</f>
        <v>Mehta</v>
      </c>
      <c r="H369" s="3" t="s">
        <v>25</v>
      </c>
      <c r="I369" s="3">
        <v>2024.0</v>
      </c>
      <c r="J369" s="3">
        <f t="shared" si="2"/>
        <v>10000</v>
      </c>
      <c r="K369" s="3" t="s">
        <v>20</v>
      </c>
      <c r="L369" s="3">
        <v>25.0</v>
      </c>
      <c r="M369" s="3" t="s">
        <v>21</v>
      </c>
      <c r="N369" s="3">
        <v>60.0</v>
      </c>
      <c r="O369" s="3" t="s">
        <v>22</v>
      </c>
      <c r="P369" s="3" t="s">
        <v>31</v>
      </c>
      <c r="Q369" s="6">
        <f t="shared" si="3"/>
        <v>910000</v>
      </c>
    </row>
    <row r="370">
      <c r="A370" s="3">
        <v>65016.0</v>
      </c>
      <c r="B370" s="3" t="s">
        <v>162</v>
      </c>
      <c r="C370" s="3" t="s">
        <v>35</v>
      </c>
      <c r="D370" s="4" t="str">
        <f t="shared" si="1"/>
        <v>Ms.</v>
      </c>
      <c r="E370" s="3" t="str">
        <f t="shared" si="4"/>
        <v>Ms. Sara Nair</v>
      </c>
      <c r="F370" s="3" t="str">
        <f>IFERROR(__xludf.DUMMYFUNCTION("SPLIT(B370,"" "")"),"Sara")</f>
        <v>Sara</v>
      </c>
      <c r="G370" s="3" t="str">
        <f>IFERROR(__xludf.DUMMYFUNCTION("""COMPUTED_VALUE"""),"Nair")</f>
        <v>Nair</v>
      </c>
      <c r="H370" s="3" t="s">
        <v>46</v>
      </c>
      <c r="I370" s="3">
        <v>2027.0</v>
      </c>
      <c r="J370" s="3">
        <f t="shared" si="2"/>
        <v>5000</v>
      </c>
      <c r="K370" s="3" t="s">
        <v>20</v>
      </c>
      <c r="L370" s="3">
        <v>0.0</v>
      </c>
      <c r="M370" s="3" t="s">
        <v>21</v>
      </c>
      <c r="N370" s="3">
        <v>64.0</v>
      </c>
      <c r="O370" s="3" t="s">
        <v>41</v>
      </c>
      <c r="P370" s="3" t="s">
        <v>23</v>
      </c>
      <c r="Q370" s="6">
        <f t="shared" si="3"/>
        <v>430000</v>
      </c>
    </row>
    <row r="371">
      <c r="A371" s="3">
        <v>65017.0</v>
      </c>
      <c r="B371" s="3" t="s">
        <v>375</v>
      </c>
      <c r="C371" s="3" t="s">
        <v>18</v>
      </c>
      <c r="D371" s="4" t="str">
        <f t="shared" si="1"/>
        <v>Mr.</v>
      </c>
      <c r="E371" s="3" t="str">
        <f t="shared" si="4"/>
        <v>Mr. Shaurya Naidu</v>
      </c>
      <c r="F371" s="3" t="str">
        <f>IFERROR(__xludf.DUMMYFUNCTION("SPLIT(B371,"" "")"),"Shaurya")</f>
        <v>Shaurya</v>
      </c>
      <c r="G371" s="3" t="str">
        <f>IFERROR(__xludf.DUMMYFUNCTION("""COMPUTED_VALUE"""),"Naidu")</f>
        <v>Naidu</v>
      </c>
      <c r="H371" s="3" t="s">
        <v>46</v>
      </c>
      <c r="I371" s="3">
        <v>2026.0</v>
      </c>
      <c r="J371" s="3">
        <f t="shared" si="2"/>
        <v>5000</v>
      </c>
      <c r="K371" s="3" t="s">
        <v>26</v>
      </c>
      <c r="L371" s="3">
        <v>15543.0</v>
      </c>
      <c r="M371" s="3" t="s">
        <v>21</v>
      </c>
      <c r="N371" s="3">
        <f t="shared" ref="N371:N372" si="23">RANDBETWEEN(0,10)</f>
        <v>2</v>
      </c>
      <c r="O371" s="3" t="s">
        <v>41</v>
      </c>
      <c r="P371" s="3" t="s">
        <v>31</v>
      </c>
      <c r="Q371" s="6">
        <f t="shared" si="3"/>
        <v>910000</v>
      </c>
    </row>
    <row r="372">
      <c r="A372" s="3">
        <v>65018.0</v>
      </c>
      <c r="B372" s="3" t="s">
        <v>376</v>
      </c>
      <c r="C372" s="3" t="s">
        <v>18</v>
      </c>
      <c r="D372" s="4" t="str">
        <f t="shared" si="1"/>
        <v>Mr.</v>
      </c>
      <c r="E372" s="3" t="str">
        <f t="shared" si="4"/>
        <v>Mr. Siddharth Thakur</v>
      </c>
      <c r="F372" s="3" t="str">
        <f>IFERROR(__xludf.DUMMYFUNCTION("SPLIT(B372,"" "")"),"Siddharth")</f>
        <v>Siddharth</v>
      </c>
      <c r="G372" s="3" t="str">
        <f>IFERROR(__xludf.DUMMYFUNCTION("""COMPUTED_VALUE"""),"Thakur")</f>
        <v>Thakur</v>
      </c>
      <c r="H372" s="3" t="s">
        <v>33</v>
      </c>
      <c r="I372" s="3">
        <v>2023.0</v>
      </c>
      <c r="J372" s="3">
        <f t="shared" si="2"/>
        <v>10000</v>
      </c>
      <c r="K372" s="3" t="s">
        <v>20</v>
      </c>
      <c r="L372" s="3">
        <v>0.0</v>
      </c>
      <c r="M372" s="3" t="s">
        <v>21</v>
      </c>
      <c r="N372" s="3">
        <f t="shared" si="23"/>
        <v>1</v>
      </c>
      <c r="O372" s="3" t="s">
        <v>41</v>
      </c>
      <c r="P372" s="3" t="s">
        <v>23</v>
      </c>
      <c r="Q372" s="6">
        <f t="shared" si="3"/>
        <v>430000</v>
      </c>
    </row>
    <row r="373">
      <c r="A373" s="3">
        <v>65019.0</v>
      </c>
      <c r="B373" s="3" t="s">
        <v>322</v>
      </c>
      <c r="C373" s="3" t="s">
        <v>18</v>
      </c>
      <c r="D373" s="4" t="str">
        <f t="shared" si="1"/>
        <v>Mr.</v>
      </c>
      <c r="E373" s="3" t="str">
        <f t="shared" si="4"/>
        <v>Mr. Ayaan Malik</v>
      </c>
      <c r="F373" s="3" t="str">
        <f>IFERROR(__xludf.DUMMYFUNCTION("SPLIT(B373,"" "")"),"Ayaan")</f>
        <v>Ayaan</v>
      </c>
      <c r="G373" s="3" t="str">
        <f>IFERROR(__xludf.DUMMYFUNCTION("""COMPUTED_VALUE"""),"Malik")</f>
        <v>Malik</v>
      </c>
      <c r="H373" s="3" t="s">
        <v>33</v>
      </c>
      <c r="I373" s="3">
        <v>2022.0</v>
      </c>
      <c r="J373" s="3">
        <f t="shared" si="2"/>
        <v>10000</v>
      </c>
      <c r="K373" s="3" t="s">
        <v>26</v>
      </c>
      <c r="L373" s="3">
        <v>17303.0</v>
      </c>
      <c r="M373" s="3" t="s">
        <v>30</v>
      </c>
      <c r="N373" s="3">
        <v>10.0</v>
      </c>
      <c r="O373" s="3" t="s">
        <v>41</v>
      </c>
      <c r="P373" s="3" t="s">
        <v>38</v>
      </c>
      <c r="Q373" s="6">
        <f t="shared" si="3"/>
        <v>635000</v>
      </c>
    </row>
    <row r="374">
      <c r="A374" s="3">
        <v>65022.0</v>
      </c>
      <c r="B374" s="3" t="s">
        <v>377</v>
      </c>
      <c r="C374" s="3" t="s">
        <v>35</v>
      </c>
      <c r="D374" s="4" t="str">
        <f t="shared" si="1"/>
        <v>Ms.</v>
      </c>
      <c r="E374" s="3" t="str">
        <f t="shared" si="4"/>
        <v>Ms. Siya Bhatt</v>
      </c>
      <c r="F374" s="3" t="str">
        <f>IFERROR(__xludf.DUMMYFUNCTION("SPLIT(B374,"" "")"),"Siya")</f>
        <v>Siya</v>
      </c>
      <c r="G374" s="3" t="str">
        <f>IFERROR(__xludf.DUMMYFUNCTION("""COMPUTED_VALUE"""),"Bhatt")</f>
        <v>Bhatt</v>
      </c>
      <c r="H374" s="3" t="s">
        <v>33</v>
      </c>
      <c r="I374" s="3">
        <v>2026.0</v>
      </c>
      <c r="J374" s="3">
        <f t="shared" si="2"/>
        <v>10000</v>
      </c>
      <c r="K374" s="3" t="s">
        <v>20</v>
      </c>
      <c r="L374" s="3">
        <v>0.0</v>
      </c>
      <c r="M374" s="3" t="s">
        <v>21</v>
      </c>
      <c r="N374" s="3">
        <v>37.0</v>
      </c>
      <c r="O374" s="3" t="s">
        <v>41</v>
      </c>
      <c r="P374" s="3" t="s">
        <v>31</v>
      </c>
      <c r="Q374" s="6">
        <f t="shared" si="3"/>
        <v>910000</v>
      </c>
    </row>
    <row r="375">
      <c r="A375" s="3">
        <v>65023.0</v>
      </c>
      <c r="B375" s="3" t="s">
        <v>378</v>
      </c>
      <c r="C375" s="3" t="s">
        <v>35</v>
      </c>
      <c r="D375" s="4" t="str">
        <f t="shared" si="1"/>
        <v>Ms.</v>
      </c>
      <c r="E375" s="3" t="str">
        <f t="shared" si="4"/>
        <v>Ms. Avni Reddy</v>
      </c>
      <c r="F375" s="3" t="str">
        <f>IFERROR(__xludf.DUMMYFUNCTION("SPLIT(B375,"" "")"),"Avni")</f>
        <v>Avni</v>
      </c>
      <c r="G375" s="3" t="str">
        <f>IFERROR(__xludf.DUMMYFUNCTION("""COMPUTED_VALUE"""),"Reddy")</f>
        <v>Reddy</v>
      </c>
      <c r="H375" s="3" t="s">
        <v>25</v>
      </c>
      <c r="I375" s="3">
        <v>2024.0</v>
      </c>
      <c r="J375" s="3">
        <f t="shared" si="2"/>
        <v>10000</v>
      </c>
      <c r="K375" s="3" t="s">
        <v>20</v>
      </c>
      <c r="L375" s="3">
        <v>0.0</v>
      </c>
      <c r="M375" s="3" t="s">
        <v>21</v>
      </c>
      <c r="N375" s="3">
        <f>RANDBETWEEN(0,10)</f>
        <v>7</v>
      </c>
      <c r="O375" s="3" t="s">
        <v>41</v>
      </c>
      <c r="P375" s="3" t="s">
        <v>31</v>
      </c>
      <c r="Q375" s="6">
        <f t="shared" si="3"/>
        <v>910000</v>
      </c>
    </row>
    <row r="376">
      <c r="A376" s="3">
        <v>65024.0</v>
      </c>
      <c r="B376" s="3" t="s">
        <v>379</v>
      </c>
      <c r="C376" s="3" t="s">
        <v>18</v>
      </c>
      <c r="D376" s="4" t="str">
        <f t="shared" si="1"/>
        <v>Mr.</v>
      </c>
      <c r="E376" s="3" t="str">
        <f t="shared" si="4"/>
        <v>Mr. Shivansh Sharma</v>
      </c>
      <c r="F376" s="3" t="str">
        <f>IFERROR(__xludf.DUMMYFUNCTION("SPLIT(B376,"" "")"),"Shivansh")</f>
        <v>Shivansh</v>
      </c>
      <c r="G376" s="3" t="str">
        <f>IFERROR(__xludf.DUMMYFUNCTION("""COMPUTED_VALUE"""),"Sharma")</f>
        <v>Sharma</v>
      </c>
      <c r="H376" s="3" t="s">
        <v>19</v>
      </c>
      <c r="I376" s="3">
        <v>2028.0</v>
      </c>
      <c r="J376" s="3">
        <f t="shared" si="2"/>
        <v>5000</v>
      </c>
      <c r="K376" s="3" t="s">
        <v>20</v>
      </c>
      <c r="L376" s="3">
        <v>0.0</v>
      </c>
      <c r="M376" s="3" t="s">
        <v>21</v>
      </c>
      <c r="N376" s="3">
        <v>54.0</v>
      </c>
      <c r="O376" s="3" t="s">
        <v>41</v>
      </c>
      <c r="P376" s="3" t="s">
        <v>23</v>
      </c>
      <c r="Q376" s="6">
        <f t="shared" si="3"/>
        <v>430000</v>
      </c>
    </row>
    <row r="377">
      <c r="A377" s="3">
        <v>65025.0</v>
      </c>
      <c r="B377" s="3" t="s">
        <v>380</v>
      </c>
      <c r="C377" s="3" t="s">
        <v>35</v>
      </c>
      <c r="D377" s="4" t="str">
        <f t="shared" si="1"/>
        <v>Ms.</v>
      </c>
      <c r="E377" s="3" t="str">
        <f t="shared" si="4"/>
        <v>Ms. Kashvi Naidu</v>
      </c>
      <c r="F377" s="3" t="str">
        <f>IFERROR(__xludf.DUMMYFUNCTION("SPLIT(B377,"" "")"),"Kashvi")</f>
        <v>Kashvi</v>
      </c>
      <c r="G377" s="3" t="str">
        <f>IFERROR(__xludf.DUMMYFUNCTION("""COMPUTED_VALUE"""),"Naidu")</f>
        <v>Naidu</v>
      </c>
      <c r="H377" s="3" t="s">
        <v>46</v>
      </c>
      <c r="I377" s="3">
        <v>2026.0</v>
      </c>
      <c r="J377" s="3">
        <f t="shared" si="2"/>
        <v>5000</v>
      </c>
      <c r="K377" s="3" t="s">
        <v>20</v>
      </c>
      <c r="L377" s="3">
        <v>0.0</v>
      </c>
      <c r="M377" s="3" t="s">
        <v>21</v>
      </c>
      <c r="N377" s="3">
        <v>20.0</v>
      </c>
      <c r="O377" s="3" t="s">
        <v>41</v>
      </c>
      <c r="P377" s="3" t="s">
        <v>23</v>
      </c>
      <c r="Q377" s="6">
        <f t="shared" si="3"/>
        <v>430000</v>
      </c>
    </row>
    <row r="378">
      <c r="A378" s="3">
        <v>65026.0</v>
      </c>
      <c r="B378" s="3" t="s">
        <v>381</v>
      </c>
      <c r="C378" s="3" t="s">
        <v>18</v>
      </c>
      <c r="D378" s="4" t="str">
        <f t="shared" si="1"/>
        <v>Mr.</v>
      </c>
      <c r="E378" s="3" t="str">
        <f t="shared" si="4"/>
        <v>Mr. Krishna Iyer</v>
      </c>
      <c r="F378" s="3" t="str">
        <f>IFERROR(__xludf.DUMMYFUNCTION("SPLIT(B378,"" "")"),"Krishna")</f>
        <v>Krishna</v>
      </c>
      <c r="G378" s="3" t="str">
        <f>IFERROR(__xludf.DUMMYFUNCTION("""COMPUTED_VALUE"""),"Iyer")</f>
        <v>Iyer</v>
      </c>
      <c r="H378" s="3" t="s">
        <v>25</v>
      </c>
      <c r="I378" s="3">
        <v>2023.0</v>
      </c>
      <c r="J378" s="3">
        <f t="shared" si="2"/>
        <v>10000</v>
      </c>
      <c r="K378" s="3" t="s">
        <v>20</v>
      </c>
      <c r="L378" s="3">
        <v>0.0</v>
      </c>
      <c r="M378" s="3" t="s">
        <v>21</v>
      </c>
      <c r="N378" s="3">
        <v>5.0</v>
      </c>
      <c r="O378" s="3" t="s">
        <v>41</v>
      </c>
      <c r="P378" s="3" t="s">
        <v>23</v>
      </c>
      <c r="Q378" s="6">
        <f t="shared" si="3"/>
        <v>430000</v>
      </c>
    </row>
    <row r="379">
      <c r="A379" s="3">
        <v>65028.0</v>
      </c>
      <c r="B379" s="3" t="s">
        <v>63</v>
      </c>
      <c r="C379" s="3" t="s">
        <v>35</v>
      </c>
      <c r="D379" s="4" t="str">
        <f t="shared" si="1"/>
        <v>Ms.</v>
      </c>
      <c r="E379" s="3" t="str">
        <f t="shared" si="4"/>
        <v>Ms. Tara Sinha</v>
      </c>
      <c r="F379" s="3" t="str">
        <f>IFERROR(__xludf.DUMMYFUNCTION("SPLIT(B379,"" "")"),"Tara")</f>
        <v>Tara</v>
      </c>
      <c r="G379" s="3" t="str">
        <f>IFERROR(__xludf.DUMMYFUNCTION("""COMPUTED_VALUE"""),"Sinha")</f>
        <v>Sinha</v>
      </c>
      <c r="H379" s="3" t="s">
        <v>25</v>
      </c>
      <c r="I379" s="3">
        <v>2026.0</v>
      </c>
      <c r="J379" s="3">
        <f t="shared" si="2"/>
        <v>10000</v>
      </c>
      <c r="K379" s="3" t="s">
        <v>20</v>
      </c>
      <c r="L379" s="3">
        <v>276.0</v>
      </c>
      <c r="M379" s="3" t="s">
        <v>21</v>
      </c>
      <c r="N379" s="3">
        <v>1.0</v>
      </c>
      <c r="O379" s="3" t="s">
        <v>41</v>
      </c>
      <c r="P379" s="3" t="s">
        <v>31</v>
      </c>
      <c r="Q379" s="6">
        <f t="shared" si="3"/>
        <v>910000</v>
      </c>
    </row>
    <row r="380">
      <c r="A380" s="3">
        <v>65029.0</v>
      </c>
      <c r="B380" s="3" t="s">
        <v>382</v>
      </c>
      <c r="C380" s="3" t="s">
        <v>35</v>
      </c>
      <c r="D380" s="4" t="str">
        <f t="shared" si="1"/>
        <v>Ms.</v>
      </c>
      <c r="E380" s="3" t="str">
        <f t="shared" si="4"/>
        <v>Ms. Siya Agarwal</v>
      </c>
      <c r="F380" s="3" t="str">
        <f>IFERROR(__xludf.DUMMYFUNCTION("SPLIT(B380,"" "")"),"Siya")</f>
        <v>Siya</v>
      </c>
      <c r="G380" s="3" t="str">
        <f>IFERROR(__xludf.DUMMYFUNCTION("""COMPUTED_VALUE"""),"Agarwal")</f>
        <v>Agarwal</v>
      </c>
      <c r="H380" s="3" t="s">
        <v>46</v>
      </c>
      <c r="I380" s="3">
        <v>2021.0</v>
      </c>
      <c r="J380" s="3">
        <f t="shared" si="2"/>
        <v>5000</v>
      </c>
      <c r="K380" s="3" t="s">
        <v>20</v>
      </c>
      <c r="L380" s="3">
        <v>25.0</v>
      </c>
      <c r="M380" s="3" t="s">
        <v>21</v>
      </c>
      <c r="N380" s="3">
        <v>26.0</v>
      </c>
      <c r="O380" s="3" t="s">
        <v>22</v>
      </c>
      <c r="P380" s="3" t="s">
        <v>23</v>
      </c>
      <c r="Q380" s="6">
        <f t="shared" si="3"/>
        <v>430000</v>
      </c>
    </row>
    <row r="381">
      <c r="A381" s="3">
        <v>65030.0</v>
      </c>
      <c r="B381" s="3" t="s">
        <v>383</v>
      </c>
      <c r="C381" s="3" t="s">
        <v>18</v>
      </c>
      <c r="D381" s="4" t="str">
        <f t="shared" si="1"/>
        <v>Mr.</v>
      </c>
      <c r="E381" s="3" t="str">
        <f t="shared" si="4"/>
        <v>Mr. Arnav Patel</v>
      </c>
      <c r="F381" s="3" t="str">
        <f>IFERROR(__xludf.DUMMYFUNCTION("SPLIT(B381,"" "")"),"Arnav")</f>
        <v>Arnav</v>
      </c>
      <c r="G381" s="3" t="str">
        <f>IFERROR(__xludf.DUMMYFUNCTION("""COMPUTED_VALUE"""),"Patel")</f>
        <v>Patel</v>
      </c>
      <c r="H381" s="3" t="s">
        <v>33</v>
      </c>
      <c r="I381" s="3">
        <v>2026.0</v>
      </c>
      <c r="J381" s="3">
        <f t="shared" si="2"/>
        <v>10000</v>
      </c>
      <c r="K381" s="3" t="s">
        <v>26</v>
      </c>
      <c r="L381" s="3">
        <v>23833.0</v>
      </c>
      <c r="M381" s="3" t="s">
        <v>21</v>
      </c>
      <c r="N381" s="3">
        <v>38.0</v>
      </c>
      <c r="O381" s="3" t="s">
        <v>41</v>
      </c>
      <c r="P381" s="3" t="s">
        <v>31</v>
      </c>
      <c r="Q381" s="6">
        <f t="shared" si="3"/>
        <v>910000</v>
      </c>
    </row>
    <row r="382">
      <c r="A382" s="3">
        <v>65031.0</v>
      </c>
      <c r="B382" s="3" t="s">
        <v>384</v>
      </c>
      <c r="C382" s="3" t="s">
        <v>35</v>
      </c>
      <c r="D382" s="4" t="str">
        <f t="shared" si="1"/>
        <v>Ms.</v>
      </c>
      <c r="E382" s="3" t="str">
        <f t="shared" si="4"/>
        <v>Ms. Charvi Das</v>
      </c>
      <c r="F382" s="3" t="str">
        <f>IFERROR(__xludf.DUMMYFUNCTION("SPLIT(B382,"" "")"),"Charvi")</f>
        <v>Charvi</v>
      </c>
      <c r="G382" s="3" t="str">
        <f>IFERROR(__xludf.DUMMYFUNCTION("""COMPUTED_VALUE"""),"Das")</f>
        <v>Das</v>
      </c>
      <c r="H382" s="3" t="s">
        <v>33</v>
      </c>
      <c r="I382" s="3">
        <v>2022.0</v>
      </c>
      <c r="J382" s="3">
        <f t="shared" si="2"/>
        <v>10000</v>
      </c>
      <c r="K382" s="3" t="s">
        <v>26</v>
      </c>
      <c r="L382" s="3">
        <v>14716.0</v>
      </c>
      <c r="M382" s="3" t="s">
        <v>30</v>
      </c>
      <c r="N382" s="3">
        <v>56.0</v>
      </c>
      <c r="O382" s="3" t="s">
        <v>41</v>
      </c>
      <c r="P382" s="3" t="s">
        <v>31</v>
      </c>
      <c r="Q382" s="6">
        <f t="shared" si="3"/>
        <v>910000</v>
      </c>
    </row>
    <row r="383">
      <c r="A383" s="3">
        <v>65033.0</v>
      </c>
      <c r="B383" s="3" t="s">
        <v>385</v>
      </c>
      <c r="C383" s="3" t="s">
        <v>18</v>
      </c>
      <c r="D383" s="4" t="str">
        <f t="shared" si="1"/>
        <v>Mr.</v>
      </c>
      <c r="E383" s="3" t="str">
        <f t="shared" si="4"/>
        <v>Mr. Krishna Singh</v>
      </c>
      <c r="F383" s="3" t="str">
        <f>IFERROR(__xludf.DUMMYFUNCTION("SPLIT(B383,"" "")"),"Krishna")</f>
        <v>Krishna</v>
      </c>
      <c r="G383" s="3" t="str">
        <f>IFERROR(__xludf.DUMMYFUNCTION("""COMPUTED_VALUE"""),"Singh")</f>
        <v>Singh</v>
      </c>
      <c r="H383" s="3" t="s">
        <v>19</v>
      </c>
      <c r="I383" s="3">
        <v>2021.0</v>
      </c>
      <c r="J383" s="3">
        <f t="shared" si="2"/>
        <v>5000</v>
      </c>
      <c r="K383" s="3" t="s">
        <v>20</v>
      </c>
      <c r="L383" s="3">
        <v>0.0</v>
      </c>
      <c r="M383" s="3" t="s">
        <v>30</v>
      </c>
      <c r="N383" s="3">
        <f>RANDBETWEEN(0,10)</f>
        <v>3</v>
      </c>
      <c r="O383" s="3" t="s">
        <v>41</v>
      </c>
      <c r="P383" s="3" t="s">
        <v>31</v>
      </c>
      <c r="Q383" s="6">
        <f t="shared" si="3"/>
        <v>910000</v>
      </c>
    </row>
    <row r="384">
      <c r="A384" s="3">
        <v>65034.0</v>
      </c>
      <c r="B384" s="3" t="s">
        <v>386</v>
      </c>
      <c r="C384" s="3" t="s">
        <v>35</v>
      </c>
      <c r="D384" s="4" t="str">
        <f t="shared" si="1"/>
        <v>Ms.</v>
      </c>
      <c r="E384" s="3" t="str">
        <f t="shared" si="4"/>
        <v>Ms. Siya Sharma</v>
      </c>
      <c r="F384" s="3" t="str">
        <f>IFERROR(__xludf.DUMMYFUNCTION("SPLIT(B384,"" "")"),"Siya")</f>
        <v>Siya</v>
      </c>
      <c r="G384" s="3" t="str">
        <f>IFERROR(__xludf.DUMMYFUNCTION("""COMPUTED_VALUE"""),"Sharma")</f>
        <v>Sharma</v>
      </c>
      <c r="H384" s="3" t="s">
        <v>25</v>
      </c>
      <c r="I384" s="3">
        <v>2027.0</v>
      </c>
      <c r="J384" s="3">
        <f t="shared" si="2"/>
        <v>10000</v>
      </c>
      <c r="K384" s="3" t="s">
        <v>20</v>
      </c>
      <c r="L384" s="10">
        <v>2120.0</v>
      </c>
      <c r="M384" s="3" t="s">
        <v>21</v>
      </c>
      <c r="N384" s="3">
        <v>64.0</v>
      </c>
      <c r="O384" s="3" t="s">
        <v>41</v>
      </c>
      <c r="P384" s="3" t="s">
        <v>23</v>
      </c>
      <c r="Q384" s="6">
        <f t="shared" si="3"/>
        <v>430000</v>
      </c>
    </row>
    <row r="385">
      <c r="A385" s="3">
        <v>65035.0</v>
      </c>
      <c r="B385" s="3" t="s">
        <v>387</v>
      </c>
      <c r="C385" s="3" t="s">
        <v>35</v>
      </c>
      <c r="D385" s="4" t="str">
        <f t="shared" si="1"/>
        <v>Ms.</v>
      </c>
      <c r="E385" s="3" t="str">
        <f t="shared" si="4"/>
        <v>Ms. Inaaya Sharma</v>
      </c>
      <c r="F385" s="3" t="str">
        <f>IFERROR(__xludf.DUMMYFUNCTION("SPLIT(B385,"" "")"),"Inaaya")</f>
        <v>Inaaya</v>
      </c>
      <c r="G385" s="3" t="str">
        <f>IFERROR(__xludf.DUMMYFUNCTION("""COMPUTED_VALUE"""),"Sharma")</f>
        <v>Sharma</v>
      </c>
      <c r="H385" s="3" t="s">
        <v>25</v>
      </c>
      <c r="I385" s="3">
        <v>2025.0</v>
      </c>
      <c r="J385" s="3">
        <f t="shared" si="2"/>
        <v>10000</v>
      </c>
      <c r="K385" s="3" t="s">
        <v>26</v>
      </c>
      <c r="L385" s="3">
        <v>7366.0</v>
      </c>
      <c r="M385" s="3" t="s">
        <v>21</v>
      </c>
      <c r="N385" s="3">
        <v>53.0</v>
      </c>
      <c r="O385" s="3" t="s">
        <v>41</v>
      </c>
      <c r="P385" s="3" t="s">
        <v>28</v>
      </c>
      <c r="Q385" s="6">
        <f t="shared" si="3"/>
        <v>400000</v>
      </c>
    </row>
    <row r="386">
      <c r="A386" s="3">
        <v>65036.0</v>
      </c>
      <c r="B386" s="3" t="s">
        <v>388</v>
      </c>
      <c r="C386" s="3" t="s">
        <v>18</v>
      </c>
      <c r="D386" s="4" t="str">
        <f t="shared" si="1"/>
        <v>Mr.</v>
      </c>
      <c r="E386" s="3" t="str">
        <f t="shared" si="4"/>
        <v>Mr. Reyansh Prasad</v>
      </c>
      <c r="F386" s="3" t="str">
        <f>IFERROR(__xludf.DUMMYFUNCTION("SPLIT(B386,"" "")"),"Reyansh")</f>
        <v>Reyansh</v>
      </c>
      <c r="G386" s="3" t="str">
        <f>IFERROR(__xludf.DUMMYFUNCTION("""COMPUTED_VALUE"""),"Prasad")</f>
        <v>Prasad</v>
      </c>
      <c r="H386" s="3" t="s">
        <v>25</v>
      </c>
      <c r="I386" s="3">
        <v>2028.0</v>
      </c>
      <c r="J386" s="3">
        <f t="shared" si="2"/>
        <v>10000</v>
      </c>
      <c r="K386" s="3" t="s">
        <v>26</v>
      </c>
      <c r="L386" s="3">
        <v>1536.0</v>
      </c>
      <c r="M386" s="3" t="s">
        <v>21</v>
      </c>
      <c r="N386" s="3">
        <v>45.0</v>
      </c>
      <c r="O386" s="3" t="s">
        <v>41</v>
      </c>
      <c r="P386" s="3" t="s">
        <v>31</v>
      </c>
      <c r="Q386" s="6">
        <f t="shared" si="3"/>
        <v>910000</v>
      </c>
    </row>
    <row r="387">
      <c r="A387" s="3">
        <v>65037.0</v>
      </c>
      <c r="B387" s="3" t="s">
        <v>389</v>
      </c>
      <c r="C387" s="3" t="s">
        <v>35</v>
      </c>
      <c r="D387" s="4" t="str">
        <f t="shared" si="1"/>
        <v>Ms.</v>
      </c>
      <c r="E387" s="3" t="str">
        <f t="shared" si="4"/>
        <v>Ms. Saanvi Patel</v>
      </c>
      <c r="F387" s="3" t="str">
        <f>IFERROR(__xludf.DUMMYFUNCTION("SPLIT(B387,"" "")"),"Saanvi")</f>
        <v>Saanvi</v>
      </c>
      <c r="G387" s="3" t="str">
        <f>IFERROR(__xludf.DUMMYFUNCTION("""COMPUTED_VALUE"""),"Patel")</f>
        <v>Patel</v>
      </c>
      <c r="H387" s="3" t="s">
        <v>25</v>
      </c>
      <c r="I387" s="3">
        <v>2022.0</v>
      </c>
      <c r="J387" s="3">
        <f t="shared" si="2"/>
        <v>10000</v>
      </c>
      <c r="K387" s="3" t="s">
        <v>20</v>
      </c>
      <c r="L387" s="3">
        <v>0.0</v>
      </c>
      <c r="M387" s="3" t="s">
        <v>21</v>
      </c>
      <c r="N387" s="3">
        <v>64.0</v>
      </c>
      <c r="O387" s="3" t="s">
        <v>41</v>
      </c>
      <c r="P387" s="3" t="s">
        <v>31</v>
      </c>
      <c r="Q387" s="6">
        <f t="shared" si="3"/>
        <v>910000</v>
      </c>
    </row>
    <row r="388">
      <c r="A388" s="3">
        <v>65038.0</v>
      </c>
      <c r="B388" s="3" t="s">
        <v>390</v>
      </c>
      <c r="C388" s="3" t="s">
        <v>35</v>
      </c>
      <c r="D388" s="4" t="str">
        <f t="shared" si="1"/>
        <v>Ms.</v>
      </c>
      <c r="E388" s="3" t="str">
        <f t="shared" si="4"/>
        <v>Ms. Siya Das</v>
      </c>
      <c r="F388" s="3" t="str">
        <f>IFERROR(__xludf.DUMMYFUNCTION("SPLIT(B388,"" "")"),"Siya")</f>
        <v>Siya</v>
      </c>
      <c r="G388" s="3" t="str">
        <f>IFERROR(__xludf.DUMMYFUNCTION("""COMPUTED_VALUE"""),"Das")</f>
        <v>Das</v>
      </c>
      <c r="H388" s="3" t="s">
        <v>25</v>
      </c>
      <c r="I388" s="3">
        <v>2027.0</v>
      </c>
      <c r="J388" s="3">
        <f t="shared" si="2"/>
        <v>10000</v>
      </c>
      <c r="K388" s="3" t="s">
        <v>20</v>
      </c>
      <c r="L388" s="3">
        <v>0.0</v>
      </c>
      <c r="M388" s="3" t="s">
        <v>21</v>
      </c>
      <c r="N388" s="3">
        <v>75.0</v>
      </c>
      <c r="O388" s="3" t="s">
        <v>41</v>
      </c>
      <c r="P388" s="3" t="s">
        <v>78</v>
      </c>
      <c r="Q388" s="6">
        <f t="shared" si="3"/>
        <v>255000</v>
      </c>
    </row>
    <row r="389">
      <c r="A389" s="3">
        <v>65039.0</v>
      </c>
      <c r="B389" s="3" t="s">
        <v>374</v>
      </c>
      <c r="C389" s="3" t="s">
        <v>35</v>
      </c>
      <c r="D389" s="4" t="str">
        <f t="shared" si="1"/>
        <v>Ms.</v>
      </c>
      <c r="E389" s="3" t="str">
        <f t="shared" si="4"/>
        <v>Ms. Tara Mehta</v>
      </c>
      <c r="F389" s="3" t="str">
        <f>IFERROR(__xludf.DUMMYFUNCTION("SPLIT(B389,"" "")"),"Tara")</f>
        <v>Tara</v>
      </c>
      <c r="G389" s="3" t="str">
        <f>IFERROR(__xludf.DUMMYFUNCTION("""COMPUTED_VALUE"""),"Mehta")</f>
        <v>Mehta</v>
      </c>
      <c r="H389" s="3" t="s">
        <v>25</v>
      </c>
      <c r="I389" s="3">
        <v>2021.0</v>
      </c>
      <c r="J389" s="3">
        <f t="shared" si="2"/>
        <v>10000</v>
      </c>
      <c r="K389" s="3" t="s">
        <v>20</v>
      </c>
      <c r="L389" s="3">
        <v>0.0</v>
      </c>
      <c r="M389" s="3" t="s">
        <v>21</v>
      </c>
      <c r="N389" s="3">
        <f>RANDBETWEEN(0,10)</f>
        <v>10</v>
      </c>
      <c r="O389" s="3" t="s">
        <v>41</v>
      </c>
      <c r="P389" s="3" t="s">
        <v>31</v>
      </c>
      <c r="Q389" s="6">
        <f t="shared" si="3"/>
        <v>910000</v>
      </c>
    </row>
    <row r="390">
      <c r="A390" s="3">
        <v>65040.0</v>
      </c>
      <c r="B390" s="3" t="s">
        <v>391</v>
      </c>
      <c r="C390" s="3" t="s">
        <v>35</v>
      </c>
      <c r="D390" s="4" t="str">
        <f t="shared" si="1"/>
        <v>Ms.</v>
      </c>
      <c r="E390" s="3" t="str">
        <f t="shared" si="4"/>
        <v>Ms. Aaradhya Prasad</v>
      </c>
      <c r="F390" s="3" t="str">
        <f>IFERROR(__xludf.DUMMYFUNCTION("SPLIT(B390,"" "")"),"Aaradhya")</f>
        <v>Aaradhya</v>
      </c>
      <c r="G390" s="3" t="str">
        <f>IFERROR(__xludf.DUMMYFUNCTION("""COMPUTED_VALUE"""),"Prasad")</f>
        <v>Prasad</v>
      </c>
      <c r="H390" s="3" t="s">
        <v>33</v>
      </c>
      <c r="I390" s="3">
        <v>2026.0</v>
      </c>
      <c r="J390" s="3">
        <f t="shared" si="2"/>
        <v>10000</v>
      </c>
      <c r="K390" s="3" t="s">
        <v>20</v>
      </c>
      <c r="L390" s="3">
        <v>0.0</v>
      </c>
      <c r="M390" s="3" t="s">
        <v>21</v>
      </c>
      <c r="N390" s="3">
        <v>56.0</v>
      </c>
      <c r="O390" s="3" t="s">
        <v>41</v>
      </c>
      <c r="P390" s="3" t="s">
        <v>31</v>
      </c>
      <c r="Q390" s="6">
        <f t="shared" si="3"/>
        <v>910000</v>
      </c>
    </row>
    <row r="391">
      <c r="A391" s="3">
        <v>65041.0</v>
      </c>
      <c r="B391" s="3" t="s">
        <v>244</v>
      </c>
      <c r="C391" s="3" t="s">
        <v>18</v>
      </c>
      <c r="D391" s="4" t="str">
        <f t="shared" si="1"/>
        <v>Mr.</v>
      </c>
      <c r="E391" s="3" t="str">
        <f t="shared" si="4"/>
        <v>Mr. Arjun Verma</v>
      </c>
      <c r="F391" s="3" t="str">
        <f>IFERROR(__xludf.DUMMYFUNCTION("SPLIT(B391,"" "")"),"Arjun")</f>
        <v>Arjun</v>
      </c>
      <c r="G391" s="3" t="str">
        <f>IFERROR(__xludf.DUMMYFUNCTION("""COMPUTED_VALUE"""),"Verma")</f>
        <v>Verma</v>
      </c>
      <c r="H391" s="3" t="s">
        <v>46</v>
      </c>
      <c r="I391" s="3">
        <v>2020.0</v>
      </c>
      <c r="J391" s="3">
        <f t="shared" si="2"/>
        <v>5000</v>
      </c>
      <c r="K391" s="3" t="s">
        <v>26</v>
      </c>
      <c r="L391" s="3">
        <v>13021.0</v>
      </c>
      <c r="M391" s="3" t="s">
        <v>21</v>
      </c>
      <c r="N391" s="3">
        <v>60.0</v>
      </c>
      <c r="O391" s="3" t="s">
        <v>41</v>
      </c>
      <c r="P391" s="3" t="s">
        <v>31</v>
      </c>
      <c r="Q391" s="6">
        <f t="shared" si="3"/>
        <v>910000</v>
      </c>
    </row>
    <row r="392">
      <c r="A392" s="3">
        <v>65042.0</v>
      </c>
      <c r="B392" s="3" t="s">
        <v>392</v>
      </c>
      <c r="C392" s="3" t="s">
        <v>18</v>
      </c>
      <c r="D392" s="4" t="str">
        <f t="shared" si="1"/>
        <v>Mr.</v>
      </c>
      <c r="E392" s="3" t="str">
        <f t="shared" si="4"/>
        <v>Mr. Siddharth Verma</v>
      </c>
      <c r="F392" s="3" t="str">
        <f>IFERROR(__xludf.DUMMYFUNCTION("SPLIT(B392,"" "")"),"Siddharth")</f>
        <v>Siddharth</v>
      </c>
      <c r="G392" s="3" t="str">
        <f>IFERROR(__xludf.DUMMYFUNCTION("""COMPUTED_VALUE"""),"Verma")</f>
        <v>Verma</v>
      </c>
      <c r="H392" s="3" t="s">
        <v>46</v>
      </c>
      <c r="I392" s="3">
        <v>2022.0</v>
      </c>
      <c r="J392" s="3">
        <f t="shared" si="2"/>
        <v>5000</v>
      </c>
      <c r="K392" s="3" t="s">
        <v>20</v>
      </c>
      <c r="L392" s="3">
        <v>0.0</v>
      </c>
      <c r="M392" s="3" t="s">
        <v>21</v>
      </c>
      <c r="N392" s="3">
        <v>9.0</v>
      </c>
      <c r="O392" s="3" t="s">
        <v>41</v>
      </c>
      <c r="P392" s="3" t="s">
        <v>23</v>
      </c>
      <c r="Q392" s="6">
        <f t="shared" si="3"/>
        <v>430000</v>
      </c>
    </row>
    <row r="393">
      <c r="A393" s="3">
        <v>65043.0</v>
      </c>
      <c r="B393" s="3" t="s">
        <v>393</v>
      </c>
      <c r="C393" s="3" t="s">
        <v>18</v>
      </c>
      <c r="D393" s="4" t="str">
        <f t="shared" si="1"/>
        <v>Mr.</v>
      </c>
      <c r="E393" s="3" t="str">
        <f t="shared" si="4"/>
        <v>Mr. Rishi Mishra</v>
      </c>
      <c r="F393" s="3" t="str">
        <f>IFERROR(__xludf.DUMMYFUNCTION("SPLIT(B393,"" "")"),"Rishi")</f>
        <v>Rishi</v>
      </c>
      <c r="G393" s="3" t="str">
        <f>IFERROR(__xludf.DUMMYFUNCTION("""COMPUTED_VALUE"""),"Mishra")</f>
        <v>Mishra</v>
      </c>
      <c r="H393" s="3" t="s">
        <v>25</v>
      </c>
      <c r="I393" s="3">
        <v>2029.0</v>
      </c>
      <c r="J393" s="3">
        <f t="shared" si="2"/>
        <v>10000</v>
      </c>
      <c r="K393" s="3" t="s">
        <v>20</v>
      </c>
      <c r="L393" s="3">
        <v>0.0</v>
      </c>
      <c r="M393" s="3" t="s">
        <v>21</v>
      </c>
      <c r="N393" s="3">
        <f>RANDBETWEEN(0,10)</f>
        <v>9</v>
      </c>
      <c r="O393" s="3" t="s">
        <v>41</v>
      </c>
      <c r="P393" s="3" t="s">
        <v>28</v>
      </c>
      <c r="Q393" s="6">
        <f t="shared" si="3"/>
        <v>400000</v>
      </c>
    </row>
    <row r="394">
      <c r="A394" s="3">
        <v>65044.0</v>
      </c>
      <c r="B394" s="3" t="s">
        <v>62</v>
      </c>
      <c r="C394" s="3" t="s">
        <v>35</v>
      </c>
      <c r="D394" s="4" t="str">
        <f t="shared" si="1"/>
        <v>Ms.</v>
      </c>
      <c r="E394" s="3" t="str">
        <f t="shared" si="4"/>
        <v>Ms. Anvi Verma</v>
      </c>
      <c r="F394" s="3" t="str">
        <f>IFERROR(__xludf.DUMMYFUNCTION("SPLIT(B394,"" "")"),"Anvi")</f>
        <v>Anvi</v>
      </c>
      <c r="G394" s="3" t="str">
        <f>IFERROR(__xludf.DUMMYFUNCTION("""COMPUTED_VALUE"""),"Verma")</f>
        <v>Verma</v>
      </c>
      <c r="H394" s="3" t="s">
        <v>46</v>
      </c>
      <c r="I394" s="3">
        <v>2027.0</v>
      </c>
      <c r="J394" s="3">
        <f t="shared" si="2"/>
        <v>5000</v>
      </c>
      <c r="K394" s="3" t="s">
        <v>20</v>
      </c>
      <c r="L394" s="3">
        <v>0.0</v>
      </c>
      <c r="M394" s="3" t="s">
        <v>21</v>
      </c>
      <c r="N394" s="3">
        <v>77.0</v>
      </c>
      <c r="O394" s="3" t="s">
        <v>41</v>
      </c>
      <c r="P394" s="3" t="s">
        <v>23</v>
      </c>
      <c r="Q394" s="6">
        <f t="shared" si="3"/>
        <v>430000</v>
      </c>
    </row>
    <row r="395">
      <c r="A395" s="3">
        <v>65045.0</v>
      </c>
      <c r="B395" s="3" t="s">
        <v>394</v>
      </c>
      <c r="C395" s="3" t="s">
        <v>18</v>
      </c>
      <c r="D395" s="4" t="str">
        <f t="shared" si="1"/>
        <v>Mr.</v>
      </c>
      <c r="E395" s="3" t="str">
        <f t="shared" si="4"/>
        <v>Mr. Krishna Sharma</v>
      </c>
      <c r="F395" s="3" t="str">
        <f>IFERROR(__xludf.DUMMYFUNCTION("SPLIT(B395,"" "")"),"Krishna")</f>
        <v>Krishna</v>
      </c>
      <c r="G395" s="3" t="str">
        <f>IFERROR(__xludf.DUMMYFUNCTION("""COMPUTED_VALUE"""),"Sharma")</f>
        <v>Sharma</v>
      </c>
      <c r="H395" s="3" t="s">
        <v>25</v>
      </c>
      <c r="I395" s="3">
        <v>2024.0</v>
      </c>
      <c r="J395" s="3">
        <f t="shared" si="2"/>
        <v>10000</v>
      </c>
      <c r="K395" s="3" t="s">
        <v>20</v>
      </c>
      <c r="L395" s="3">
        <v>0.0</v>
      </c>
      <c r="M395" s="3" t="s">
        <v>21</v>
      </c>
      <c r="N395" s="3">
        <v>40.0</v>
      </c>
      <c r="O395" s="3" t="s">
        <v>41</v>
      </c>
      <c r="P395" s="3" t="s">
        <v>31</v>
      </c>
      <c r="Q395" s="6">
        <f t="shared" si="3"/>
        <v>910000</v>
      </c>
    </row>
    <row r="396">
      <c r="A396" s="3">
        <v>65046.0</v>
      </c>
      <c r="B396" s="3" t="s">
        <v>395</v>
      </c>
      <c r="C396" s="3" t="s">
        <v>18</v>
      </c>
      <c r="D396" s="4" t="str">
        <f t="shared" si="1"/>
        <v>Mr.</v>
      </c>
      <c r="E396" s="3" t="str">
        <f t="shared" si="4"/>
        <v>Mr. Rudra Jain</v>
      </c>
      <c r="F396" s="3" t="str">
        <f>IFERROR(__xludf.DUMMYFUNCTION("SPLIT(B396,"" "")"),"Rudra")</f>
        <v>Rudra</v>
      </c>
      <c r="G396" s="3" t="str">
        <f>IFERROR(__xludf.DUMMYFUNCTION("""COMPUTED_VALUE"""),"Jain")</f>
        <v>Jain</v>
      </c>
      <c r="H396" s="3" t="s">
        <v>46</v>
      </c>
      <c r="I396" s="3">
        <v>2024.0</v>
      </c>
      <c r="J396" s="3">
        <f t="shared" si="2"/>
        <v>5000</v>
      </c>
      <c r="K396" s="3" t="s">
        <v>20</v>
      </c>
      <c r="L396" s="3">
        <v>25.0</v>
      </c>
      <c r="M396" s="3" t="s">
        <v>21</v>
      </c>
      <c r="N396" s="3">
        <v>25.0</v>
      </c>
      <c r="O396" s="3" t="s">
        <v>41</v>
      </c>
      <c r="P396" s="3" t="s">
        <v>78</v>
      </c>
      <c r="Q396" s="6">
        <f t="shared" si="3"/>
        <v>255000</v>
      </c>
    </row>
    <row r="397">
      <c r="A397" s="3">
        <v>65047.0</v>
      </c>
      <c r="B397" s="3" t="s">
        <v>396</v>
      </c>
      <c r="C397" s="3" t="s">
        <v>35</v>
      </c>
      <c r="D397" s="4" t="str">
        <f t="shared" si="1"/>
        <v>Ms.</v>
      </c>
      <c r="E397" s="3" t="str">
        <f t="shared" si="4"/>
        <v>Ms. Charvi Kapoor</v>
      </c>
      <c r="F397" s="3" t="str">
        <f>IFERROR(__xludf.DUMMYFUNCTION("SPLIT(B397,"" "")"),"Charvi")</f>
        <v>Charvi</v>
      </c>
      <c r="G397" s="3" t="str">
        <f>IFERROR(__xludf.DUMMYFUNCTION("""COMPUTED_VALUE"""),"Kapoor")</f>
        <v>Kapoor</v>
      </c>
      <c r="H397" s="3" t="s">
        <v>33</v>
      </c>
      <c r="I397" s="3">
        <v>2024.0</v>
      </c>
      <c r="J397" s="3">
        <f t="shared" si="2"/>
        <v>10000</v>
      </c>
      <c r="K397" s="3" t="s">
        <v>26</v>
      </c>
      <c r="L397" s="3">
        <v>826.0</v>
      </c>
      <c r="M397" s="3" t="s">
        <v>21</v>
      </c>
      <c r="N397" s="3">
        <f>RANDBETWEEN(0,10)</f>
        <v>8</v>
      </c>
      <c r="O397" s="3" t="s">
        <v>41</v>
      </c>
      <c r="P397" s="3" t="s">
        <v>23</v>
      </c>
      <c r="Q397" s="6">
        <f t="shared" si="3"/>
        <v>430000</v>
      </c>
    </row>
    <row r="398">
      <c r="A398" s="3">
        <v>65048.0</v>
      </c>
      <c r="B398" s="3" t="s">
        <v>397</v>
      </c>
      <c r="C398" s="3" t="s">
        <v>18</v>
      </c>
      <c r="D398" s="4" t="str">
        <f t="shared" si="1"/>
        <v>Mr.</v>
      </c>
      <c r="E398" s="3" t="str">
        <f t="shared" si="4"/>
        <v>Mr. Ishaan Mehta</v>
      </c>
      <c r="F398" s="3" t="str">
        <f>IFERROR(__xludf.DUMMYFUNCTION("SPLIT(B398,"" "")"),"Ishaan")</f>
        <v>Ishaan</v>
      </c>
      <c r="G398" s="3" t="str">
        <f>IFERROR(__xludf.DUMMYFUNCTION("""COMPUTED_VALUE"""),"Mehta")</f>
        <v>Mehta</v>
      </c>
      <c r="H398" s="3" t="s">
        <v>33</v>
      </c>
      <c r="I398" s="3">
        <v>2024.0</v>
      </c>
      <c r="J398" s="3">
        <f t="shared" si="2"/>
        <v>10000</v>
      </c>
      <c r="K398" s="3" t="s">
        <v>20</v>
      </c>
      <c r="L398" s="3">
        <v>0.0</v>
      </c>
      <c r="M398" s="3" t="s">
        <v>21</v>
      </c>
      <c r="N398" s="3">
        <v>57.0</v>
      </c>
      <c r="O398" s="3" t="s">
        <v>41</v>
      </c>
      <c r="P398" s="3" t="s">
        <v>78</v>
      </c>
      <c r="Q398" s="6">
        <f t="shared" si="3"/>
        <v>255000</v>
      </c>
    </row>
    <row r="399">
      <c r="A399" s="3">
        <v>65049.0</v>
      </c>
      <c r="B399" s="3" t="s">
        <v>398</v>
      </c>
      <c r="C399" s="3" t="s">
        <v>18</v>
      </c>
      <c r="D399" s="4" t="str">
        <f t="shared" si="1"/>
        <v>Mr.</v>
      </c>
      <c r="E399" s="3" t="str">
        <f t="shared" si="4"/>
        <v>Mr. Ishaan Bhat</v>
      </c>
      <c r="F399" s="3" t="str">
        <f>IFERROR(__xludf.DUMMYFUNCTION("SPLIT(B399,"" "")"),"Ishaan")</f>
        <v>Ishaan</v>
      </c>
      <c r="G399" s="3" t="str">
        <f>IFERROR(__xludf.DUMMYFUNCTION("""COMPUTED_VALUE"""),"Bhat")</f>
        <v>Bhat</v>
      </c>
      <c r="H399" s="3" t="s">
        <v>19</v>
      </c>
      <c r="I399" s="3">
        <v>2025.0</v>
      </c>
      <c r="J399" s="3">
        <f t="shared" si="2"/>
        <v>5000</v>
      </c>
      <c r="K399" s="3" t="s">
        <v>20</v>
      </c>
      <c r="L399" s="3">
        <v>275.0</v>
      </c>
      <c r="M399" s="3" t="s">
        <v>21</v>
      </c>
      <c r="N399" s="3">
        <f>RANDBETWEEN(0,10)</f>
        <v>9</v>
      </c>
      <c r="O399" s="3" t="s">
        <v>22</v>
      </c>
      <c r="P399" s="3" t="s">
        <v>78</v>
      </c>
      <c r="Q399" s="6">
        <f t="shared" si="3"/>
        <v>255000</v>
      </c>
    </row>
    <row r="400">
      <c r="A400" s="3">
        <v>65050.0</v>
      </c>
      <c r="B400" s="3" t="s">
        <v>399</v>
      </c>
      <c r="C400" s="3" t="s">
        <v>35</v>
      </c>
      <c r="D400" s="4" t="str">
        <f t="shared" si="1"/>
        <v>Ms.</v>
      </c>
      <c r="E400" s="3" t="str">
        <f t="shared" si="4"/>
        <v>Ms. Myra Chowdhury</v>
      </c>
      <c r="F400" s="3" t="str">
        <f>IFERROR(__xludf.DUMMYFUNCTION("SPLIT(B400,"" "")"),"Myra")</f>
        <v>Myra</v>
      </c>
      <c r="G400" s="3" t="str">
        <f>IFERROR(__xludf.DUMMYFUNCTION("""COMPUTED_VALUE"""),"Chowdhury")</f>
        <v>Chowdhury</v>
      </c>
      <c r="H400" s="3" t="s">
        <v>25</v>
      </c>
      <c r="I400" s="3">
        <v>2028.0</v>
      </c>
      <c r="J400" s="3">
        <f t="shared" si="2"/>
        <v>10000</v>
      </c>
      <c r="K400" s="3" t="s">
        <v>26</v>
      </c>
      <c r="L400" s="3">
        <v>5630.0</v>
      </c>
      <c r="M400" s="3" t="s">
        <v>21</v>
      </c>
      <c r="N400" s="3">
        <v>75.0</v>
      </c>
      <c r="O400" s="3" t="s">
        <v>41</v>
      </c>
      <c r="P400" s="3" t="s">
        <v>38</v>
      </c>
      <c r="Q400" s="6">
        <f t="shared" si="3"/>
        <v>635000</v>
      </c>
    </row>
    <row r="401">
      <c r="A401" s="3">
        <v>65051.0</v>
      </c>
      <c r="B401" s="3" t="s">
        <v>400</v>
      </c>
      <c r="C401" s="3" t="s">
        <v>35</v>
      </c>
      <c r="D401" s="4" t="str">
        <f t="shared" si="1"/>
        <v>Ms.</v>
      </c>
      <c r="E401" s="3" t="str">
        <f t="shared" si="4"/>
        <v>Ms. Tara Naidu</v>
      </c>
      <c r="F401" s="3" t="str">
        <f>IFERROR(__xludf.DUMMYFUNCTION("SPLIT(B401,"" "")"),"Tara")</f>
        <v>Tara</v>
      </c>
      <c r="G401" s="3" t="str">
        <f>IFERROR(__xludf.DUMMYFUNCTION("""COMPUTED_VALUE"""),"Naidu")</f>
        <v>Naidu</v>
      </c>
      <c r="H401" s="3" t="s">
        <v>25</v>
      </c>
      <c r="I401" s="3">
        <v>2014.0</v>
      </c>
      <c r="J401" s="3">
        <f t="shared" si="2"/>
        <v>10000</v>
      </c>
      <c r="K401" s="3" t="s">
        <v>26</v>
      </c>
      <c r="L401" s="3">
        <v>664.0</v>
      </c>
      <c r="M401" s="3" t="s">
        <v>30</v>
      </c>
      <c r="N401" s="3">
        <v>6.0</v>
      </c>
      <c r="O401" s="3" t="s">
        <v>41</v>
      </c>
      <c r="P401" s="3" t="s">
        <v>31</v>
      </c>
      <c r="Q401" s="6">
        <f t="shared" si="3"/>
        <v>910000</v>
      </c>
    </row>
    <row r="402">
      <c r="A402" s="3">
        <v>65052.0</v>
      </c>
      <c r="B402" s="3" t="s">
        <v>401</v>
      </c>
      <c r="C402" s="3" t="s">
        <v>18</v>
      </c>
      <c r="D402" s="4" t="str">
        <f t="shared" si="1"/>
        <v>Mr.</v>
      </c>
      <c r="E402" s="3" t="str">
        <f t="shared" si="4"/>
        <v>Mr. Kian Chopra</v>
      </c>
      <c r="F402" s="3" t="str">
        <f>IFERROR(__xludf.DUMMYFUNCTION("SPLIT(B402,"" "")"),"Kian")</f>
        <v>Kian</v>
      </c>
      <c r="G402" s="3" t="str">
        <f>IFERROR(__xludf.DUMMYFUNCTION("""COMPUTED_VALUE"""),"Chopra")</f>
        <v>Chopra</v>
      </c>
      <c r="H402" s="3" t="s">
        <v>19</v>
      </c>
      <c r="I402" s="3">
        <v>2018.0</v>
      </c>
      <c r="J402" s="3">
        <f t="shared" si="2"/>
        <v>5000</v>
      </c>
      <c r="K402" s="3" t="s">
        <v>26</v>
      </c>
      <c r="L402" s="3">
        <v>14088.0</v>
      </c>
      <c r="M402" s="3" t="s">
        <v>30</v>
      </c>
      <c r="N402" s="3">
        <f t="shared" ref="N402:N403" si="24">RANDBETWEEN(0,10)</f>
        <v>3</v>
      </c>
      <c r="O402" s="3" t="s">
        <v>22</v>
      </c>
      <c r="P402" s="3" t="s">
        <v>78</v>
      </c>
      <c r="Q402" s="6">
        <f t="shared" si="3"/>
        <v>255000</v>
      </c>
    </row>
    <row r="403">
      <c r="A403" s="3">
        <v>65055.0</v>
      </c>
      <c r="B403" s="3" t="s">
        <v>402</v>
      </c>
      <c r="C403" s="3" t="s">
        <v>35</v>
      </c>
      <c r="D403" s="4" t="str">
        <f t="shared" si="1"/>
        <v>Ms.</v>
      </c>
      <c r="E403" s="3" t="str">
        <f t="shared" si="4"/>
        <v>Ms. Anvi Gupta</v>
      </c>
      <c r="F403" s="3" t="str">
        <f>IFERROR(__xludf.DUMMYFUNCTION("SPLIT(B403,"" "")"),"Anvi")</f>
        <v>Anvi</v>
      </c>
      <c r="G403" s="3" t="str">
        <f>IFERROR(__xludf.DUMMYFUNCTION("""COMPUTED_VALUE"""),"Gupta")</f>
        <v>Gupta</v>
      </c>
      <c r="H403" s="3" t="s">
        <v>25</v>
      </c>
      <c r="I403" s="3">
        <v>2025.0</v>
      </c>
      <c r="J403" s="3">
        <f t="shared" si="2"/>
        <v>10000</v>
      </c>
      <c r="K403" s="3" t="s">
        <v>20</v>
      </c>
      <c r="L403" s="3">
        <v>0.0</v>
      </c>
      <c r="M403" s="3" t="s">
        <v>21</v>
      </c>
      <c r="N403" s="3">
        <f t="shared" si="24"/>
        <v>2</v>
      </c>
      <c r="O403" s="3" t="s">
        <v>41</v>
      </c>
      <c r="P403" s="3" t="s">
        <v>28</v>
      </c>
      <c r="Q403" s="6">
        <f t="shared" si="3"/>
        <v>400000</v>
      </c>
    </row>
    <row r="404">
      <c r="A404" s="3">
        <v>65056.0</v>
      </c>
      <c r="B404" s="3" t="s">
        <v>403</v>
      </c>
      <c r="C404" s="3" t="s">
        <v>35</v>
      </c>
      <c r="D404" s="4" t="str">
        <f t="shared" si="1"/>
        <v>Ms.</v>
      </c>
      <c r="E404" s="3" t="str">
        <f t="shared" si="4"/>
        <v>Ms. Mishka Bhatt</v>
      </c>
      <c r="F404" s="3" t="str">
        <f>IFERROR(__xludf.DUMMYFUNCTION("SPLIT(B404,"" "")"),"Mishka")</f>
        <v>Mishka</v>
      </c>
      <c r="G404" s="3" t="str">
        <f>IFERROR(__xludf.DUMMYFUNCTION("""COMPUTED_VALUE"""),"Bhatt")</f>
        <v>Bhatt</v>
      </c>
      <c r="H404" s="3" t="s">
        <v>33</v>
      </c>
      <c r="I404" s="3">
        <v>2024.0</v>
      </c>
      <c r="J404" s="3">
        <f t="shared" si="2"/>
        <v>10000</v>
      </c>
      <c r="K404" s="3" t="s">
        <v>20</v>
      </c>
      <c r="L404" s="3">
        <v>0.0</v>
      </c>
      <c r="M404" s="3" t="s">
        <v>21</v>
      </c>
      <c r="N404" s="3">
        <v>54.0</v>
      </c>
      <c r="O404" s="3" t="s">
        <v>22</v>
      </c>
      <c r="P404" s="3" t="s">
        <v>38</v>
      </c>
      <c r="Q404" s="6">
        <f t="shared" si="3"/>
        <v>635000</v>
      </c>
    </row>
    <row r="405">
      <c r="A405" s="3">
        <v>65057.0</v>
      </c>
      <c r="B405" s="3" t="s">
        <v>404</v>
      </c>
      <c r="C405" s="3" t="s">
        <v>18</v>
      </c>
      <c r="D405" s="4" t="str">
        <f t="shared" si="1"/>
        <v>Mr.</v>
      </c>
      <c r="E405" s="3" t="str">
        <f t="shared" si="4"/>
        <v>Mr. Parth Chopra</v>
      </c>
      <c r="F405" s="3" t="str">
        <f>IFERROR(__xludf.DUMMYFUNCTION("SPLIT(B405,"" "")"),"Parth")</f>
        <v>Parth</v>
      </c>
      <c r="G405" s="3" t="str">
        <f>IFERROR(__xludf.DUMMYFUNCTION("""COMPUTED_VALUE"""),"Chopra")</f>
        <v>Chopra</v>
      </c>
      <c r="H405" s="3" t="s">
        <v>46</v>
      </c>
      <c r="I405" s="3">
        <v>2024.0</v>
      </c>
      <c r="J405" s="3">
        <f t="shared" si="2"/>
        <v>5000</v>
      </c>
      <c r="K405" s="3" t="s">
        <v>20</v>
      </c>
      <c r="L405" s="3">
        <v>0.0</v>
      </c>
      <c r="M405" s="3" t="s">
        <v>21</v>
      </c>
      <c r="N405" s="3">
        <v>67.0</v>
      </c>
      <c r="O405" s="3" t="s">
        <v>41</v>
      </c>
      <c r="P405" s="3" t="s">
        <v>78</v>
      </c>
      <c r="Q405" s="6">
        <f t="shared" si="3"/>
        <v>255000</v>
      </c>
    </row>
    <row r="406">
      <c r="A406" s="3">
        <v>65058.0</v>
      </c>
      <c r="B406" s="3" t="s">
        <v>405</v>
      </c>
      <c r="C406" s="3" t="s">
        <v>35</v>
      </c>
      <c r="D406" s="4" t="str">
        <f t="shared" si="1"/>
        <v>Ms.</v>
      </c>
      <c r="E406" s="3" t="str">
        <f t="shared" si="4"/>
        <v>Ms. Lavanya Jain</v>
      </c>
      <c r="F406" s="3" t="str">
        <f>IFERROR(__xludf.DUMMYFUNCTION("SPLIT(B406,"" "")"),"Lavanya")</f>
        <v>Lavanya</v>
      </c>
      <c r="G406" s="3" t="str">
        <f>IFERROR(__xludf.DUMMYFUNCTION("""COMPUTED_VALUE"""),"Jain")</f>
        <v>Jain</v>
      </c>
      <c r="H406" s="3" t="s">
        <v>19</v>
      </c>
      <c r="I406" s="3">
        <v>2026.0</v>
      </c>
      <c r="J406" s="3">
        <f t="shared" si="2"/>
        <v>5000</v>
      </c>
      <c r="K406" s="3" t="s">
        <v>26</v>
      </c>
      <c r="L406" s="3">
        <v>812.0</v>
      </c>
      <c r="M406" s="3" t="s">
        <v>21</v>
      </c>
      <c r="N406" s="3">
        <v>69.0</v>
      </c>
      <c r="O406" s="3" t="s">
        <v>41</v>
      </c>
      <c r="P406" s="3" t="s">
        <v>31</v>
      </c>
      <c r="Q406" s="6">
        <f t="shared" si="3"/>
        <v>910000</v>
      </c>
    </row>
    <row r="407">
      <c r="A407" s="3">
        <v>65061.0</v>
      </c>
      <c r="B407" s="3" t="s">
        <v>406</v>
      </c>
      <c r="C407" s="3" t="s">
        <v>18</v>
      </c>
      <c r="D407" s="4" t="str">
        <f t="shared" si="1"/>
        <v>Mr.</v>
      </c>
      <c r="E407" s="3" t="str">
        <f t="shared" si="4"/>
        <v>Mr. Rishi Joshi</v>
      </c>
      <c r="F407" s="3" t="str">
        <f>IFERROR(__xludf.DUMMYFUNCTION("SPLIT(B407,"" "")"),"Rishi")</f>
        <v>Rishi</v>
      </c>
      <c r="G407" s="3" t="str">
        <f>IFERROR(__xludf.DUMMYFUNCTION("""COMPUTED_VALUE"""),"Joshi")</f>
        <v>Joshi</v>
      </c>
      <c r="H407" s="3" t="s">
        <v>19</v>
      </c>
      <c r="I407" s="3">
        <v>2024.0</v>
      </c>
      <c r="J407" s="3">
        <f t="shared" si="2"/>
        <v>5000</v>
      </c>
      <c r="K407" s="3" t="s">
        <v>20</v>
      </c>
      <c r="L407" s="3">
        <v>168.0</v>
      </c>
      <c r="M407" s="3" t="s">
        <v>30</v>
      </c>
      <c r="N407" s="3">
        <v>68.0</v>
      </c>
      <c r="O407" s="3" t="s">
        <v>22</v>
      </c>
      <c r="P407" s="3" t="s">
        <v>23</v>
      </c>
      <c r="Q407" s="6">
        <f t="shared" si="3"/>
        <v>430000</v>
      </c>
    </row>
    <row r="408">
      <c r="A408" s="3">
        <v>65062.0</v>
      </c>
      <c r="B408" s="3" t="s">
        <v>407</v>
      </c>
      <c r="C408" s="3" t="s">
        <v>18</v>
      </c>
      <c r="D408" s="4" t="str">
        <f t="shared" si="1"/>
        <v>Mr.</v>
      </c>
      <c r="E408" s="3" t="str">
        <f t="shared" si="4"/>
        <v>Mr. Dev Sinha</v>
      </c>
      <c r="F408" s="3" t="str">
        <f>IFERROR(__xludf.DUMMYFUNCTION("SPLIT(B408,"" "")"),"Dev")</f>
        <v>Dev</v>
      </c>
      <c r="G408" s="3" t="str">
        <f>IFERROR(__xludf.DUMMYFUNCTION("""COMPUTED_VALUE"""),"Sinha")</f>
        <v>Sinha</v>
      </c>
      <c r="H408" s="3" t="s">
        <v>25</v>
      </c>
      <c r="I408" s="3">
        <v>2026.0</v>
      </c>
      <c r="J408" s="3">
        <f t="shared" si="2"/>
        <v>10000</v>
      </c>
      <c r="K408" s="3" t="s">
        <v>20</v>
      </c>
      <c r="L408" s="3">
        <v>0.0</v>
      </c>
      <c r="M408" s="3" t="s">
        <v>21</v>
      </c>
      <c r="N408" s="3">
        <v>64.0</v>
      </c>
      <c r="O408" s="3" t="s">
        <v>41</v>
      </c>
      <c r="P408" s="3" t="s">
        <v>28</v>
      </c>
      <c r="Q408" s="6">
        <f t="shared" si="3"/>
        <v>400000</v>
      </c>
    </row>
    <row r="409">
      <c r="A409" s="3">
        <v>65063.0</v>
      </c>
      <c r="B409" s="3" t="s">
        <v>408</v>
      </c>
      <c r="C409" s="3" t="s">
        <v>35</v>
      </c>
      <c r="D409" s="4" t="str">
        <f t="shared" si="1"/>
        <v>Ms.</v>
      </c>
      <c r="E409" s="3" t="str">
        <f t="shared" si="4"/>
        <v>Ms. Diya Kulkarni</v>
      </c>
      <c r="F409" s="3" t="str">
        <f>IFERROR(__xludf.DUMMYFUNCTION("SPLIT(B409,"" "")"),"Diya")</f>
        <v>Diya</v>
      </c>
      <c r="G409" s="3" t="str">
        <f>IFERROR(__xludf.DUMMYFUNCTION("""COMPUTED_VALUE"""),"Kulkarni")</f>
        <v>Kulkarni</v>
      </c>
      <c r="H409" s="3" t="s">
        <v>19</v>
      </c>
      <c r="I409" s="3">
        <v>2024.0</v>
      </c>
      <c r="J409" s="3">
        <f t="shared" si="2"/>
        <v>5000</v>
      </c>
      <c r="K409" s="3" t="s">
        <v>26</v>
      </c>
      <c r="L409" s="10">
        <v>4127.0</v>
      </c>
      <c r="M409" s="3" t="s">
        <v>21</v>
      </c>
      <c r="N409" s="3">
        <v>50.0</v>
      </c>
      <c r="O409" s="3" t="s">
        <v>22</v>
      </c>
      <c r="P409" s="3" t="s">
        <v>31</v>
      </c>
      <c r="Q409" s="6">
        <f t="shared" si="3"/>
        <v>910000</v>
      </c>
    </row>
    <row r="410">
      <c r="A410" s="3">
        <v>65064.0</v>
      </c>
      <c r="B410" s="3" t="s">
        <v>156</v>
      </c>
      <c r="C410" s="3" t="s">
        <v>18</v>
      </c>
      <c r="D410" s="4" t="str">
        <f t="shared" si="1"/>
        <v>Mr.</v>
      </c>
      <c r="E410" s="3" t="str">
        <f t="shared" si="4"/>
        <v>Mr. Arnav Malik</v>
      </c>
      <c r="F410" s="3" t="str">
        <f>IFERROR(__xludf.DUMMYFUNCTION("SPLIT(B410,"" "")"),"Arnav")</f>
        <v>Arnav</v>
      </c>
      <c r="G410" s="3" t="str">
        <f>IFERROR(__xludf.DUMMYFUNCTION("""COMPUTED_VALUE"""),"Malik")</f>
        <v>Malik</v>
      </c>
      <c r="H410" s="3" t="s">
        <v>46</v>
      </c>
      <c r="I410" s="3">
        <v>2024.0</v>
      </c>
      <c r="J410" s="3">
        <f t="shared" si="2"/>
        <v>5000</v>
      </c>
      <c r="K410" s="3" t="s">
        <v>20</v>
      </c>
      <c r="L410" s="3">
        <v>0.0</v>
      </c>
      <c r="M410" s="3" t="s">
        <v>21</v>
      </c>
      <c r="N410" s="3">
        <v>11.0</v>
      </c>
      <c r="O410" s="3" t="s">
        <v>41</v>
      </c>
      <c r="P410" s="3" t="s">
        <v>28</v>
      </c>
      <c r="Q410" s="6">
        <f t="shared" si="3"/>
        <v>400000</v>
      </c>
    </row>
    <row r="411">
      <c r="A411" s="3">
        <v>65065.0</v>
      </c>
      <c r="B411" s="3" t="s">
        <v>409</v>
      </c>
      <c r="C411" s="3" t="s">
        <v>35</v>
      </c>
      <c r="D411" s="4" t="str">
        <f t="shared" si="1"/>
        <v>Ms.</v>
      </c>
      <c r="E411" s="3" t="str">
        <f t="shared" si="4"/>
        <v>Ms. Anaya Agarwal</v>
      </c>
      <c r="F411" s="3" t="str">
        <f>IFERROR(__xludf.DUMMYFUNCTION("SPLIT(B411,"" "")"),"Anaya")</f>
        <v>Anaya</v>
      </c>
      <c r="G411" s="3" t="str">
        <f>IFERROR(__xludf.DUMMYFUNCTION("""COMPUTED_VALUE"""),"Agarwal")</f>
        <v>Agarwal</v>
      </c>
      <c r="H411" s="3" t="s">
        <v>19</v>
      </c>
      <c r="I411" s="3">
        <v>2026.0</v>
      </c>
      <c r="J411" s="3">
        <f t="shared" si="2"/>
        <v>5000</v>
      </c>
      <c r="K411" s="3" t="s">
        <v>20</v>
      </c>
      <c r="L411" s="3">
        <v>0.0</v>
      </c>
      <c r="M411" s="3" t="s">
        <v>21</v>
      </c>
      <c r="N411" s="3">
        <f>RANDBETWEEN(0,10)</f>
        <v>7</v>
      </c>
      <c r="O411" s="3" t="s">
        <v>41</v>
      </c>
      <c r="P411" s="3" t="s">
        <v>31</v>
      </c>
      <c r="Q411" s="6">
        <f t="shared" si="3"/>
        <v>910000</v>
      </c>
    </row>
    <row r="412">
      <c r="A412" s="3">
        <v>65066.0</v>
      </c>
      <c r="B412" s="3" t="s">
        <v>410</v>
      </c>
      <c r="C412" s="3" t="s">
        <v>35</v>
      </c>
      <c r="D412" s="4" t="str">
        <f t="shared" si="1"/>
        <v>Ms.</v>
      </c>
      <c r="E412" s="3" t="str">
        <f t="shared" si="4"/>
        <v>Ms. Kashvi Iyer</v>
      </c>
      <c r="F412" s="3" t="str">
        <f>IFERROR(__xludf.DUMMYFUNCTION("SPLIT(B412,"" "")"),"Kashvi")</f>
        <v>Kashvi</v>
      </c>
      <c r="G412" s="3" t="str">
        <f>IFERROR(__xludf.DUMMYFUNCTION("""COMPUTED_VALUE"""),"Iyer")</f>
        <v>Iyer</v>
      </c>
      <c r="H412" s="3" t="s">
        <v>25</v>
      </c>
      <c r="I412" s="3">
        <v>2027.0</v>
      </c>
      <c r="J412" s="3">
        <f t="shared" si="2"/>
        <v>10000</v>
      </c>
      <c r="K412" s="3" t="s">
        <v>26</v>
      </c>
      <c r="L412" s="10">
        <v>1548.0</v>
      </c>
      <c r="M412" s="3" t="s">
        <v>21</v>
      </c>
      <c r="N412" s="3">
        <v>23.0</v>
      </c>
      <c r="O412" s="3" t="s">
        <v>41</v>
      </c>
      <c r="P412" s="3" t="s">
        <v>31</v>
      </c>
      <c r="Q412" s="6">
        <f t="shared" si="3"/>
        <v>910000</v>
      </c>
    </row>
    <row r="413">
      <c r="A413" s="3">
        <v>65067.0</v>
      </c>
      <c r="B413" s="3" t="s">
        <v>411</v>
      </c>
      <c r="C413" s="3" t="s">
        <v>18</v>
      </c>
      <c r="D413" s="4" t="str">
        <f t="shared" si="1"/>
        <v>Mr.</v>
      </c>
      <c r="E413" s="3" t="str">
        <f t="shared" si="4"/>
        <v>Mr. Ishaan Joshi</v>
      </c>
      <c r="F413" s="3" t="str">
        <f>IFERROR(__xludf.DUMMYFUNCTION("SPLIT(B413,"" "")"),"Ishaan")</f>
        <v>Ishaan</v>
      </c>
      <c r="G413" s="3" t="str">
        <f>IFERROR(__xludf.DUMMYFUNCTION("""COMPUTED_VALUE"""),"Joshi")</f>
        <v>Joshi</v>
      </c>
      <c r="H413" s="3" t="s">
        <v>33</v>
      </c>
      <c r="I413" s="3">
        <v>2028.0</v>
      </c>
      <c r="J413" s="3">
        <f t="shared" si="2"/>
        <v>10000</v>
      </c>
      <c r="K413" s="3" t="s">
        <v>20</v>
      </c>
      <c r="L413" s="3">
        <v>0.0</v>
      </c>
      <c r="M413" s="3" t="s">
        <v>21</v>
      </c>
      <c r="N413" s="3">
        <v>24.0</v>
      </c>
      <c r="O413" s="3" t="s">
        <v>41</v>
      </c>
      <c r="P413" s="3" t="s">
        <v>31</v>
      </c>
      <c r="Q413" s="6">
        <f t="shared" si="3"/>
        <v>910000</v>
      </c>
    </row>
    <row r="414">
      <c r="A414" s="3">
        <v>65068.0</v>
      </c>
      <c r="B414" s="3" t="s">
        <v>296</v>
      </c>
      <c r="C414" s="3" t="s">
        <v>18</v>
      </c>
      <c r="D414" s="4" t="str">
        <f t="shared" si="1"/>
        <v>Mr.</v>
      </c>
      <c r="E414" s="3" t="str">
        <f t="shared" si="4"/>
        <v>Mr. Shaurya Singh</v>
      </c>
      <c r="F414" s="3" t="str">
        <f>IFERROR(__xludf.DUMMYFUNCTION("SPLIT(B414,"" "")"),"Shaurya")</f>
        <v>Shaurya</v>
      </c>
      <c r="G414" s="3" t="str">
        <f>IFERROR(__xludf.DUMMYFUNCTION("""COMPUTED_VALUE"""),"Singh")</f>
        <v>Singh</v>
      </c>
      <c r="H414" s="3" t="s">
        <v>33</v>
      </c>
      <c r="I414" s="3">
        <v>2027.0</v>
      </c>
      <c r="J414" s="3">
        <f t="shared" si="2"/>
        <v>10000</v>
      </c>
      <c r="K414" s="3" t="s">
        <v>20</v>
      </c>
      <c r="L414" s="3">
        <v>0.0</v>
      </c>
      <c r="M414" s="3" t="s">
        <v>21</v>
      </c>
      <c r="N414" s="3">
        <v>26.0</v>
      </c>
      <c r="O414" s="3" t="s">
        <v>41</v>
      </c>
      <c r="P414" s="3" t="s">
        <v>38</v>
      </c>
      <c r="Q414" s="6">
        <f t="shared" si="3"/>
        <v>635000</v>
      </c>
    </row>
    <row r="415">
      <c r="A415" s="3">
        <v>65069.0</v>
      </c>
      <c r="B415" s="3" t="s">
        <v>36</v>
      </c>
      <c r="C415" s="3" t="s">
        <v>35</v>
      </c>
      <c r="D415" s="4" t="str">
        <f t="shared" si="1"/>
        <v>Ms.</v>
      </c>
      <c r="E415" s="3" t="str">
        <f t="shared" si="4"/>
        <v>Ms. Ira Naidu</v>
      </c>
      <c r="F415" s="3" t="str">
        <f>IFERROR(__xludf.DUMMYFUNCTION("SPLIT(B415,"" "")"),"Ira")</f>
        <v>Ira</v>
      </c>
      <c r="G415" s="3" t="str">
        <f>IFERROR(__xludf.DUMMYFUNCTION("""COMPUTED_VALUE"""),"Naidu")</f>
        <v>Naidu</v>
      </c>
      <c r="H415" s="3" t="s">
        <v>25</v>
      </c>
      <c r="I415" s="3">
        <v>2025.0</v>
      </c>
      <c r="J415" s="3">
        <f t="shared" si="2"/>
        <v>10000</v>
      </c>
      <c r="K415" s="3" t="s">
        <v>20</v>
      </c>
      <c r="L415" s="10">
        <v>7780.0</v>
      </c>
      <c r="M415" s="3" t="s">
        <v>21</v>
      </c>
      <c r="N415" s="3">
        <f>RANDBETWEEN(0,10)</f>
        <v>0</v>
      </c>
      <c r="O415" s="3" t="s">
        <v>41</v>
      </c>
      <c r="P415" s="3" t="s">
        <v>78</v>
      </c>
      <c r="Q415" s="6">
        <f t="shared" si="3"/>
        <v>255000</v>
      </c>
    </row>
    <row r="416">
      <c r="A416" s="3">
        <v>65071.0</v>
      </c>
      <c r="B416" s="3" t="s">
        <v>412</v>
      </c>
      <c r="C416" s="3" t="s">
        <v>18</v>
      </c>
      <c r="D416" s="4" t="str">
        <f t="shared" si="1"/>
        <v>Mr.</v>
      </c>
      <c r="E416" s="3" t="str">
        <f t="shared" si="4"/>
        <v>Mr. Aditya Chopra</v>
      </c>
      <c r="F416" s="3" t="str">
        <f>IFERROR(__xludf.DUMMYFUNCTION("SPLIT(B416,"" "")"),"Aditya")</f>
        <v>Aditya</v>
      </c>
      <c r="G416" s="3" t="str">
        <f>IFERROR(__xludf.DUMMYFUNCTION("""COMPUTED_VALUE"""),"Chopra")</f>
        <v>Chopra</v>
      </c>
      <c r="H416" s="3" t="s">
        <v>46</v>
      </c>
      <c r="I416" s="3">
        <v>2014.0</v>
      </c>
      <c r="J416" s="3">
        <f t="shared" si="2"/>
        <v>5000</v>
      </c>
      <c r="K416" s="3" t="s">
        <v>20</v>
      </c>
      <c r="L416" s="3">
        <v>244.0</v>
      </c>
      <c r="M416" s="3" t="s">
        <v>21</v>
      </c>
      <c r="N416" s="3">
        <v>41.0</v>
      </c>
      <c r="O416" s="3" t="s">
        <v>41</v>
      </c>
      <c r="P416" s="3" t="s">
        <v>31</v>
      </c>
      <c r="Q416" s="6">
        <f t="shared" si="3"/>
        <v>910000</v>
      </c>
    </row>
    <row r="417">
      <c r="A417" s="3">
        <v>65072.0</v>
      </c>
      <c r="B417" s="3" t="s">
        <v>413</v>
      </c>
      <c r="C417" s="3" t="s">
        <v>35</v>
      </c>
      <c r="D417" s="4" t="str">
        <f t="shared" si="1"/>
        <v>Ms.</v>
      </c>
      <c r="E417" s="3" t="str">
        <f t="shared" si="4"/>
        <v>Ms. Aadhya Chowdhury</v>
      </c>
      <c r="F417" s="3" t="str">
        <f>IFERROR(__xludf.DUMMYFUNCTION("SPLIT(B417,"" "")"),"Aadhya")</f>
        <v>Aadhya</v>
      </c>
      <c r="G417" s="3" t="str">
        <f>IFERROR(__xludf.DUMMYFUNCTION("""COMPUTED_VALUE"""),"Chowdhury")</f>
        <v>Chowdhury</v>
      </c>
      <c r="H417" s="3" t="s">
        <v>33</v>
      </c>
      <c r="I417" s="3">
        <v>2027.0</v>
      </c>
      <c r="J417" s="3">
        <f t="shared" si="2"/>
        <v>10000</v>
      </c>
      <c r="K417" s="3" t="s">
        <v>20</v>
      </c>
      <c r="L417" s="3">
        <v>0.0</v>
      </c>
      <c r="M417" s="3" t="s">
        <v>21</v>
      </c>
      <c r="N417" s="3">
        <v>14.0</v>
      </c>
      <c r="O417" s="3" t="s">
        <v>41</v>
      </c>
      <c r="P417" s="3" t="s">
        <v>28</v>
      </c>
      <c r="Q417" s="6">
        <f t="shared" si="3"/>
        <v>400000</v>
      </c>
    </row>
    <row r="418">
      <c r="A418" s="3">
        <v>65073.0</v>
      </c>
      <c r="B418" s="3" t="s">
        <v>414</v>
      </c>
      <c r="C418" s="3" t="s">
        <v>35</v>
      </c>
      <c r="D418" s="4" t="str">
        <f t="shared" si="1"/>
        <v>Ms.</v>
      </c>
      <c r="E418" s="3" t="str">
        <f t="shared" si="4"/>
        <v>Ms. Prisha Kumar</v>
      </c>
      <c r="F418" s="3" t="str">
        <f>IFERROR(__xludf.DUMMYFUNCTION("SPLIT(B418,"" "")"),"Prisha")</f>
        <v>Prisha</v>
      </c>
      <c r="G418" s="3" t="str">
        <f>IFERROR(__xludf.DUMMYFUNCTION("""COMPUTED_VALUE"""),"Kumar")</f>
        <v>Kumar</v>
      </c>
      <c r="H418" s="3" t="s">
        <v>33</v>
      </c>
      <c r="I418" s="3">
        <v>2026.0</v>
      </c>
      <c r="J418" s="3">
        <f t="shared" si="2"/>
        <v>10000</v>
      </c>
      <c r="K418" s="3" t="s">
        <v>26</v>
      </c>
      <c r="L418" s="3">
        <v>3733.0</v>
      </c>
      <c r="M418" s="3" t="s">
        <v>21</v>
      </c>
      <c r="N418" s="3">
        <v>22.0</v>
      </c>
      <c r="O418" s="3" t="s">
        <v>41</v>
      </c>
      <c r="P418" s="3" t="s">
        <v>78</v>
      </c>
      <c r="Q418" s="6">
        <f t="shared" si="3"/>
        <v>255000</v>
      </c>
    </row>
    <row r="419">
      <c r="A419" s="3">
        <v>65074.0</v>
      </c>
      <c r="B419" s="3" t="s">
        <v>415</v>
      </c>
      <c r="C419" s="3" t="s">
        <v>18</v>
      </c>
      <c r="D419" s="4" t="str">
        <f t="shared" si="1"/>
        <v>Mr.</v>
      </c>
      <c r="E419" s="3" t="str">
        <f t="shared" si="4"/>
        <v>Mr. Laksh Agarwal</v>
      </c>
      <c r="F419" s="3" t="str">
        <f>IFERROR(__xludf.DUMMYFUNCTION("SPLIT(B419,"" "")"),"Laksh")</f>
        <v>Laksh</v>
      </c>
      <c r="G419" s="3" t="str">
        <f>IFERROR(__xludf.DUMMYFUNCTION("""COMPUTED_VALUE"""),"Agarwal")</f>
        <v>Agarwal</v>
      </c>
      <c r="H419" s="3" t="s">
        <v>25</v>
      </c>
      <c r="I419" s="3">
        <v>2022.0</v>
      </c>
      <c r="J419" s="3">
        <f t="shared" si="2"/>
        <v>10000</v>
      </c>
      <c r="K419" s="3" t="s">
        <v>20</v>
      </c>
      <c r="L419" s="3">
        <v>0.0</v>
      </c>
      <c r="M419" s="3" t="s">
        <v>21</v>
      </c>
      <c r="N419" s="3">
        <v>33.0</v>
      </c>
      <c r="O419" s="3" t="s">
        <v>41</v>
      </c>
      <c r="P419" s="3" t="s">
        <v>78</v>
      </c>
      <c r="Q419" s="6">
        <f t="shared" si="3"/>
        <v>255000</v>
      </c>
    </row>
    <row r="420">
      <c r="A420" s="3">
        <v>65075.0</v>
      </c>
      <c r="B420" s="3" t="s">
        <v>144</v>
      </c>
      <c r="C420" s="3" t="s">
        <v>18</v>
      </c>
      <c r="D420" s="4" t="str">
        <f t="shared" si="1"/>
        <v>Mr.</v>
      </c>
      <c r="E420" s="3" t="str">
        <f t="shared" si="4"/>
        <v>Mr. Raghav Bhat</v>
      </c>
      <c r="F420" s="3" t="str">
        <f>IFERROR(__xludf.DUMMYFUNCTION("SPLIT(B420,"" "")"),"Raghav")</f>
        <v>Raghav</v>
      </c>
      <c r="G420" s="3" t="str">
        <f>IFERROR(__xludf.DUMMYFUNCTION("""COMPUTED_VALUE"""),"Bhat")</f>
        <v>Bhat</v>
      </c>
      <c r="H420" s="3" t="s">
        <v>46</v>
      </c>
      <c r="I420" s="3">
        <v>2025.0</v>
      </c>
      <c r="J420" s="3">
        <f t="shared" si="2"/>
        <v>5000</v>
      </c>
      <c r="K420" s="3" t="s">
        <v>20</v>
      </c>
      <c r="L420" s="3">
        <v>244.0</v>
      </c>
      <c r="M420" s="3" t="s">
        <v>21</v>
      </c>
      <c r="N420" s="3">
        <v>42.0</v>
      </c>
      <c r="O420" s="3" t="s">
        <v>41</v>
      </c>
      <c r="P420" s="3" t="s">
        <v>38</v>
      </c>
      <c r="Q420" s="6">
        <f t="shared" si="3"/>
        <v>635000</v>
      </c>
    </row>
    <row r="421">
      <c r="A421" s="3">
        <v>65076.0</v>
      </c>
      <c r="B421" s="3" t="s">
        <v>416</v>
      </c>
      <c r="C421" s="3" t="s">
        <v>18</v>
      </c>
      <c r="D421" s="4" t="str">
        <f t="shared" si="1"/>
        <v>Mr.</v>
      </c>
      <c r="E421" s="3" t="str">
        <f t="shared" si="4"/>
        <v>Mr. Aaryan Bhat</v>
      </c>
      <c r="F421" s="3" t="str">
        <f>IFERROR(__xludf.DUMMYFUNCTION("SPLIT(B421,"" "")"),"Aaryan")</f>
        <v>Aaryan</v>
      </c>
      <c r="G421" s="3" t="str">
        <f>IFERROR(__xludf.DUMMYFUNCTION("""COMPUTED_VALUE"""),"Bhat")</f>
        <v>Bhat</v>
      </c>
      <c r="H421" s="3" t="s">
        <v>25</v>
      </c>
      <c r="I421" s="3">
        <v>2027.0</v>
      </c>
      <c r="J421" s="3">
        <f t="shared" si="2"/>
        <v>10000</v>
      </c>
      <c r="K421" s="3" t="s">
        <v>26</v>
      </c>
      <c r="L421" s="3">
        <v>10567.0</v>
      </c>
      <c r="M421" s="3" t="s">
        <v>21</v>
      </c>
      <c r="N421" s="3">
        <v>61.0</v>
      </c>
      <c r="O421" s="3" t="s">
        <v>41</v>
      </c>
      <c r="P421" s="3" t="s">
        <v>28</v>
      </c>
      <c r="Q421" s="6">
        <f t="shared" si="3"/>
        <v>400000</v>
      </c>
    </row>
    <row r="422">
      <c r="A422" s="3">
        <v>65077.0</v>
      </c>
      <c r="B422" s="3" t="s">
        <v>417</v>
      </c>
      <c r="C422" s="3" t="s">
        <v>18</v>
      </c>
      <c r="D422" s="4" t="str">
        <f t="shared" si="1"/>
        <v>Mr.</v>
      </c>
      <c r="E422" s="3" t="str">
        <f t="shared" si="4"/>
        <v>Mr. Parth Desai</v>
      </c>
      <c r="F422" s="3" t="str">
        <f>IFERROR(__xludf.DUMMYFUNCTION("SPLIT(B422,"" "")"),"Parth")</f>
        <v>Parth</v>
      </c>
      <c r="G422" s="3" t="str">
        <f>IFERROR(__xludf.DUMMYFUNCTION("""COMPUTED_VALUE"""),"Desai")</f>
        <v>Desai</v>
      </c>
      <c r="H422" s="3" t="s">
        <v>25</v>
      </c>
      <c r="I422" s="3">
        <v>2015.0</v>
      </c>
      <c r="J422" s="3">
        <f t="shared" si="2"/>
        <v>10000</v>
      </c>
      <c r="K422" s="3" t="s">
        <v>20</v>
      </c>
      <c r="L422" s="10">
        <v>5853.0</v>
      </c>
      <c r="M422" s="3" t="s">
        <v>21</v>
      </c>
      <c r="N422" s="3">
        <f>RANDBETWEEN(0,10)</f>
        <v>8</v>
      </c>
      <c r="O422" s="3" t="s">
        <v>41</v>
      </c>
      <c r="P422" s="3" t="s">
        <v>28</v>
      </c>
      <c r="Q422" s="6">
        <f t="shared" si="3"/>
        <v>400000</v>
      </c>
    </row>
    <row r="423">
      <c r="A423" s="3">
        <v>65078.0</v>
      </c>
      <c r="B423" s="3" t="s">
        <v>95</v>
      </c>
      <c r="C423" s="3" t="s">
        <v>35</v>
      </c>
      <c r="D423" s="4" t="str">
        <f t="shared" si="1"/>
        <v>Ms.</v>
      </c>
      <c r="E423" s="3" t="str">
        <f t="shared" si="4"/>
        <v>Ms. Gauri Patel</v>
      </c>
      <c r="F423" s="3" t="str">
        <f>IFERROR(__xludf.DUMMYFUNCTION("SPLIT(B423,"" "")"),"Gauri")</f>
        <v>Gauri</v>
      </c>
      <c r="G423" s="3" t="str">
        <f>IFERROR(__xludf.DUMMYFUNCTION("""COMPUTED_VALUE"""),"Patel")</f>
        <v>Patel</v>
      </c>
      <c r="H423" s="3" t="s">
        <v>25</v>
      </c>
      <c r="I423" s="3">
        <v>2026.0</v>
      </c>
      <c r="J423" s="3">
        <f t="shared" si="2"/>
        <v>10000</v>
      </c>
      <c r="K423" s="3" t="s">
        <v>20</v>
      </c>
      <c r="L423" s="3">
        <v>0.0</v>
      </c>
      <c r="M423" s="3" t="s">
        <v>21</v>
      </c>
      <c r="N423" s="3">
        <v>54.0</v>
      </c>
      <c r="O423" s="3" t="s">
        <v>41</v>
      </c>
      <c r="P423" s="3" t="s">
        <v>23</v>
      </c>
      <c r="Q423" s="6">
        <f t="shared" si="3"/>
        <v>430000</v>
      </c>
    </row>
    <row r="424">
      <c r="A424" s="3">
        <v>65079.0</v>
      </c>
      <c r="B424" s="3" t="s">
        <v>162</v>
      </c>
      <c r="C424" s="3" t="s">
        <v>35</v>
      </c>
      <c r="D424" s="4" t="str">
        <f t="shared" si="1"/>
        <v>Ms.</v>
      </c>
      <c r="E424" s="3" t="str">
        <f t="shared" si="4"/>
        <v>Ms. Sara Nair</v>
      </c>
      <c r="F424" s="3" t="str">
        <f>IFERROR(__xludf.DUMMYFUNCTION("SPLIT(B424,"" "")"),"Sara")</f>
        <v>Sara</v>
      </c>
      <c r="G424" s="3" t="str">
        <f>IFERROR(__xludf.DUMMYFUNCTION("""COMPUTED_VALUE"""),"Nair")</f>
        <v>Nair</v>
      </c>
      <c r="H424" s="3" t="s">
        <v>46</v>
      </c>
      <c r="I424" s="3">
        <v>2019.0</v>
      </c>
      <c r="J424" s="3">
        <f t="shared" si="2"/>
        <v>5000</v>
      </c>
      <c r="K424" s="3" t="s">
        <v>26</v>
      </c>
      <c r="L424" s="3">
        <v>14748.0</v>
      </c>
      <c r="M424" s="3" t="s">
        <v>21</v>
      </c>
      <c r="N424" s="3">
        <v>59.0</v>
      </c>
      <c r="O424" s="3" t="s">
        <v>41</v>
      </c>
      <c r="P424" s="3" t="s">
        <v>28</v>
      </c>
      <c r="Q424" s="6">
        <f t="shared" si="3"/>
        <v>400000</v>
      </c>
    </row>
    <row r="425">
      <c r="A425" s="3">
        <v>65080.0</v>
      </c>
      <c r="B425" s="3" t="s">
        <v>418</v>
      </c>
      <c r="C425" s="3" t="s">
        <v>35</v>
      </c>
      <c r="D425" s="4" t="str">
        <f t="shared" si="1"/>
        <v>Ms.</v>
      </c>
      <c r="E425" s="3" t="str">
        <f t="shared" si="4"/>
        <v>Ms. Aadhya Thakur</v>
      </c>
      <c r="F425" s="3" t="str">
        <f>IFERROR(__xludf.DUMMYFUNCTION("SPLIT(B425,"" "")"),"Aadhya")</f>
        <v>Aadhya</v>
      </c>
      <c r="G425" s="3" t="str">
        <f>IFERROR(__xludf.DUMMYFUNCTION("""COMPUTED_VALUE"""),"Thakur")</f>
        <v>Thakur</v>
      </c>
      <c r="H425" s="3" t="s">
        <v>46</v>
      </c>
      <c r="I425" s="3">
        <v>2019.0</v>
      </c>
      <c r="J425" s="3">
        <f t="shared" si="2"/>
        <v>5000</v>
      </c>
      <c r="K425" s="3" t="s">
        <v>26</v>
      </c>
      <c r="L425" s="3">
        <v>2681.0</v>
      </c>
      <c r="M425" s="3" t="s">
        <v>21</v>
      </c>
      <c r="N425" s="3">
        <v>14.0</v>
      </c>
      <c r="O425" s="3" t="s">
        <v>41</v>
      </c>
      <c r="P425" s="3" t="s">
        <v>31</v>
      </c>
      <c r="Q425" s="6">
        <f t="shared" si="3"/>
        <v>910000</v>
      </c>
    </row>
    <row r="426">
      <c r="A426" s="3">
        <v>65081.0</v>
      </c>
      <c r="B426" s="3" t="s">
        <v>419</v>
      </c>
      <c r="C426" s="3" t="s">
        <v>18</v>
      </c>
      <c r="D426" s="4" t="str">
        <f t="shared" si="1"/>
        <v>Mr.</v>
      </c>
      <c r="E426" s="3" t="str">
        <f t="shared" si="4"/>
        <v>Mr. Aryan Kumar</v>
      </c>
      <c r="F426" s="3" t="str">
        <f>IFERROR(__xludf.DUMMYFUNCTION("SPLIT(B426,"" "")"),"Aryan")</f>
        <v>Aryan</v>
      </c>
      <c r="G426" s="3" t="str">
        <f>IFERROR(__xludf.DUMMYFUNCTION("""COMPUTED_VALUE"""),"Kumar")</f>
        <v>Kumar</v>
      </c>
      <c r="H426" s="3" t="s">
        <v>46</v>
      </c>
      <c r="I426" s="3">
        <v>2025.0</v>
      </c>
      <c r="J426" s="3">
        <f t="shared" si="2"/>
        <v>5000</v>
      </c>
      <c r="K426" s="3" t="s">
        <v>20</v>
      </c>
      <c r="L426" s="3">
        <v>0.0</v>
      </c>
      <c r="M426" s="3" t="s">
        <v>21</v>
      </c>
      <c r="N426" s="3">
        <v>51.0</v>
      </c>
      <c r="O426" s="3" t="s">
        <v>41</v>
      </c>
      <c r="P426" s="3" t="s">
        <v>23</v>
      </c>
      <c r="Q426" s="6">
        <f t="shared" si="3"/>
        <v>430000</v>
      </c>
    </row>
    <row r="427">
      <c r="A427" s="3">
        <v>65082.0</v>
      </c>
      <c r="B427" s="3" t="s">
        <v>420</v>
      </c>
      <c r="C427" s="3" t="s">
        <v>35</v>
      </c>
      <c r="D427" s="4" t="str">
        <f t="shared" si="1"/>
        <v>Ms.</v>
      </c>
      <c r="E427" s="3" t="str">
        <f t="shared" si="4"/>
        <v>Ms. Anvi Prasad</v>
      </c>
      <c r="F427" s="3" t="str">
        <f>IFERROR(__xludf.DUMMYFUNCTION("SPLIT(B427,"" "")"),"Anvi")</f>
        <v>Anvi</v>
      </c>
      <c r="G427" s="3" t="str">
        <f>IFERROR(__xludf.DUMMYFUNCTION("""COMPUTED_VALUE"""),"Prasad")</f>
        <v>Prasad</v>
      </c>
      <c r="H427" s="3" t="s">
        <v>33</v>
      </c>
      <c r="I427" s="3">
        <v>2026.0</v>
      </c>
      <c r="J427" s="3">
        <f t="shared" si="2"/>
        <v>10000</v>
      </c>
      <c r="K427" s="3" t="s">
        <v>20</v>
      </c>
      <c r="L427" s="3">
        <v>0.0</v>
      </c>
      <c r="M427" s="3" t="s">
        <v>21</v>
      </c>
      <c r="N427" s="3">
        <v>31.0</v>
      </c>
      <c r="O427" s="3" t="s">
        <v>41</v>
      </c>
      <c r="P427" s="3" t="s">
        <v>31</v>
      </c>
      <c r="Q427" s="6">
        <f t="shared" si="3"/>
        <v>910000</v>
      </c>
    </row>
    <row r="428">
      <c r="A428" s="3">
        <v>65083.0</v>
      </c>
      <c r="B428" s="3" t="s">
        <v>421</v>
      </c>
      <c r="C428" s="3" t="s">
        <v>35</v>
      </c>
      <c r="D428" s="4" t="str">
        <f t="shared" si="1"/>
        <v>Ms.</v>
      </c>
      <c r="E428" s="3" t="str">
        <f t="shared" si="4"/>
        <v>Ms. Gauri Malik</v>
      </c>
      <c r="F428" s="3" t="str">
        <f>IFERROR(__xludf.DUMMYFUNCTION("SPLIT(B428,"" "")"),"Gauri")</f>
        <v>Gauri</v>
      </c>
      <c r="G428" s="3" t="str">
        <f>IFERROR(__xludf.DUMMYFUNCTION("""COMPUTED_VALUE"""),"Malik")</f>
        <v>Malik</v>
      </c>
      <c r="H428" s="3" t="s">
        <v>46</v>
      </c>
      <c r="I428" s="3">
        <v>2019.0</v>
      </c>
      <c r="J428" s="3">
        <f t="shared" si="2"/>
        <v>5000</v>
      </c>
      <c r="K428" s="3" t="s">
        <v>26</v>
      </c>
      <c r="L428" s="10">
        <v>5265.0</v>
      </c>
      <c r="M428" s="3" t="s">
        <v>30</v>
      </c>
      <c r="N428" s="3">
        <v>58.0</v>
      </c>
      <c r="O428" s="3" t="s">
        <v>22</v>
      </c>
      <c r="P428" s="3" t="s">
        <v>31</v>
      </c>
      <c r="Q428" s="6">
        <f t="shared" si="3"/>
        <v>910000</v>
      </c>
    </row>
    <row r="429">
      <c r="A429" s="3">
        <v>65084.0</v>
      </c>
      <c r="B429" s="3" t="s">
        <v>282</v>
      </c>
      <c r="C429" s="3" t="s">
        <v>35</v>
      </c>
      <c r="D429" s="4" t="str">
        <f t="shared" si="1"/>
        <v>Ms.</v>
      </c>
      <c r="E429" s="3" t="str">
        <f t="shared" si="4"/>
        <v>Ms. Gauri Thakur</v>
      </c>
      <c r="F429" s="3" t="str">
        <f>IFERROR(__xludf.DUMMYFUNCTION("SPLIT(B429,"" "")"),"Gauri")</f>
        <v>Gauri</v>
      </c>
      <c r="G429" s="3" t="str">
        <f>IFERROR(__xludf.DUMMYFUNCTION("""COMPUTED_VALUE"""),"Thakur")</f>
        <v>Thakur</v>
      </c>
      <c r="H429" s="3" t="s">
        <v>33</v>
      </c>
      <c r="I429" s="3">
        <v>2025.0</v>
      </c>
      <c r="J429" s="3">
        <f t="shared" si="2"/>
        <v>10000</v>
      </c>
      <c r="K429" s="3" t="s">
        <v>26</v>
      </c>
      <c r="L429" s="3">
        <v>16608.0</v>
      </c>
      <c r="M429" s="3" t="s">
        <v>21</v>
      </c>
      <c r="N429" s="3">
        <v>11.0</v>
      </c>
      <c r="O429" s="3" t="s">
        <v>41</v>
      </c>
      <c r="P429" s="3" t="s">
        <v>31</v>
      </c>
      <c r="Q429" s="6">
        <f t="shared" si="3"/>
        <v>910000</v>
      </c>
    </row>
    <row r="430">
      <c r="A430" s="3">
        <v>65086.0</v>
      </c>
      <c r="B430" s="3" t="s">
        <v>422</v>
      </c>
      <c r="C430" s="3" t="s">
        <v>18</v>
      </c>
      <c r="D430" s="4" t="str">
        <f t="shared" si="1"/>
        <v>Mr.</v>
      </c>
      <c r="E430" s="3" t="str">
        <f t="shared" si="4"/>
        <v>Mr. Aarav Chopra</v>
      </c>
      <c r="F430" s="3" t="str">
        <f>IFERROR(__xludf.DUMMYFUNCTION("SPLIT(B430,"" "")"),"Aarav")</f>
        <v>Aarav</v>
      </c>
      <c r="G430" s="3" t="str">
        <f>IFERROR(__xludf.DUMMYFUNCTION("""COMPUTED_VALUE"""),"Chopra")</f>
        <v>Chopra</v>
      </c>
      <c r="H430" s="3" t="s">
        <v>25</v>
      </c>
      <c r="I430" s="3">
        <v>2021.0</v>
      </c>
      <c r="J430" s="3">
        <f t="shared" si="2"/>
        <v>10000</v>
      </c>
      <c r="K430" s="3" t="s">
        <v>20</v>
      </c>
      <c r="L430" s="3">
        <v>0.0</v>
      </c>
      <c r="M430" s="3" t="s">
        <v>21</v>
      </c>
      <c r="N430" s="3">
        <v>18.0</v>
      </c>
      <c r="O430" s="3" t="s">
        <v>41</v>
      </c>
      <c r="P430" s="3" t="s">
        <v>31</v>
      </c>
      <c r="Q430" s="6">
        <f t="shared" si="3"/>
        <v>910000</v>
      </c>
    </row>
    <row r="431">
      <c r="A431" s="3">
        <v>65087.0</v>
      </c>
      <c r="B431" s="3" t="s">
        <v>423</v>
      </c>
      <c r="C431" s="3" t="s">
        <v>18</v>
      </c>
      <c r="D431" s="4" t="str">
        <f t="shared" si="1"/>
        <v>Mr.</v>
      </c>
      <c r="E431" s="3" t="str">
        <f t="shared" si="4"/>
        <v>Mr. Arnav Bhat</v>
      </c>
      <c r="F431" s="3" t="str">
        <f>IFERROR(__xludf.DUMMYFUNCTION("SPLIT(B431,"" "")"),"Arnav")</f>
        <v>Arnav</v>
      </c>
      <c r="G431" s="3" t="str">
        <f>IFERROR(__xludf.DUMMYFUNCTION("""COMPUTED_VALUE"""),"Bhat")</f>
        <v>Bhat</v>
      </c>
      <c r="H431" s="3" t="s">
        <v>25</v>
      </c>
      <c r="I431" s="3">
        <v>2028.0</v>
      </c>
      <c r="J431" s="3">
        <f t="shared" si="2"/>
        <v>10000</v>
      </c>
      <c r="K431" s="3" t="s">
        <v>20</v>
      </c>
      <c r="L431" s="3">
        <v>0.0</v>
      </c>
      <c r="M431" s="3" t="s">
        <v>21</v>
      </c>
      <c r="N431" s="3">
        <v>55.0</v>
      </c>
      <c r="O431" s="3" t="s">
        <v>41</v>
      </c>
      <c r="P431" s="3" t="s">
        <v>78</v>
      </c>
      <c r="Q431" s="6">
        <f t="shared" si="3"/>
        <v>255000</v>
      </c>
    </row>
    <row r="432">
      <c r="A432" s="3">
        <v>65089.0</v>
      </c>
      <c r="B432" s="3" t="s">
        <v>424</v>
      </c>
      <c r="C432" s="3" t="s">
        <v>35</v>
      </c>
      <c r="D432" s="4" t="str">
        <f t="shared" si="1"/>
        <v>Ms.</v>
      </c>
      <c r="E432" s="3" t="str">
        <f t="shared" si="4"/>
        <v>Ms. Anvi Singh</v>
      </c>
      <c r="F432" s="3" t="str">
        <f>IFERROR(__xludf.DUMMYFUNCTION("SPLIT(B432,"" "")"),"Anvi")</f>
        <v>Anvi</v>
      </c>
      <c r="G432" s="3" t="str">
        <f>IFERROR(__xludf.DUMMYFUNCTION("""COMPUTED_VALUE"""),"Singh")</f>
        <v>Singh</v>
      </c>
      <c r="H432" s="3" t="s">
        <v>25</v>
      </c>
      <c r="I432" s="3">
        <v>2024.0</v>
      </c>
      <c r="J432" s="3">
        <f t="shared" si="2"/>
        <v>10000</v>
      </c>
      <c r="K432" s="3" t="s">
        <v>20</v>
      </c>
      <c r="L432" s="10">
        <v>4024.0</v>
      </c>
      <c r="M432" s="3" t="s">
        <v>21</v>
      </c>
      <c r="N432" s="3">
        <v>18.0</v>
      </c>
      <c r="O432" s="3" t="s">
        <v>22</v>
      </c>
      <c r="P432" s="3" t="s">
        <v>23</v>
      </c>
      <c r="Q432" s="6">
        <f t="shared" si="3"/>
        <v>430000</v>
      </c>
    </row>
    <row r="433">
      <c r="A433" s="3">
        <v>65090.0</v>
      </c>
      <c r="B433" s="3" t="s">
        <v>425</v>
      </c>
      <c r="C433" s="3" t="s">
        <v>18</v>
      </c>
      <c r="D433" s="4" t="str">
        <f t="shared" si="1"/>
        <v>Mr.</v>
      </c>
      <c r="E433" s="3" t="str">
        <f t="shared" si="4"/>
        <v>Mr. Ishaan Sharma</v>
      </c>
      <c r="F433" s="3" t="str">
        <f>IFERROR(__xludf.DUMMYFUNCTION("SPLIT(B433,"" "")"),"Ishaan")</f>
        <v>Ishaan</v>
      </c>
      <c r="G433" s="3" t="str">
        <f>IFERROR(__xludf.DUMMYFUNCTION("""COMPUTED_VALUE"""),"Sharma")</f>
        <v>Sharma</v>
      </c>
      <c r="H433" s="3" t="s">
        <v>19</v>
      </c>
      <c r="I433" s="3">
        <v>2028.0</v>
      </c>
      <c r="J433" s="3">
        <f t="shared" si="2"/>
        <v>5000</v>
      </c>
      <c r="K433" s="3" t="s">
        <v>20</v>
      </c>
      <c r="L433" s="3">
        <v>0.0</v>
      </c>
      <c r="M433" s="3" t="s">
        <v>21</v>
      </c>
      <c r="N433" s="3">
        <v>37.0</v>
      </c>
      <c r="O433" s="3" t="s">
        <v>41</v>
      </c>
      <c r="P433" s="3" t="s">
        <v>23</v>
      </c>
      <c r="Q433" s="6">
        <f t="shared" si="3"/>
        <v>430000</v>
      </c>
    </row>
    <row r="434">
      <c r="A434" s="3">
        <v>65091.0</v>
      </c>
      <c r="B434" s="3" t="s">
        <v>426</v>
      </c>
      <c r="C434" s="3" t="s">
        <v>18</v>
      </c>
      <c r="D434" s="4" t="str">
        <f t="shared" si="1"/>
        <v>Mr.</v>
      </c>
      <c r="E434" s="3" t="str">
        <f t="shared" si="4"/>
        <v>Mr. Sai Pillai</v>
      </c>
      <c r="F434" s="3" t="str">
        <f>IFERROR(__xludf.DUMMYFUNCTION("SPLIT(B434,"" "")"),"Sai")</f>
        <v>Sai</v>
      </c>
      <c r="G434" s="3" t="str">
        <f>IFERROR(__xludf.DUMMYFUNCTION("""COMPUTED_VALUE"""),"Pillai")</f>
        <v>Pillai</v>
      </c>
      <c r="H434" s="3" t="s">
        <v>25</v>
      </c>
      <c r="I434" s="3">
        <v>2027.0</v>
      </c>
      <c r="J434" s="3">
        <f t="shared" si="2"/>
        <v>10000</v>
      </c>
      <c r="K434" s="3" t="s">
        <v>26</v>
      </c>
      <c r="L434" s="3">
        <v>9611.0</v>
      </c>
      <c r="M434" s="3" t="s">
        <v>21</v>
      </c>
      <c r="N434" s="3">
        <f>RANDBETWEEN(0,10)</f>
        <v>4</v>
      </c>
      <c r="O434" s="3" t="s">
        <v>41</v>
      </c>
      <c r="P434" s="3" t="s">
        <v>78</v>
      </c>
      <c r="Q434" s="6">
        <f t="shared" si="3"/>
        <v>255000</v>
      </c>
    </row>
    <row r="435">
      <c r="A435" s="3">
        <v>65092.0</v>
      </c>
      <c r="B435" s="3" t="s">
        <v>322</v>
      </c>
      <c r="C435" s="3" t="s">
        <v>18</v>
      </c>
      <c r="D435" s="4" t="str">
        <f t="shared" si="1"/>
        <v>Mr.</v>
      </c>
      <c r="E435" s="3" t="str">
        <f t="shared" si="4"/>
        <v>Mr. Ayaan Malik</v>
      </c>
      <c r="F435" s="3" t="str">
        <f>IFERROR(__xludf.DUMMYFUNCTION("SPLIT(B435,"" "")"),"Ayaan")</f>
        <v>Ayaan</v>
      </c>
      <c r="G435" s="3" t="str">
        <f>IFERROR(__xludf.DUMMYFUNCTION("""COMPUTED_VALUE"""),"Malik")</f>
        <v>Malik</v>
      </c>
      <c r="H435" s="3" t="s">
        <v>33</v>
      </c>
      <c r="I435" s="3">
        <v>2025.0</v>
      </c>
      <c r="J435" s="3">
        <f t="shared" si="2"/>
        <v>10000</v>
      </c>
      <c r="K435" s="3" t="s">
        <v>26</v>
      </c>
      <c r="L435" s="3">
        <v>1205.0</v>
      </c>
      <c r="M435" s="3" t="s">
        <v>21</v>
      </c>
      <c r="N435" s="3">
        <v>16.0</v>
      </c>
      <c r="O435" s="3" t="s">
        <v>41</v>
      </c>
      <c r="P435" s="3" t="s">
        <v>23</v>
      </c>
      <c r="Q435" s="6">
        <f t="shared" si="3"/>
        <v>430000</v>
      </c>
    </row>
    <row r="436">
      <c r="A436" s="3">
        <v>65094.0</v>
      </c>
      <c r="B436" s="3" t="s">
        <v>427</v>
      </c>
      <c r="C436" s="3" t="s">
        <v>35</v>
      </c>
      <c r="D436" s="4" t="str">
        <f t="shared" si="1"/>
        <v>Ms.</v>
      </c>
      <c r="E436" s="3" t="str">
        <f t="shared" si="4"/>
        <v>Ms. Inaaya Kulkarni</v>
      </c>
      <c r="F436" s="3" t="str">
        <f>IFERROR(__xludf.DUMMYFUNCTION("SPLIT(B436,"" "")"),"Inaaya")</f>
        <v>Inaaya</v>
      </c>
      <c r="G436" s="3" t="str">
        <f>IFERROR(__xludf.DUMMYFUNCTION("""COMPUTED_VALUE"""),"Kulkarni")</f>
        <v>Kulkarni</v>
      </c>
      <c r="H436" s="3" t="s">
        <v>46</v>
      </c>
      <c r="I436" s="3">
        <v>2019.0</v>
      </c>
      <c r="J436" s="3">
        <f t="shared" si="2"/>
        <v>5000</v>
      </c>
      <c r="K436" s="3" t="s">
        <v>20</v>
      </c>
      <c r="L436" s="3">
        <v>0.0</v>
      </c>
      <c r="M436" s="3" t="s">
        <v>30</v>
      </c>
      <c r="N436" s="3">
        <v>28.0</v>
      </c>
      <c r="O436" s="3" t="s">
        <v>41</v>
      </c>
      <c r="P436" s="3" t="s">
        <v>38</v>
      </c>
      <c r="Q436" s="6">
        <f t="shared" si="3"/>
        <v>635000</v>
      </c>
    </row>
    <row r="437">
      <c r="A437" s="3">
        <v>65095.0</v>
      </c>
      <c r="B437" s="3" t="s">
        <v>428</v>
      </c>
      <c r="C437" s="3" t="s">
        <v>18</v>
      </c>
      <c r="D437" s="4" t="str">
        <f t="shared" si="1"/>
        <v>Mr.</v>
      </c>
      <c r="E437" s="3" t="str">
        <f t="shared" si="4"/>
        <v>Mr. Ishaan Kapoor</v>
      </c>
      <c r="F437" s="3" t="str">
        <f>IFERROR(__xludf.DUMMYFUNCTION("SPLIT(B437,"" "")"),"Ishaan")</f>
        <v>Ishaan</v>
      </c>
      <c r="G437" s="3" t="str">
        <f>IFERROR(__xludf.DUMMYFUNCTION("""COMPUTED_VALUE"""),"Kapoor")</f>
        <v>Kapoor</v>
      </c>
      <c r="H437" s="3" t="s">
        <v>25</v>
      </c>
      <c r="I437" s="3">
        <v>2028.0</v>
      </c>
      <c r="J437" s="3">
        <f t="shared" si="2"/>
        <v>10000</v>
      </c>
      <c r="K437" s="3" t="s">
        <v>20</v>
      </c>
      <c r="L437" s="3">
        <v>0.0</v>
      </c>
      <c r="M437" s="3" t="s">
        <v>21</v>
      </c>
      <c r="N437" s="3">
        <v>25.0</v>
      </c>
      <c r="O437" s="3" t="s">
        <v>41</v>
      </c>
      <c r="P437" s="3" t="s">
        <v>31</v>
      </c>
      <c r="Q437" s="6">
        <f t="shared" si="3"/>
        <v>910000</v>
      </c>
    </row>
    <row r="438">
      <c r="A438" s="3">
        <v>65096.0</v>
      </c>
      <c r="B438" s="3" t="s">
        <v>80</v>
      </c>
      <c r="C438" s="3" t="s">
        <v>18</v>
      </c>
      <c r="D438" s="4" t="str">
        <f t="shared" si="1"/>
        <v>Mr.</v>
      </c>
      <c r="E438" s="3" t="str">
        <f t="shared" si="4"/>
        <v>Mr. Atharv Singh</v>
      </c>
      <c r="F438" s="3" t="str">
        <f>IFERROR(__xludf.DUMMYFUNCTION("SPLIT(B438,"" "")"),"Atharv")</f>
        <v>Atharv</v>
      </c>
      <c r="G438" s="3" t="str">
        <f>IFERROR(__xludf.DUMMYFUNCTION("""COMPUTED_VALUE"""),"Singh")</f>
        <v>Singh</v>
      </c>
      <c r="H438" s="3" t="s">
        <v>25</v>
      </c>
      <c r="I438" s="3">
        <v>2026.0</v>
      </c>
      <c r="J438" s="3">
        <f t="shared" si="2"/>
        <v>10000</v>
      </c>
      <c r="K438" s="3" t="s">
        <v>20</v>
      </c>
      <c r="L438" s="3">
        <v>0.0</v>
      </c>
      <c r="M438" s="3" t="s">
        <v>21</v>
      </c>
      <c r="N438" s="3">
        <f>RANDBETWEEN(0,10)</f>
        <v>9</v>
      </c>
      <c r="O438" s="3" t="s">
        <v>41</v>
      </c>
      <c r="P438" s="3" t="s">
        <v>31</v>
      </c>
      <c r="Q438" s="6">
        <f t="shared" si="3"/>
        <v>910000</v>
      </c>
    </row>
    <row r="439">
      <c r="A439" s="3">
        <v>65098.0</v>
      </c>
      <c r="B439" s="3" t="s">
        <v>385</v>
      </c>
      <c r="C439" s="3" t="s">
        <v>18</v>
      </c>
      <c r="D439" s="4" t="str">
        <f t="shared" si="1"/>
        <v>Mr.</v>
      </c>
      <c r="E439" s="3" t="str">
        <f t="shared" si="4"/>
        <v>Mr. Krishna Singh</v>
      </c>
      <c r="F439" s="3" t="str">
        <f>IFERROR(__xludf.DUMMYFUNCTION("SPLIT(B439,"" "")"),"Krishna")</f>
        <v>Krishna</v>
      </c>
      <c r="G439" s="3" t="str">
        <f>IFERROR(__xludf.DUMMYFUNCTION("""COMPUTED_VALUE"""),"Singh")</f>
        <v>Singh</v>
      </c>
      <c r="H439" s="3" t="s">
        <v>25</v>
      </c>
      <c r="I439" s="3">
        <v>2027.0</v>
      </c>
      <c r="J439" s="3">
        <f t="shared" si="2"/>
        <v>10000</v>
      </c>
      <c r="K439" s="3" t="s">
        <v>20</v>
      </c>
      <c r="L439" s="3">
        <v>0.0</v>
      </c>
      <c r="M439" s="3" t="s">
        <v>21</v>
      </c>
      <c r="N439" s="3">
        <v>42.0</v>
      </c>
      <c r="O439" s="3" t="s">
        <v>41</v>
      </c>
      <c r="P439" s="3" t="s">
        <v>31</v>
      </c>
      <c r="Q439" s="6">
        <f t="shared" si="3"/>
        <v>910000</v>
      </c>
    </row>
    <row r="440">
      <c r="A440" s="3">
        <v>65099.0</v>
      </c>
      <c r="B440" s="3" t="s">
        <v>429</v>
      </c>
      <c r="C440" s="3" t="s">
        <v>18</v>
      </c>
      <c r="D440" s="4" t="str">
        <f t="shared" si="1"/>
        <v>Mr.</v>
      </c>
      <c r="E440" s="3" t="str">
        <f t="shared" si="4"/>
        <v>Mr. Arnav Verma</v>
      </c>
      <c r="F440" s="3" t="str">
        <f>IFERROR(__xludf.DUMMYFUNCTION("SPLIT(B440,"" "")"),"Arnav")</f>
        <v>Arnav</v>
      </c>
      <c r="G440" s="3" t="str">
        <f>IFERROR(__xludf.DUMMYFUNCTION("""COMPUTED_VALUE"""),"Verma")</f>
        <v>Verma</v>
      </c>
      <c r="H440" s="3" t="s">
        <v>33</v>
      </c>
      <c r="I440" s="3">
        <v>2025.0</v>
      </c>
      <c r="J440" s="3">
        <f t="shared" si="2"/>
        <v>10000</v>
      </c>
      <c r="K440" s="3" t="s">
        <v>37</v>
      </c>
      <c r="L440" s="3">
        <v>404.0</v>
      </c>
      <c r="M440" s="3" t="s">
        <v>21</v>
      </c>
      <c r="N440" s="3">
        <v>63.0</v>
      </c>
      <c r="O440" s="3" t="s">
        <v>41</v>
      </c>
      <c r="P440" s="3" t="s">
        <v>31</v>
      </c>
      <c r="Q440" s="6">
        <f t="shared" si="3"/>
        <v>910000</v>
      </c>
    </row>
    <row r="441">
      <c r="A441" s="3">
        <v>65100.0</v>
      </c>
      <c r="B441" s="3" t="s">
        <v>430</v>
      </c>
      <c r="C441" s="3" t="s">
        <v>35</v>
      </c>
      <c r="D441" s="4" t="str">
        <f t="shared" si="1"/>
        <v>Ms.</v>
      </c>
      <c r="E441" s="3" t="str">
        <f t="shared" si="4"/>
        <v>Ms. Diya Naidu</v>
      </c>
      <c r="F441" s="3" t="str">
        <f>IFERROR(__xludf.DUMMYFUNCTION("SPLIT(B441,"" "")"),"Diya")</f>
        <v>Diya</v>
      </c>
      <c r="G441" s="3" t="str">
        <f>IFERROR(__xludf.DUMMYFUNCTION("""COMPUTED_VALUE"""),"Naidu")</f>
        <v>Naidu</v>
      </c>
      <c r="H441" s="3" t="s">
        <v>25</v>
      </c>
      <c r="I441" s="3">
        <v>2025.0</v>
      </c>
      <c r="J441" s="3">
        <f t="shared" si="2"/>
        <v>10000</v>
      </c>
      <c r="K441" s="3" t="s">
        <v>20</v>
      </c>
      <c r="L441" s="3">
        <v>0.0</v>
      </c>
      <c r="M441" s="3" t="s">
        <v>21</v>
      </c>
      <c r="N441" s="3">
        <f t="shared" ref="N441:N442" si="25">RANDBETWEEN(0,10)</f>
        <v>2</v>
      </c>
      <c r="O441" s="3" t="s">
        <v>41</v>
      </c>
      <c r="P441" s="3" t="s">
        <v>23</v>
      </c>
      <c r="Q441" s="6">
        <f t="shared" si="3"/>
        <v>430000</v>
      </c>
    </row>
    <row r="442">
      <c r="A442" s="3">
        <v>65102.0</v>
      </c>
      <c r="B442" s="3" t="s">
        <v>254</v>
      </c>
      <c r="C442" s="3" t="s">
        <v>18</v>
      </c>
      <c r="D442" s="4" t="str">
        <f t="shared" si="1"/>
        <v>Mr.</v>
      </c>
      <c r="E442" s="3" t="str">
        <f t="shared" si="4"/>
        <v>Mr. Arnav Chowdhury</v>
      </c>
      <c r="F442" s="3" t="str">
        <f>IFERROR(__xludf.DUMMYFUNCTION("SPLIT(B442,"" "")"),"Arnav")</f>
        <v>Arnav</v>
      </c>
      <c r="G442" s="3" t="str">
        <f>IFERROR(__xludf.DUMMYFUNCTION("""COMPUTED_VALUE"""),"Chowdhury")</f>
        <v>Chowdhury</v>
      </c>
      <c r="H442" s="3" t="s">
        <v>25</v>
      </c>
      <c r="I442" s="3">
        <v>2022.0</v>
      </c>
      <c r="J442" s="3">
        <f t="shared" si="2"/>
        <v>10000</v>
      </c>
      <c r="K442" s="3" t="s">
        <v>20</v>
      </c>
      <c r="L442" s="3">
        <v>0.0</v>
      </c>
      <c r="M442" s="3" t="s">
        <v>21</v>
      </c>
      <c r="N442" s="3">
        <f t="shared" si="25"/>
        <v>9</v>
      </c>
      <c r="O442" s="3" t="s">
        <v>41</v>
      </c>
      <c r="P442" s="3" t="s">
        <v>31</v>
      </c>
      <c r="Q442" s="6">
        <f t="shared" si="3"/>
        <v>910000</v>
      </c>
    </row>
    <row r="443">
      <c r="A443" s="3">
        <v>65104.0</v>
      </c>
      <c r="B443" s="3" t="s">
        <v>431</v>
      </c>
      <c r="C443" s="3" t="s">
        <v>35</v>
      </c>
      <c r="D443" s="4" t="str">
        <f t="shared" si="1"/>
        <v>Ms.</v>
      </c>
      <c r="E443" s="3" t="str">
        <f t="shared" si="4"/>
        <v>Ms. Mahira Naidu</v>
      </c>
      <c r="F443" s="3" t="str">
        <f>IFERROR(__xludf.DUMMYFUNCTION("SPLIT(B443,"" "")"),"Mahira")</f>
        <v>Mahira</v>
      </c>
      <c r="G443" s="3" t="str">
        <f>IFERROR(__xludf.DUMMYFUNCTION("""COMPUTED_VALUE"""),"Naidu")</f>
        <v>Naidu</v>
      </c>
      <c r="H443" s="3" t="s">
        <v>46</v>
      </c>
      <c r="I443" s="3">
        <v>2022.0</v>
      </c>
      <c r="J443" s="3">
        <f t="shared" si="2"/>
        <v>5000</v>
      </c>
      <c r="K443" s="3" t="s">
        <v>26</v>
      </c>
      <c r="L443" s="3">
        <v>18507.0</v>
      </c>
      <c r="M443" s="3" t="s">
        <v>21</v>
      </c>
      <c r="N443" s="3">
        <v>50.0</v>
      </c>
      <c r="O443" s="3" t="s">
        <v>41</v>
      </c>
      <c r="P443" s="3" t="s">
        <v>38</v>
      </c>
      <c r="Q443" s="6">
        <f t="shared" si="3"/>
        <v>635000</v>
      </c>
    </row>
    <row r="444">
      <c r="A444" s="3">
        <v>65105.0</v>
      </c>
      <c r="B444" s="3" t="s">
        <v>333</v>
      </c>
      <c r="C444" s="3" t="s">
        <v>18</v>
      </c>
      <c r="D444" s="4" t="str">
        <f t="shared" si="1"/>
        <v>Mr.</v>
      </c>
      <c r="E444" s="3" t="str">
        <f t="shared" si="4"/>
        <v>Mr. Samarth Rao</v>
      </c>
      <c r="F444" s="3" t="str">
        <f>IFERROR(__xludf.DUMMYFUNCTION("SPLIT(B444,"" "")"),"Samarth")</f>
        <v>Samarth</v>
      </c>
      <c r="G444" s="3" t="str">
        <f>IFERROR(__xludf.DUMMYFUNCTION("""COMPUTED_VALUE"""),"Rao")</f>
        <v>Rao</v>
      </c>
      <c r="H444" s="3" t="s">
        <v>19</v>
      </c>
      <c r="I444" s="3">
        <v>2023.0</v>
      </c>
      <c r="J444" s="3">
        <f t="shared" si="2"/>
        <v>5000</v>
      </c>
      <c r="K444" s="3" t="s">
        <v>26</v>
      </c>
      <c r="L444" s="3">
        <v>18044.0</v>
      </c>
      <c r="M444" s="3" t="s">
        <v>21</v>
      </c>
      <c r="N444" s="3">
        <v>79.0</v>
      </c>
      <c r="O444" s="3" t="s">
        <v>22</v>
      </c>
      <c r="P444" s="3" t="s">
        <v>23</v>
      </c>
      <c r="Q444" s="6">
        <f t="shared" si="3"/>
        <v>430000</v>
      </c>
    </row>
    <row r="445">
      <c r="A445" s="3">
        <v>65106.0</v>
      </c>
      <c r="B445" s="3" t="s">
        <v>432</v>
      </c>
      <c r="C445" s="3" t="s">
        <v>18</v>
      </c>
      <c r="D445" s="4" t="str">
        <f t="shared" si="1"/>
        <v>Mr.</v>
      </c>
      <c r="E445" s="3" t="str">
        <f t="shared" si="4"/>
        <v>Mr. Aarav Prasad</v>
      </c>
      <c r="F445" s="3" t="str">
        <f>IFERROR(__xludf.DUMMYFUNCTION("SPLIT(B445,"" "")"),"Aarav")</f>
        <v>Aarav</v>
      </c>
      <c r="G445" s="3" t="str">
        <f>IFERROR(__xludf.DUMMYFUNCTION("""COMPUTED_VALUE"""),"Prasad")</f>
        <v>Prasad</v>
      </c>
      <c r="H445" s="3" t="s">
        <v>46</v>
      </c>
      <c r="I445" s="3">
        <v>2024.0</v>
      </c>
      <c r="J445" s="3">
        <f t="shared" si="2"/>
        <v>5000</v>
      </c>
      <c r="K445" s="3" t="s">
        <v>20</v>
      </c>
      <c r="L445" s="3">
        <v>253.0</v>
      </c>
      <c r="M445" s="3" t="s">
        <v>21</v>
      </c>
      <c r="N445" s="3">
        <v>33.0</v>
      </c>
      <c r="O445" s="3" t="s">
        <v>22</v>
      </c>
      <c r="P445" s="3" t="s">
        <v>28</v>
      </c>
      <c r="Q445" s="6">
        <f t="shared" si="3"/>
        <v>400000</v>
      </c>
    </row>
    <row r="446">
      <c r="A446" s="3">
        <v>65107.0</v>
      </c>
      <c r="B446" s="3" t="s">
        <v>433</v>
      </c>
      <c r="C446" s="3" t="s">
        <v>35</v>
      </c>
      <c r="D446" s="4" t="str">
        <f t="shared" si="1"/>
        <v>Ms.</v>
      </c>
      <c r="E446" s="3" t="str">
        <f t="shared" si="4"/>
        <v>Ms. Kyra Chopra</v>
      </c>
      <c r="F446" s="3" t="str">
        <f>IFERROR(__xludf.DUMMYFUNCTION("SPLIT(B446,"" "")"),"Kyra")</f>
        <v>Kyra</v>
      </c>
      <c r="G446" s="3" t="str">
        <f>IFERROR(__xludf.DUMMYFUNCTION("""COMPUTED_VALUE"""),"Chopra")</f>
        <v>Chopra</v>
      </c>
      <c r="H446" s="3" t="s">
        <v>33</v>
      </c>
      <c r="I446" s="3">
        <v>2025.0</v>
      </c>
      <c r="J446" s="3">
        <f t="shared" si="2"/>
        <v>10000</v>
      </c>
      <c r="K446" s="3" t="s">
        <v>26</v>
      </c>
      <c r="L446" s="10">
        <v>1552.0</v>
      </c>
      <c r="M446" s="3" t="s">
        <v>30</v>
      </c>
      <c r="N446" s="3">
        <f t="shared" ref="N446:N447" si="26">RANDBETWEEN(0,10)</f>
        <v>7</v>
      </c>
      <c r="O446" s="3" t="s">
        <v>41</v>
      </c>
      <c r="P446" s="3" t="s">
        <v>28</v>
      </c>
      <c r="Q446" s="6">
        <f t="shared" si="3"/>
        <v>400000</v>
      </c>
    </row>
    <row r="447">
      <c r="A447" s="3">
        <v>65108.0</v>
      </c>
      <c r="B447" s="3" t="s">
        <v>434</v>
      </c>
      <c r="C447" s="3" t="s">
        <v>18</v>
      </c>
      <c r="D447" s="4" t="str">
        <f t="shared" si="1"/>
        <v>Mr.</v>
      </c>
      <c r="E447" s="3" t="str">
        <f t="shared" si="4"/>
        <v>Mr. Rishi Reddy</v>
      </c>
      <c r="F447" s="3" t="str">
        <f>IFERROR(__xludf.DUMMYFUNCTION("SPLIT(B447,"" "")"),"Rishi")</f>
        <v>Rishi</v>
      </c>
      <c r="G447" s="3" t="str">
        <f>IFERROR(__xludf.DUMMYFUNCTION("""COMPUTED_VALUE"""),"Reddy")</f>
        <v>Reddy</v>
      </c>
      <c r="H447" s="3" t="s">
        <v>46</v>
      </c>
      <c r="I447" s="3">
        <v>2022.0</v>
      </c>
      <c r="J447" s="3">
        <f t="shared" si="2"/>
        <v>5000</v>
      </c>
      <c r="K447" s="3" t="s">
        <v>26</v>
      </c>
      <c r="L447" s="3">
        <v>9723.0</v>
      </c>
      <c r="M447" s="3" t="s">
        <v>21</v>
      </c>
      <c r="N447" s="3">
        <f t="shared" si="26"/>
        <v>7</v>
      </c>
      <c r="O447" s="3" t="s">
        <v>41</v>
      </c>
      <c r="P447" s="3" t="s">
        <v>31</v>
      </c>
      <c r="Q447" s="6">
        <f t="shared" si="3"/>
        <v>910000</v>
      </c>
    </row>
    <row r="448">
      <c r="A448" s="3">
        <v>65109.0</v>
      </c>
      <c r="B448" s="3" t="s">
        <v>435</v>
      </c>
      <c r="C448" s="3" t="s">
        <v>35</v>
      </c>
      <c r="D448" s="4" t="str">
        <f t="shared" si="1"/>
        <v>Ms.</v>
      </c>
      <c r="E448" s="3" t="str">
        <f t="shared" si="4"/>
        <v>Ms. Ira Patel</v>
      </c>
      <c r="F448" s="3" t="str">
        <f>IFERROR(__xludf.DUMMYFUNCTION("SPLIT(B448,"" "")"),"Ira")</f>
        <v>Ira</v>
      </c>
      <c r="G448" s="3" t="str">
        <f>IFERROR(__xludf.DUMMYFUNCTION("""COMPUTED_VALUE"""),"Patel")</f>
        <v>Patel</v>
      </c>
      <c r="H448" s="3" t="s">
        <v>33</v>
      </c>
      <c r="I448" s="3">
        <v>2023.0</v>
      </c>
      <c r="J448" s="3">
        <f t="shared" si="2"/>
        <v>10000</v>
      </c>
      <c r="K448" s="3" t="s">
        <v>26</v>
      </c>
      <c r="L448" s="3">
        <v>9405.0</v>
      </c>
      <c r="M448" s="3" t="s">
        <v>30</v>
      </c>
      <c r="N448" s="3">
        <v>37.0</v>
      </c>
      <c r="O448" s="3" t="s">
        <v>22</v>
      </c>
      <c r="P448" s="3" t="s">
        <v>38</v>
      </c>
      <c r="Q448" s="6">
        <f t="shared" si="3"/>
        <v>635000</v>
      </c>
    </row>
    <row r="449">
      <c r="A449" s="3">
        <v>65110.0</v>
      </c>
      <c r="B449" s="3" t="s">
        <v>436</v>
      </c>
      <c r="C449" s="3" t="s">
        <v>35</v>
      </c>
      <c r="D449" s="4" t="str">
        <f t="shared" si="1"/>
        <v>Ms.</v>
      </c>
      <c r="E449" s="3" t="str">
        <f t="shared" si="4"/>
        <v>Ms. Mahira Iyer</v>
      </c>
      <c r="F449" s="3" t="str">
        <f>IFERROR(__xludf.DUMMYFUNCTION("SPLIT(B449,"" "")"),"Mahira")</f>
        <v>Mahira</v>
      </c>
      <c r="G449" s="3" t="str">
        <f>IFERROR(__xludf.DUMMYFUNCTION("""COMPUTED_VALUE"""),"Iyer")</f>
        <v>Iyer</v>
      </c>
      <c r="H449" s="3" t="s">
        <v>33</v>
      </c>
      <c r="I449" s="3">
        <v>2023.0</v>
      </c>
      <c r="J449" s="3">
        <f t="shared" si="2"/>
        <v>10000</v>
      </c>
      <c r="K449" s="3" t="s">
        <v>20</v>
      </c>
      <c r="L449" s="3">
        <v>0.0</v>
      </c>
      <c r="M449" s="3" t="s">
        <v>30</v>
      </c>
      <c r="N449" s="3">
        <v>66.0</v>
      </c>
      <c r="O449" s="3" t="s">
        <v>41</v>
      </c>
      <c r="P449" s="3" t="s">
        <v>28</v>
      </c>
      <c r="Q449" s="6">
        <f t="shared" si="3"/>
        <v>400000</v>
      </c>
    </row>
    <row r="450">
      <c r="A450" s="3">
        <v>65111.0</v>
      </c>
      <c r="B450" s="3" t="s">
        <v>437</v>
      </c>
      <c r="C450" s="3" t="s">
        <v>18</v>
      </c>
      <c r="D450" s="4" t="str">
        <f t="shared" si="1"/>
        <v>Mr.</v>
      </c>
      <c r="E450" s="3" t="str">
        <f t="shared" si="4"/>
        <v>Mr. Raghav Jain</v>
      </c>
      <c r="F450" s="3" t="str">
        <f>IFERROR(__xludf.DUMMYFUNCTION("SPLIT(B450,"" "")"),"Raghav")</f>
        <v>Raghav</v>
      </c>
      <c r="G450" s="3" t="str">
        <f>IFERROR(__xludf.DUMMYFUNCTION("""COMPUTED_VALUE"""),"Jain")</f>
        <v>Jain</v>
      </c>
      <c r="H450" s="3" t="s">
        <v>33</v>
      </c>
      <c r="I450" s="3">
        <v>2026.0</v>
      </c>
      <c r="J450" s="3">
        <f t="shared" si="2"/>
        <v>10000</v>
      </c>
      <c r="K450" s="3" t="s">
        <v>20</v>
      </c>
      <c r="L450" s="3">
        <v>0.0</v>
      </c>
      <c r="M450" s="3" t="s">
        <v>21</v>
      </c>
      <c r="N450" s="3">
        <f t="shared" ref="N450:N451" si="27">RANDBETWEEN(0,10)</f>
        <v>2</v>
      </c>
      <c r="O450" s="3" t="s">
        <v>41</v>
      </c>
      <c r="P450" s="3" t="s">
        <v>38</v>
      </c>
      <c r="Q450" s="6">
        <f t="shared" si="3"/>
        <v>635000</v>
      </c>
    </row>
    <row r="451">
      <c r="A451" s="3">
        <v>65112.0</v>
      </c>
      <c r="B451" s="3" t="s">
        <v>438</v>
      </c>
      <c r="C451" s="3" t="s">
        <v>35</v>
      </c>
      <c r="D451" s="4" t="str">
        <f t="shared" si="1"/>
        <v>Ms.</v>
      </c>
      <c r="E451" s="3" t="str">
        <f t="shared" si="4"/>
        <v>Ms. Siya Bhat</v>
      </c>
      <c r="F451" s="3" t="str">
        <f>IFERROR(__xludf.DUMMYFUNCTION("SPLIT(B451,"" "")"),"Siya")</f>
        <v>Siya</v>
      </c>
      <c r="G451" s="3" t="str">
        <f>IFERROR(__xludf.DUMMYFUNCTION("""COMPUTED_VALUE"""),"Bhat")</f>
        <v>Bhat</v>
      </c>
      <c r="H451" s="3" t="s">
        <v>46</v>
      </c>
      <c r="I451" s="3">
        <v>2027.0</v>
      </c>
      <c r="J451" s="3">
        <f t="shared" si="2"/>
        <v>5000</v>
      </c>
      <c r="K451" s="3" t="s">
        <v>26</v>
      </c>
      <c r="L451" s="3">
        <v>19658.0</v>
      </c>
      <c r="M451" s="3" t="s">
        <v>21</v>
      </c>
      <c r="N451" s="3">
        <f t="shared" si="27"/>
        <v>5</v>
      </c>
      <c r="O451" s="3" t="s">
        <v>41</v>
      </c>
      <c r="P451" s="3" t="s">
        <v>31</v>
      </c>
      <c r="Q451" s="6">
        <f t="shared" si="3"/>
        <v>910000</v>
      </c>
    </row>
    <row r="452">
      <c r="A452" s="3">
        <v>65113.0</v>
      </c>
      <c r="B452" s="3" t="s">
        <v>118</v>
      </c>
      <c r="C452" s="3" t="s">
        <v>18</v>
      </c>
      <c r="D452" s="4" t="str">
        <f t="shared" si="1"/>
        <v>Mr.</v>
      </c>
      <c r="E452" s="3" t="str">
        <f t="shared" si="4"/>
        <v>Mr. Vivaan Patel</v>
      </c>
      <c r="F452" s="3" t="str">
        <f>IFERROR(__xludf.DUMMYFUNCTION("SPLIT(B452,"" "")"),"Vivaan")</f>
        <v>Vivaan</v>
      </c>
      <c r="G452" s="3" t="str">
        <f>IFERROR(__xludf.DUMMYFUNCTION("""COMPUTED_VALUE"""),"Patel")</f>
        <v>Patel</v>
      </c>
      <c r="H452" s="3" t="s">
        <v>19</v>
      </c>
      <c r="I452" s="3">
        <v>2027.0</v>
      </c>
      <c r="J452" s="3">
        <f t="shared" si="2"/>
        <v>5000</v>
      </c>
      <c r="K452" s="3" t="s">
        <v>20</v>
      </c>
      <c r="L452" s="3">
        <v>0.0</v>
      </c>
      <c r="M452" s="3" t="s">
        <v>21</v>
      </c>
      <c r="N452" s="3">
        <v>5.0</v>
      </c>
      <c r="O452" s="3" t="s">
        <v>41</v>
      </c>
      <c r="P452" s="3" t="s">
        <v>38</v>
      </c>
      <c r="Q452" s="6">
        <f t="shared" si="3"/>
        <v>635000</v>
      </c>
    </row>
    <row r="453">
      <c r="A453" s="3">
        <v>65114.0</v>
      </c>
      <c r="B453" s="3" t="s">
        <v>439</v>
      </c>
      <c r="C453" s="3" t="s">
        <v>18</v>
      </c>
      <c r="D453" s="4" t="str">
        <f t="shared" si="1"/>
        <v>Mr.</v>
      </c>
      <c r="E453" s="3" t="str">
        <f t="shared" si="4"/>
        <v>Mr. Aarav Sinha</v>
      </c>
      <c r="F453" s="3" t="str">
        <f>IFERROR(__xludf.DUMMYFUNCTION("SPLIT(B453,"" "")"),"Aarav")</f>
        <v>Aarav</v>
      </c>
      <c r="G453" s="3" t="str">
        <f>IFERROR(__xludf.DUMMYFUNCTION("""COMPUTED_VALUE"""),"Sinha")</f>
        <v>Sinha</v>
      </c>
      <c r="H453" s="3" t="s">
        <v>25</v>
      </c>
      <c r="I453" s="3">
        <v>2024.0</v>
      </c>
      <c r="J453" s="3">
        <f t="shared" si="2"/>
        <v>10000</v>
      </c>
      <c r="K453" s="3" t="s">
        <v>26</v>
      </c>
      <c r="L453" s="3">
        <v>8221.0</v>
      </c>
      <c r="M453" s="3" t="s">
        <v>21</v>
      </c>
      <c r="N453" s="3">
        <v>28.0</v>
      </c>
      <c r="O453" s="3" t="s">
        <v>22</v>
      </c>
      <c r="P453" s="3" t="s">
        <v>23</v>
      </c>
      <c r="Q453" s="6">
        <f t="shared" si="3"/>
        <v>430000</v>
      </c>
    </row>
    <row r="454">
      <c r="A454" s="3">
        <v>65115.0</v>
      </c>
      <c r="B454" s="3" t="s">
        <v>65</v>
      </c>
      <c r="C454" s="3" t="s">
        <v>35</v>
      </c>
      <c r="D454" s="4" t="str">
        <f t="shared" si="1"/>
        <v>Ms.</v>
      </c>
      <c r="E454" s="3" t="str">
        <f t="shared" si="4"/>
        <v>Ms. Diya Sharma</v>
      </c>
      <c r="F454" s="3" t="str">
        <f>IFERROR(__xludf.DUMMYFUNCTION("SPLIT(B454,"" "")"),"Diya")</f>
        <v>Diya</v>
      </c>
      <c r="G454" s="3" t="str">
        <f>IFERROR(__xludf.DUMMYFUNCTION("""COMPUTED_VALUE"""),"Sharma")</f>
        <v>Sharma</v>
      </c>
      <c r="H454" s="3" t="s">
        <v>33</v>
      </c>
      <c r="I454" s="3">
        <v>2018.0</v>
      </c>
      <c r="J454" s="3">
        <f t="shared" si="2"/>
        <v>10000</v>
      </c>
      <c r="K454" s="3" t="s">
        <v>20</v>
      </c>
      <c r="L454" s="3">
        <v>0.0</v>
      </c>
      <c r="M454" s="3" t="s">
        <v>21</v>
      </c>
      <c r="N454" s="3">
        <v>21.0</v>
      </c>
      <c r="O454" s="3" t="s">
        <v>41</v>
      </c>
      <c r="P454" s="3" t="s">
        <v>78</v>
      </c>
      <c r="Q454" s="6">
        <f t="shared" si="3"/>
        <v>255000</v>
      </c>
    </row>
    <row r="455">
      <c r="A455" s="3">
        <v>65116.0</v>
      </c>
      <c r="B455" s="3" t="s">
        <v>440</v>
      </c>
      <c r="C455" s="3" t="s">
        <v>18</v>
      </c>
      <c r="D455" s="4" t="str">
        <f t="shared" si="1"/>
        <v>Mr.</v>
      </c>
      <c r="E455" s="3" t="str">
        <f t="shared" si="4"/>
        <v>Mr. Kabir Rao</v>
      </c>
      <c r="F455" s="3" t="str">
        <f>IFERROR(__xludf.DUMMYFUNCTION("SPLIT(B455,"" "")"),"Kabir")</f>
        <v>Kabir</v>
      </c>
      <c r="G455" s="3" t="str">
        <f>IFERROR(__xludf.DUMMYFUNCTION("""COMPUTED_VALUE"""),"Rao")</f>
        <v>Rao</v>
      </c>
      <c r="H455" s="3" t="s">
        <v>19</v>
      </c>
      <c r="I455" s="3">
        <v>2027.0</v>
      </c>
      <c r="J455" s="3">
        <f t="shared" si="2"/>
        <v>5000</v>
      </c>
      <c r="K455" s="3" t="s">
        <v>26</v>
      </c>
      <c r="L455" s="3">
        <v>17164.0</v>
      </c>
      <c r="M455" s="3" t="s">
        <v>21</v>
      </c>
      <c r="N455" s="3">
        <v>42.0</v>
      </c>
      <c r="O455" s="3" t="s">
        <v>41</v>
      </c>
      <c r="P455" s="3" t="s">
        <v>28</v>
      </c>
      <c r="Q455" s="6">
        <f t="shared" si="3"/>
        <v>400000</v>
      </c>
    </row>
    <row r="456">
      <c r="A456" s="3">
        <v>65117.0</v>
      </c>
      <c r="B456" s="3" t="s">
        <v>441</v>
      </c>
      <c r="C456" s="3" t="s">
        <v>18</v>
      </c>
      <c r="D456" s="4" t="str">
        <f t="shared" si="1"/>
        <v>Mr.</v>
      </c>
      <c r="E456" s="3" t="str">
        <f t="shared" si="4"/>
        <v>Mr. Arnav Mishra</v>
      </c>
      <c r="F456" s="3" t="str">
        <f>IFERROR(__xludf.DUMMYFUNCTION("SPLIT(B456,"" "")"),"Arnav")</f>
        <v>Arnav</v>
      </c>
      <c r="G456" s="3" t="str">
        <f>IFERROR(__xludf.DUMMYFUNCTION("""COMPUTED_VALUE"""),"Mishra")</f>
        <v>Mishra</v>
      </c>
      <c r="H456" s="3" t="s">
        <v>46</v>
      </c>
      <c r="I456" s="3">
        <v>2027.0</v>
      </c>
      <c r="J456" s="3">
        <f t="shared" si="2"/>
        <v>5000</v>
      </c>
      <c r="K456" s="3" t="s">
        <v>26</v>
      </c>
      <c r="L456" s="3">
        <v>21949.0</v>
      </c>
      <c r="M456" s="3" t="s">
        <v>21</v>
      </c>
      <c r="N456" s="3">
        <v>57.0</v>
      </c>
      <c r="O456" s="3" t="s">
        <v>41</v>
      </c>
      <c r="P456" s="3" t="s">
        <v>28</v>
      </c>
      <c r="Q456" s="6">
        <f t="shared" si="3"/>
        <v>400000</v>
      </c>
    </row>
    <row r="457">
      <c r="A457" s="3">
        <v>65118.0</v>
      </c>
      <c r="B457" s="3" t="s">
        <v>421</v>
      </c>
      <c r="C457" s="3" t="s">
        <v>35</v>
      </c>
      <c r="D457" s="4" t="str">
        <f t="shared" si="1"/>
        <v>Ms.</v>
      </c>
      <c r="E457" s="3" t="str">
        <f t="shared" si="4"/>
        <v>Ms. Gauri Malik</v>
      </c>
      <c r="F457" s="3" t="str">
        <f>IFERROR(__xludf.DUMMYFUNCTION("SPLIT(B457,"" "")"),"Gauri")</f>
        <v>Gauri</v>
      </c>
      <c r="G457" s="3" t="str">
        <f>IFERROR(__xludf.DUMMYFUNCTION("""COMPUTED_VALUE"""),"Malik")</f>
        <v>Malik</v>
      </c>
      <c r="H457" s="3" t="s">
        <v>33</v>
      </c>
      <c r="I457" s="3">
        <v>2017.0</v>
      </c>
      <c r="J457" s="3">
        <f t="shared" si="2"/>
        <v>10000</v>
      </c>
      <c r="K457" s="3" t="s">
        <v>20</v>
      </c>
      <c r="L457" s="3">
        <v>206.0</v>
      </c>
      <c r="M457" s="3" t="s">
        <v>21</v>
      </c>
      <c r="N457" s="3">
        <v>57.0</v>
      </c>
      <c r="O457" s="3" t="s">
        <v>41</v>
      </c>
      <c r="P457" s="3" t="s">
        <v>78</v>
      </c>
      <c r="Q457" s="6">
        <f t="shared" si="3"/>
        <v>255000</v>
      </c>
    </row>
    <row r="458">
      <c r="A458" s="3">
        <v>65119.0</v>
      </c>
      <c r="B458" s="3" t="s">
        <v>36</v>
      </c>
      <c r="C458" s="3" t="s">
        <v>35</v>
      </c>
      <c r="D458" s="4" t="str">
        <f t="shared" si="1"/>
        <v>Ms.</v>
      </c>
      <c r="E458" s="3" t="str">
        <f t="shared" si="4"/>
        <v>Ms. Ira Naidu</v>
      </c>
      <c r="F458" s="3" t="str">
        <f>IFERROR(__xludf.DUMMYFUNCTION("SPLIT(B458,"" "")"),"Ira")</f>
        <v>Ira</v>
      </c>
      <c r="G458" s="3" t="str">
        <f>IFERROR(__xludf.DUMMYFUNCTION("""COMPUTED_VALUE"""),"Naidu")</f>
        <v>Naidu</v>
      </c>
      <c r="H458" s="3" t="s">
        <v>46</v>
      </c>
      <c r="I458" s="3">
        <v>2021.0</v>
      </c>
      <c r="J458" s="3">
        <f t="shared" si="2"/>
        <v>5000</v>
      </c>
      <c r="K458" s="3" t="s">
        <v>20</v>
      </c>
      <c r="L458" s="10">
        <v>28592.0</v>
      </c>
      <c r="M458" s="3" t="s">
        <v>21</v>
      </c>
      <c r="N458" s="3">
        <v>16.0</v>
      </c>
      <c r="O458" s="3" t="s">
        <v>22</v>
      </c>
      <c r="P458" s="3" t="s">
        <v>31</v>
      </c>
      <c r="Q458" s="6">
        <f t="shared" si="3"/>
        <v>910000</v>
      </c>
    </row>
    <row r="459">
      <c r="A459" s="3">
        <v>65120.0</v>
      </c>
      <c r="B459" s="3" t="s">
        <v>442</v>
      </c>
      <c r="C459" s="3" t="s">
        <v>18</v>
      </c>
      <c r="D459" s="4" t="str">
        <f t="shared" si="1"/>
        <v>Mr.</v>
      </c>
      <c r="E459" s="3" t="str">
        <f t="shared" si="4"/>
        <v>Mr. Kabir Patel</v>
      </c>
      <c r="F459" s="3" t="str">
        <f>IFERROR(__xludf.DUMMYFUNCTION("SPLIT(B459,"" "")"),"Kabir")</f>
        <v>Kabir</v>
      </c>
      <c r="G459" s="3" t="str">
        <f>IFERROR(__xludf.DUMMYFUNCTION("""COMPUTED_VALUE"""),"Patel")</f>
        <v>Patel</v>
      </c>
      <c r="H459" s="3" t="s">
        <v>25</v>
      </c>
      <c r="I459" s="3">
        <v>2012.0</v>
      </c>
      <c r="J459" s="3">
        <f t="shared" si="2"/>
        <v>10000</v>
      </c>
      <c r="K459" s="3" t="s">
        <v>26</v>
      </c>
      <c r="L459" s="3">
        <v>6129.0</v>
      </c>
      <c r="M459" s="3" t="s">
        <v>30</v>
      </c>
      <c r="N459" s="3">
        <v>37.0</v>
      </c>
      <c r="O459" s="3" t="s">
        <v>41</v>
      </c>
      <c r="P459" s="3" t="s">
        <v>78</v>
      </c>
      <c r="Q459" s="6">
        <f t="shared" si="3"/>
        <v>255000</v>
      </c>
    </row>
    <row r="460">
      <c r="A460" s="3">
        <v>65121.0</v>
      </c>
      <c r="B460" s="3" t="s">
        <v>443</v>
      </c>
      <c r="C460" s="3" t="s">
        <v>35</v>
      </c>
      <c r="D460" s="4" t="str">
        <f t="shared" si="1"/>
        <v>Ms.</v>
      </c>
      <c r="E460" s="3" t="str">
        <f t="shared" si="4"/>
        <v>Ms. Riddhi Prasad</v>
      </c>
      <c r="F460" s="3" t="str">
        <f>IFERROR(__xludf.DUMMYFUNCTION("SPLIT(B460,"" "")"),"Riddhi")</f>
        <v>Riddhi</v>
      </c>
      <c r="G460" s="3" t="str">
        <f>IFERROR(__xludf.DUMMYFUNCTION("""COMPUTED_VALUE"""),"Prasad")</f>
        <v>Prasad</v>
      </c>
      <c r="H460" s="3" t="s">
        <v>25</v>
      </c>
      <c r="I460" s="3">
        <v>2023.0</v>
      </c>
      <c r="J460" s="3">
        <f t="shared" si="2"/>
        <v>10000</v>
      </c>
      <c r="K460" s="3" t="s">
        <v>26</v>
      </c>
      <c r="L460" s="3">
        <v>4436.0</v>
      </c>
      <c r="M460" s="3" t="s">
        <v>21</v>
      </c>
      <c r="N460" s="3">
        <f>RANDBETWEEN(0,10)</f>
        <v>4</v>
      </c>
      <c r="O460" s="3" t="s">
        <v>41</v>
      </c>
      <c r="P460" s="3" t="s">
        <v>78</v>
      </c>
      <c r="Q460" s="6">
        <f t="shared" si="3"/>
        <v>255000</v>
      </c>
    </row>
    <row r="461">
      <c r="A461" s="3">
        <v>65122.0</v>
      </c>
      <c r="B461" s="3" t="s">
        <v>444</v>
      </c>
      <c r="C461" s="3" t="s">
        <v>35</v>
      </c>
      <c r="D461" s="4" t="str">
        <f t="shared" si="1"/>
        <v>Ms.</v>
      </c>
      <c r="E461" s="3" t="str">
        <f t="shared" si="4"/>
        <v>Ms. Ira Verma</v>
      </c>
      <c r="F461" s="3" t="str">
        <f>IFERROR(__xludf.DUMMYFUNCTION("SPLIT(B461,"" "")"),"Ira")</f>
        <v>Ira</v>
      </c>
      <c r="G461" s="3" t="str">
        <f>IFERROR(__xludf.DUMMYFUNCTION("""COMPUTED_VALUE"""),"Verma")</f>
        <v>Verma</v>
      </c>
      <c r="H461" s="3" t="s">
        <v>33</v>
      </c>
      <c r="I461" s="3">
        <v>2020.0</v>
      </c>
      <c r="J461" s="3">
        <f t="shared" si="2"/>
        <v>10000</v>
      </c>
      <c r="K461" s="3" t="s">
        <v>20</v>
      </c>
      <c r="L461" s="3">
        <v>0.0</v>
      </c>
      <c r="M461" s="3" t="s">
        <v>21</v>
      </c>
      <c r="N461" s="3">
        <v>51.0</v>
      </c>
      <c r="O461" s="3" t="s">
        <v>41</v>
      </c>
      <c r="P461" s="3" t="s">
        <v>28</v>
      </c>
      <c r="Q461" s="6">
        <f t="shared" si="3"/>
        <v>400000</v>
      </c>
    </row>
    <row r="462">
      <c r="A462" s="3">
        <v>65123.0</v>
      </c>
      <c r="B462" s="3" t="s">
        <v>445</v>
      </c>
      <c r="C462" s="3" t="s">
        <v>35</v>
      </c>
      <c r="D462" s="4" t="str">
        <f t="shared" si="1"/>
        <v>Ms.</v>
      </c>
      <c r="E462" s="3" t="str">
        <f t="shared" si="4"/>
        <v>Ms. Inaaya Bhatt</v>
      </c>
      <c r="F462" s="3" t="str">
        <f>IFERROR(__xludf.DUMMYFUNCTION("SPLIT(B462,"" "")"),"Inaaya")</f>
        <v>Inaaya</v>
      </c>
      <c r="G462" s="3" t="str">
        <f>IFERROR(__xludf.DUMMYFUNCTION("""COMPUTED_VALUE"""),"Bhatt")</f>
        <v>Bhatt</v>
      </c>
      <c r="H462" s="3" t="s">
        <v>33</v>
      </c>
      <c r="I462" s="3">
        <v>2025.0</v>
      </c>
      <c r="J462" s="3">
        <f t="shared" si="2"/>
        <v>10000</v>
      </c>
      <c r="K462" s="3" t="s">
        <v>20</v>
      </c>
      <c r="L462" s="3">
        <v>25.0</v>
      </c>
      <c r="M462" s="3" t="s">
        <v>21</v>
      </c>
      <c r="N462" s="3">
        <v>65.0</v>
      </c>
      <c r="O462" s="3" t="s">
        <v>22</v>
      </c>
      <c r="P462" s="3" t="s">
        <v>78</v>
      </c>
      <c r="Q462" s="6">
        <f t="shared" si="3"/>
        <v>255000</v>
      </c>
    </row>
    <row r="463">
      <c r="A463" s="3">
        <v>65124.0</v>
      </c>
      <c r="B463" s="3" t="s">
        <v>446</v>
      </c>
      <c r="C463" s="3" t="s">
        <v>18</v>
      </c>
      <c r="D463" s="4" t="str">
        <f t="shared" si="1"/>
        <v>Mr.</v>
      </c>
      <c r="E463" s="3" t="str">
        <f t="shared" si="4"/>
        <v>Mr. Laksh Das</v>
      </c>
      <c r="F463" s="3" t="str">
        <f>IFERROR(__xludf.DUMMYFUNCTION("SPLIT(B463,"" "")"),"Laksh")</f>
        <v>Laksh</v>
      </c>
      <c r="G463" s="3" t="str">
        <f>IFERROR(__xludf.DUMMYFUNCTION("""COMPUTED_VALUE"""),"Das")</f>
        <v>Das</v>
      </c>
      <c r="H463" s="3" t="s">
        <v>25</v>
      </c>
      <c r="I463" s="3">
        <v>2021.0</v>
      </c>
      <c r="J463" s="3">
        <f t="shared" si="2"/>
        <v>10000</v>
      </c>
      <c r="K463" s="3" t="s">
        <v>20</v>
      </c>
      <c r="L463" s="3">
        <v>0.0</v>
      </c>
      <c r="M463" s="3" t="s">
        <v>21</v>
      </c>
      <c r="N463" s="3">
        <v>9.0</v>
      </c>
      <c r="O463" s="3" t="s">
        <v>41</v>
      </c>
      <c r="P463" s="3" t="s">
        <v>31</v>
      </c>
      <c r="Q463" s="6">
        <f t="shared" si="3"/>
        <v>910000</v>
      </c>
    </row>
    <row r="464">
      <c r="A464" s="3">
        <v>65125.0</v>
      </c>
      <c r="B464" s="3" t="s">
        <v>202</v>
      </c>
      <c r="C464" s="3" t="s">
        <v>18</v>
      </c>
      <c r="D464" s="4" t="str">
        <f t="shared" si="1"/>
        <v>Mr.</v>
      </c>
      <c r="E464" s="3" t="str">
        <f t="shared" si="4"/>
        <v>Mr. Arnav Sharma</v>
      </c>
      <c r="F464" s="3" t="str">
        <f>IFERROR(__xludf.DUMMYFUNCTION("SPLIT(B464,"" "")"),"Arnav")</f>
        <v>Arnav</v>
      </c>
      <c r="G464" s="3" t="str">
        <f>IFERROR(__xludf.DUMMYFUNCTION("""COMPUTED_VALUE"""),"Sharma")</f>
        <v>Sharma</v>
      </c>
      <c r="H464" s="3" t="s">
        <v>25</v>
      </c>
      <c r="I464" s="3">
        <v>2024.0</v>
      </c>
      <c r="J464" s="3">
        <f t="shared" si="2"/>
        <v>10000</v>
      </c>
      <c r="K464" s="3" t="s">
        <v>26</v>
      </c>
      <c r="L464" s="3">
        <v>15694.0</v>
      </c>
      <c r="M464" s="3" t="s">
        <v>21</v>
      </c>
      <c r="N464" s="3">
        <v>44.0</v>
      </c>
      <c r="O464" s="3" t="s">
        <v>22</v>
      </c>
      <c r="P464" s="3" t="s">
        <v>78</v>
      </c>
      <c r="Q464" s="6">
        <f t="shared" si="3"/>
        <v>255000</v>
      </c>
    </row>
    <row r="465">
      <c r="A465" s="3">
        <v>65126.0</v>
      </c>
      <c r="B465" s="3" t="s">
        <v>447</v>
      </c>
      <c r="C465" s="3" t="s">
        <v>35</v>
      </c>
      <c r="D465" s="4" t="str">
        <f t="shared" si="1"/>
        <v>Ms.</v>
      </c>
      <c r="E465" s="3" t="str">
        <f t="shared" si="4"/>
        <v>Ms. Navya Malik</v>
      </c>
      <c r="F465" s="3" t="str">
        <f>IFERROR(__xludf.DUMMYFUNCTION("SPLIT(B465,"" "")"),"Navya")</f>
        <v>Navya</v>
      </c>
      <c r="G465" s="3" t="str">
        <f>IFERROR(__xludf.DUMMYFUNCTION("""COMPUTED_VALUE"""),"Malik")</f>
        <v>Malik</v>
      </c>
      <c r="H465" s="3" t="s">
        <v>19</v>
      </c>
      <c r="I465" s="3">
        <v>2027.0</v>
      </c>
      <c r="J465" s="3">
        <f t="shared" si="2"/>
        <v>5000</v>
      </c>
      <c r="K465" s="3" t="s">
        <v>20</v>
      </c>
      <c r="L465" s="3">
        <v>0.0</v>
      </c>
      <c r="M465" s="3" t="s">
        <v>21</v>
      </c>
      <c r="N465" s="3">
        <v>76.0</v>
      </c>
      <c r="O465" s="3" t="s">
        <v>41</v>
      </c>
      <c r="P465" s="3" t="s">
        <v>38</v>
      </c>
      <c r="Q465" s="6">
        <f t="shared" si="3"/>
        <v>635000</v>
      </c>
    </row>
    <row r="466">
      <c r="A466" s="3">
        <v>65127.0</v>
      </c>
      <c r="B466" s="3" t="s">
        <v>448</v>
      </c>
      <c r="C466" s="3" t="s">
        <v>35</v>
      </c>
      <c r="D466" s="4" t="str">
        <f t="shared" si="1"/>
        <v>Ms.</v>
      </c>
      <c r="E466" s="3" t="str">
        <f t="shared" si="4"/>
        <v>Ms. Lavanya Patel</v>
      </c>
      <c r="F466" s="3" t="str">
        <f>IFERROR(__xludf.DUMMYFUNCTION("SPLIT(B466,"" "")"),"Lavanya")</f>
        <v>Lavanya</v>
      </c>
      <c r="G466" s="3" t="str">
        <f>IFERROR(__xludf.DUMMYFUNCTION("""COMPUTED_VALUE"""),"Patel")</f>
        <v>Patel</v>
      </c>
      <c r="H466" s="3" t="s">
        <v>33</v>
      </c>
      <c r="I466" s="3">
        <v>2028.0</v>
      </c>
      <c r="J466" s="3">
        <f t="shared" si="2"/>
        <v>10000</v>
      </c>
      <c r="K466" s="3" t="s">
        <v>26</v>
      </c>
      <c r="L466" s="3">
        <v>7907.0</v>
      </c>
      <c r="M466" s="3" t="s">
        <v>21</v>
      </c>
      <c r="N466" s="3">
        <v>12.0</v>
      </c>
      <c r="O466" s="3" t="s">
        <v>41</v>
      </c>
      <c r="P466" s="3" t="s">
        <v>28</v>
      </c>
      <c r="Q466" s="6">
        <f t="shared" si="3"/>
        <v>400000</v>
      </c>
    </row>
    <row r="467">
      <c r="A467" s="3">
        <v>65128.0</v>
      </c>
      <c r="B467" s="3" t="s">
        <v>344</v>
      </c>
      <c r="C467" s="3" t="s">
        <v>35</v>
      </c>
      <c r="D467" s="4" t="str">
        <f t="shared" si="1"/>
        <v>Ms.</v>
      </c>
      <c r="E467" s="3" t="str">
        <f t="shared" si="4"/>
        <v>Ms. Gauri Desai</v>
      </c>
      <c r="F467" s="3" t="str">
        <f>IFERROR(__xludf.DUMMYFUNCTION("SPLIT(B467,"" "")"),"Gauri")</f>
        <v>Gauri</v>
      </c>
      <c r="G467" s="3" t="str">
        <f>IFERROR(__xludf.DUMMYFUNCTION("""COMPUTED_VALUE"""),"Desai")</f>
        <v>Desai</v>
      </c>
      <c r="H467" s="3" t="s">
        <v>25</v>
      </c>
      <c r="I467" s="3">
        <v>2025.0</v>
      </c>
      <c r="J467" s="3">
        <f t="shared" si="2"/>
        <v>10000</v>
      </c>
      <c r="K467" s="3" t="s">
        <v>20</v>
      </c>
      <c r="L467" s="3">
        <v>0.0</v>
      </c>
      <c r="M467" s="3" t="s">
        <v>21</v>
      </c>
      <c r="N467" s="3">
        <v>15.0</v>
      </c>
      <c r="O467" s="3" t="s">
        <v>41</v>
      </c>
      <c r="P467" s="3" t="s">
        <v>31</v>
      </c>
      <c r="Q467" s="6">
        <f t="shared" si="3"/>
        <v>910000</v>
      </c>
    </row>
    <row r="468">
      <c r="A468" s="3">
        <v>65129.0</v>
      </c>
      <c r="B468" s="3" t="s">
        <v>449</v>
      </c>
      <c r="C468" s="3" t="s">
        <v>35</v>
      </c>
      <c r="D468" s="4" t="str">
        <f t="shared" si="1"/>
        <v>Ms.</v>
      </c>
      <c r="E468" s="3" t="str">
        <f t="shared" si="4"/>
        <v>Ms. Anaya Sharma</v>
      </c>
      <c r="F468" s="3" t="str">
        <f>IFERROR(__xludf.DUMMYFUNCTION("SPLIT(B468,"" "")"),"Anaya")</f>
        <v>Anaya</v>
      </c>
      <c r="G468" s="3" t="str">
        <f>IFERROR(__xludf.DUMMYFUNCTION("""COMPUTED_VALUE"""),"Sharma")</f>
        <v>Sharma</v>
      </c>
      <c r="H468" s="3" t="s">
        <v>25</v>
      </c>
      <c r="I468" s="3">
        <v>2023.0</v>
      </c>
      <c r="J468" s="3">
        <f t="shared" si="2"/>
        <v>10000</v>
      </c>
      <c r="K468" s="3" t="s">
        <v>20</v>
      </c>
      <c r="L468" s="3">
        <v>803.0</v>
      </c>
      <c r="M468" s="3" t="s">
        <v>21</v>
      </c>
      <c r="N468" s="3">
        <v>52.0</v>
      </c>
      <c r="O468" s="3" t="s">
        <v>22</v>
      </c>
      <c r="P468" s="3" t="s">
        <v>38</v>
      </c>
      <c r="Q468" s="6">
        <f t="shared" si="3"/>
        <v>635000</v>
      </c>
    </row>
    <row r="469">
      <c r="A469" s="3">
        <v>65130.0</v>
      </c>
      <c r="B469" s="3" t="s">
        <v>450</v>
      </c>
      <c r="C469" s="3" t="s">
        <v>35</v>
      </c>
      <c r="D469" s="4" t="str">
        <f t="shared" si="1"/>
        <v>Ms.</v>
      </c>
      <c r="E469" s="3" t="str">
        <f t="shared" si="4"/>
        <v>Ms. Mahira Chowdhury</v>
      </c>
      <c r="F469" s="3" t="str">
        <f>IFERROR(__xludf.DUMMYFUNCTION("SPLIT(B469,"" "")"),"Mahira")</f>
        <v>Mahira</v>
      </c>
      <c r="G469" s="3" t="str">
        <f>IFERROR(__xludf.DUMMYFUNCTION("""COMPUTED_VALUE"""),"Chowdhury")</f>
        <v>Chowdhury</v>
      </c>
      <c r="H469" s="3" t="s">
        <v>25</v>
      </c>
      <c r="I469" s="3">
        <v>2024.0</v>
      </c>
      <c r="J469" s="3">
        <f t="shared" si="2"/>
        <v>10000</v>
      </c>
      <c r="K469" s="3" t="s">
        <v>20</v>
      </c>
      <c r="L469" s="3">
        <v>0.0</v>
      </c>
      <c r="M469" s="3" t="s">
        <v>21</v>
      </c>
      <c r="N469" s="3">
        <f>RANDBETWEEN(0,10)</f>
        <v>2</v>
      </c>
      <c r="O469" s="3" t="s">
        <v>41</v>
      </c>
      <c r="P469" s="3" t="s">
        <v>38</v>
      </c>
      <c r="Q469" s="6">
        <f t="shared" si="3"/>
        <v>635000</v>
      </c>
    </row>
    <row r="470">
      <c r="A470" s="3">
        <v>65131.0</v>
      </c>
      <c r="B470" s="3" t="s">
        <v>451</v>
      </c>
      <c r="C470" s="3" t="s">
        <v>35</v>
      </c>
      <c r="D470" s="4" t="str">
        <f t="shared" si="1"/>
        <v>Ms.</v>
      </c>
      <c r="E470" s="3" t="str">
        <f t="shared" si="4"/>
        <v>Ms. Siya Sinha</v>
      </c>
      <c r="F470" s="3" t="str">
        <f>IFERROR(__xludf.DUMMYFUNCTION("SPLIT(B470,"" "")"),"Siya")</f>
        <v>Siya</v>
      </c>
      <c r="G470" s="3" t="str">
        <f>IFERROR(__xludf.DUMMYFUNCTION("""COMPUTED_VALUE"""),"Sinha")</f>
        <v>Sinha</v>
      </c>
      <c r="H470" s="3" t="s">
        <v>25</v>
      </c>
      <c r="I470" s="3">
        <v>2025.0</v>
      </c>
      <c r="J470" s="3">
        <f t="shared" si="2"/>
        <v>10000</v>
      </c>
      <c r="K470" s="3" t="s">
        <v>20</v>
      </c>
      <c r="L470" s="3">
        <v>0.0</v>
      </c>
      <c r="M470" s="3" t="s">
        <v>21</v>
      </c>
      <c r="N470" s="3">
        <v>30.0</v>
      </c>
      <c r="O470" s="3" t="s">
        <v>41</v>
      </c>
      <c r="P470" s="3" t="s">
        <v>38</v>
      </c>
      <c r="Q470" s="6">
        <f t="shared" si="3"/>
        <v>635000</v>
      </c>
    </row>
    <row r="471">
      <c r="A471" s="3">
        <v>65132.0</v>
      </c>
      <c r="B471" s="3" t="s">
        <v>452</v>
      </c>
      <c r="C471" s="3" t="s">
        <v>35</v>
      </c>
      <c r="D471" s="4" t="str">
        <f t="shared" si="1"/>
        <v>Ms.</v>
      </c>
      <c r="E471" s="3" t="str">
        <f t="shared" si="4"/>
        <v>Ms. Aaradhya Mehta</v>
      </c>
      <c r="F471" s="3" t="str">
        <f>IFERROR(__xludf.DUMMYFUNCTION("SPLIT(B471,"" "")"),"Aaradhya")</f>
        <v>Aaradhya</v>
      </c>
      <c r="G471" s="3" t="str">
        <f>IFERROR(__xludf.DUMMYFUNCTION("""COMPUTED_VALUE"""),"Mehta")</f>
        <v>Mehta</v>
      </c>
      <c r="H471" s="3" t="s">
        <v>33</v>
      </c>
      <c r="I471" s="3">
        <v>2020.0</v>
      </c>
      <c r="J471" s="3">
        <f t="shared" si="2"/>
        <v>10000</v>
      </c>
      <c r="K471" s="3" t="s">
        <v>20</v>
      </c>
      <c r="L471" s="10">
        <v>6778.0</v>
      </c>
      <c r="M471" s="3" t="s">
        <v>30</v>
      </c>
      <c r="N471" s="3">
        <v>65.0</v>
      </c>
      <c r="O471" s="3" t="s">
        <v>22</v>
      </c>
      <c r="P471" s="3" t="s">
        <v>78</v>
      </c>
      <c r="Q471" s="6">
        <f t="shared" si="3"/>
        <v>255000</v>
      </c>
    </row>
    <row r="472">
      <c r="A472" s="3">
        <v>65133.0</v>
      </c>
      <c r="B472" s="3" t="s">
        <v>453</v>
      </c>
      <c r="C472" s="3" t="s">
        <v>35</v>
      </c>
      <c r="D472" s="4" t="str">
        <f t="shared" si="1"/>
        <v>Ms.</v>
      </c>
      <c r="E472" s="3" t="str">
        <f t="shared" si="4"/>
        <v>Ms. Sara Das</v>
      </c>
      <c r="F472" s="3" t="str">
        <f>IFERROR(__xludf.DUMMYFUNCTION("SPLIT(B472,"" "")"),"Sara")</f>
        <v>Sara</v>
      </c>
      <c r="G472" s="3" t="str">
        <f>IFERROR(__xludf.DUMMYFUNCTION("""COMPUTED_VALUE"""),"Das")</f>
        <v>Das</v>
      </c>
      <c r="H472" s="3" t="s">
        <v>46</v>
      </c>
      <c r="I472" s="3">
        <v>2021.0</v>
      </c>
      <c r="J472" s="3">
        <f t="shared" si="2"/>
        <v>5000</v>
      </c>
      <c r="K472" s="3" t="s">
        <v>20</v>
      </c>
      <c r="L472" s="3">
        <v>0.0</v>
      </c>
      <c r="M472" s="3" t="s">
        <v>21</v>
      </c>
      <c r="N472" s="3">
        <f>RANDBETWEEN(0,10)</f>
        <v>3</v>
      </c>
      <c r="O472" s="3" t="s">
        <v>41</v>
      </c>
      <c r="P472" s="3" t="s">
        <v>23</v>
      </c>
      <c r="Q472" s="6">
        <f t="shared" si="3"/>
        <v>430000</v>
      </c>
    </row>
    <row r="473">
      <c r="A473" s="3">
        <v>65134.0</v>
      </c>
      <c r="B473" s="3" t="s">
        <v>419</v>
      </c>
      <c r="C473" s="3" t="s">
        <v>18</v>
      </c>
      <c r="D473" s="4" t="str">
        <f t="shared" si="1"/>
        <v>Mr.</v>
      </c>
      <c r="E473" s="3" t="str">
        <f t="shared" si="4"/>
        <v>Mr. Aryan Kumar</v>
      </c>
      <c r="F473" s="3" t="str">
        <f>IFERROR(__xludf.DUMMYFUNCTION("SPLIT(B473,"" "")"),"Aryan")</f>
        <v>Aryan</v>
      </c>
      <c r="G473" s="3" t="str">
        <f>IFERROR(__xludf.DUMMYFUNCTION("""COMPUTED_VALUE"""),"Kumar")</f>
        <v>Kumar</v>
      </c>
      <c r="H473" s="3" t="s">
        <v>46</v>
      </c>
      <c r="I473" s="3">
        <v>2025.0</v>
      </c>
      <c r="J473" s="3">
        <f t="shared" si="2"/>
        <v>5000</v>
      </c>
      <c r="K473" s="3" t="s">
        <v>26</v>
      </c>
      <c r="L473" s="3">
        <v>7794.0</v>
      </c>
      <c r="M473" s="3" t="s">
        <v>21</v>
      </c>
      <c r="N473" s="3">
        <v>44.0</v>
      </c>
      <c r="O473" s="3" t="s">
        <v>41</v>
      </c>
      <c r="P473" s="3" t="s">
        <v>28</v>
      </c>
      <c r="Q473" s="6">
        <f t="shared" si="3"/>
        <v>400000</v>
      </c>
    </row>
    <row r="474">
      <c r="A474" s="3">
        <v>65136.0</v>
      </c>
      <c r="B474" s="3" t="s">
        <v>160</v>
      </c>
      <c r="C474" s="3" t="s">
        <v>18</v>
      </c>
      <c r="D474" s="4" t="str">
        <f t="shared" si="1"/>
        <v>Mr.</v>
      </c>
      <c r="E474" s="3" t="str">
        <f t="shared" si="4"/>
        <v>Mr. Kian Sharma</v>
      </c>
      <c r="F474" s="3" t="str">
        <f>IFERROR(__xludf.DUMMYFUNCTION("SPLIT(B474,"" "")"),"Kian")</f>
        <v>Kian</v>
      </c>
      <c r="G474" s="3" t="str">
        <f>IFERROR(__xludf.DUMMYFUNCTION("""COMPUTED_VALUE"""),"Sharma")</f>
        <v>Sharma</v>
      </c>
      <c r="H474" s="3" t="s">
        <v>33</v>
      </c>
      <c r="I474" s="3">
        <v>2025.0</v>
      </c>
      <c r="J474" s="3">
        <f t="shared" si="2"/>
        <v>10000</v>
      </c>
      <c r="K474" s="3" t="s">
        <v>26</v>
      </c>
      <c r="L474" s="3">
        <v>3505.0</v>
      </c>
      <c r="M474" s="3" t="s">
        <v>30</v>
      </c>
      <c r="N474" s="3">
        <v>52.0</v>
      </c>
      <c r="O474" s="3" t="s">
        <v>41</v>
      </c>
      <c r="P474" s="3" t="s">
        <v>28</v>
      </c>
      <c r="Q474" s="6">
        <f t="shared" si="3"/>
        <v>400000</v>
      </c>
    </row>
    <row r="475">
      <c r="A475" s="3">
        <v>65137.0</v>
      </c>
      <c r="B475" s="3" t="s">
        <v>29</v>
      </c>
      <c r="C475" s="3" t="s">
        <v>35</v>
      </c>
      <c r="D475" s="4" t="str">
        <f t="shared" si="1"/>
        <v>Ms.</v>
      </c>
      <c r="E475" s="3" t="str">
        <f t="shared" si="4"/>
        <v>Ms. Manya Sharma</v>
      </c>
      <c r="F475" s="3" t="str">
        <f>IFERROR(__xludf.DUMMYFUNCTION("SPLIT(B475,"" "")"),"Manya")</f>
        <v>Manya</v>
      </c>
      <c r="G475" s="3" t="str">
        <f>IFERROR(__xludf.DUMMYFUNCTION("""COMPUTED_VALUE"""),"Sharma")</f>
        <v>Sharma</v>
      </c>
      <c r="H475" s="3" t="s">
        <v>33</v>
      </c>
      <c r="I475" s="3">
        <v>2025.0</v>
      </c>
      <c r="J475" s="3">
        <f t="shared" si="2"/>
        <v>10000</v>
      </c>
      <c r="K475" s="3" t="s">
        <v>26</v>
      </c>
      <c r="L475" s="3">
        <v>10744.0</v>
      </c>
      <c r="M475" s="3" t="s">
        <v>21</v>
      </c>
      <c r="N475" s="3">
        <f>RANDBETWEEN(0,10)</f>
        <v>2</v>
      </c>
      <c r="O475" s="3" t="s">
        <v>41</v>
      </c>
      <c r="P475" s="3" t="s">
        <v>23</v>
      </c>
      <c r="Q475" s="6">
        <f t="shared" si="3"/>
        <v>430000</v>
      </c>
    </row>
    <row r="476">
      <c r="A476" s="3">
        <v>65138.0</v>
      </c>
      <c r="B476" s="3" t="s">
        <v>361</v>
      </c>
      <c r="C476" s="3" t="s">
        <v>35</v>
      </c>
      <c r="D476" s="4" t="str">
        <f t="shared" si="1"/>
        <v>Ms.</v>
      </c>
      <c r="E476" s="3" t="str">
        <f t="shared" si="4"/>
        <v>Ms. Mishka Nair</v>
      </c>
      <c r="F476" s="3" t="str">
        <f>IFERROR(__xludf.DUMMYFUNCTION("SPLIT(B476,"" "")"),"Mishka")</f>
        <v>Mishka</v>
      </c>
      <c r="G476" s="3" t="str">
        <f>IFERROR(__xludf.DUMMYFUNCTION("""COMPUTED_VALUE"""),"Nair")</f>
        <v>Nair</v>
      </c>
      <c r="H476" s="3" t="s">
        <v>19</v>
      </c>
      <c r="I476" s="3">
        <v>2025.0</v>
      </c>
      <c r="J476" s="3">
        <f t="shared" si="2"/>
        <v>5000</v>
      </c>
      <c r="K476" s="3" t="s">
        <v>20</v>
      </c>
      <c r="L476" s="3">
        <v>0.0</v>
      </c>
      <c r="M476" s="3" t="s">
        <v>21</v>
      </c>
      <c r="N476" s="3">
        <v>61.0</v>
      </c>
      <c r="O476" s="3" t="s">
        <v>41</v>
      </c>
      <c r="P476" s="3" t="s">
        <v>38</v>
      </c>
      <c r="Q476" s="6">
        <f t="shared" si="3"/>
        <v>635000</v>
      </c>
    </row>
    <row r="477">
      <c r="A477" s="3">
        <v>65139.0</v>
      </c>
      <c r="B477" s="3" t="s">
        <v>454</v>
      </c>
      <c r="C477" s="3" t="s">
        <v>18</v>
      </c>
      <c r="D477" s="4" t="str">
        <f t="shared" si="1"/>
        <v>Mr.</v>
      </c>
      <c r="E477" s="3" t="str">
        <f t="shared" si="4"/>
        <v>Mr. Ishaan Chopra</v>
      </c>
      <c r="F477" s="3" t="str">
        <f>IFERROR(__xludf.DUMMYFUNCTION("SPLIT(B477,"" "")"),"Ishaan")</f>
        <v>Ishaan</v>
      </c>
      <c r="G477" s="3" t="str">
        <f>IFERROR(__xludf.DUMMYFUNCTION("""COMPUTED_VALUE"""),"Chopra")</f>
        <v>Chopra</v>
      </c>
      <c r="H477" s="3" t="s">
        <v>25</v>
      </c>
      <c r="I477" s="3">
        <v>2024.0</v>
      </c>
      <c r="J477" s="3">
        <f t="shared" si="2"/>
        <v>10000</v>
      </c>
      <c r="K477" s="3" t="s">
        <v>26</v>
      </c>
      <c r="L477" s="3">
        <v>23499.0</v>
      </c>
      <c r="M477" s="3" t="s">
        <v>21</v>
      </c>
      <c r="N477" s="3">
        <f>RANDBETWEEN(0,10)</f>
        <v>2</v>
      </c>
      <c r="O477" s="3" t="s">
        <v>41</v>
      </c>
      <c r="P477" s="3" t="s">
        <v>28</v>
      </c>
      <c r="Q477" s="6">
        <f t="shared" si="3"/>
        <v>400000</v>
      </c>
    </row>
    <row r="478">
      <c r="A478" s="3">
        <v>65140.0</v>
      </c>
      <c r="B478" s="3" t="s">
        <v>58</v>
      </c>
      <c r="C478" s="3" t="s">
        <v>35</v>
      </c>
      <c r="D478" s="4" t="str">
        <f t="shared" si="1"/>
        <v>Ms.</v>
      </c>
      <c r="E478" s="3" t="str">
        <f t="shared" si="4"/>
        <v>Ms. Manya Pillai</v>
      </c>
      <c r="F478" s="3" t="str">
        <f>IFERROR(__xludf.DUMMYFUNCTION("SPLIT(B478,"" "")"),"Manya")</f>
        <v>Manya</v>
      </c>
      <c r="G478" s="3" t="str">
        <f>IFERROR(__xludf.DUMMYFUNCTION("""COMPUTED_VALUE"""),"Pillai")</f>
        <v>Pillai</v>
      </c>
      <c r="H478" s="3" t="s">
        <v>33</v>
      </c>
      <c r="I478" s="3">
        <v>2021.0</v>
      </c>
      <c r="J478" s="3">
        <f t="shared" si="2"/>
        <v>10000</v>
      </c>
      <c r="K478" s="3" t="s">
        <v>20</v>
      </c>
      <c r="L478" s="3">
        <v>410.0</v>
      </c>
      <c r="M478" s="3" t="s">
        <v>21</v>
      </c>
      <c r="N478" s="3">
        <v>18.0</v>
      </c>
      <c r="O478" s="3" t="s">
        <v>41</v>
      </c>
      <c r="P478" s="3" t="s">
        <v>31</v>
      </c>
      <c r="Q478" s="6">
        <f t="shared" si="3"/>
        <v>910000</v>
      </c>
    </row>
    <row r="479">
      <c r="A479" s="3">
        <v>65141.0</v>
      </c>
      <c r="B479" s="3" t="s">
        <v>455</v>
      </c>
      <c r="C479" s="3" t="s">
        <v>18</v>
      </c>
      <c r="D479" s="4" t="str">
        <f t="shared" si="1"/>
        <v>Mr.</v>
      </c>
      <c r="E479" s="3" t="str">
        <f t="shared" si="4"/>
        <v>Mr. Vivaan Bhatt</v>
      </c>
      <c r="F479" s="3" t="str">
        <f>IFERROR(__xludf.DUMMYFUNCTION("SPLIT(B479,"" "")"),"Vivaan")</f>
        <v>Vivaan</v>
      </c>
      <c r="G479" s="3" t="str">
        <f>IFERROR(__xludf.DUMMYFUNCTION("""COMPUTED_VALUE"""),"Bhatt")</f>
        <v>Bhatt</v>
      </c>
      <c r="H479" s="3" t="s">
        <v>33</v>
      </c>
      <c r="I479" s="3">
        <v>2021.0</v>
      </c>
      <c r="J479" s="3">
        <f t="shared" si="2"/>
        <v>10000</v>
      </c>
      <c r="K479" s="3" t="s">
        <v>20</v>
      </c>
      <c r="L479" s="3">
        <v>0.0</v>
      </c>
      <c r="M479" s="3" t="s">
        <v>21</v>
      </c>
      <c r="N479" s="3">
        <v>52.0</v>
      </c>
      <c r="O479" s="3" t="s">
        <v>41</v>
      </c>
      <c r="P479" s="3" t="s">
        <v>78</v>
      </c>
      <c r="Q479" s="6">
        <f t="shared" si="3"/>
        <v>255000</v>
      </c>
    </row>
    <row r="480">
      <c r="A480" s="3">
        <v>65142.0</v>
      </c>
      <c r="B480" s="3" t="s">
        <v>456</v>
      </c>
      <c r="C480" s="3" t="s">
        <v>35</v>
      </c>
      <c r="D480" s="4" t="str">
        <f t="shared" si="1"/>
        <v>Ms.</v>
      </c>
      <c r="E480" s="3" t="str">
        <f t="shared" si="4"/>
        <v>Ms. Aadhya Bhatt</v>
      </c>
      <c r="F480" s="3" t="str">
        <f>IFERROR(__xludf.DUMMYFUNCTION("SPLIT(B480,"" "")"),"Aadhya")</f>
        <v>Aadhya</v>
      </c>
      <c r="G480" s="3" t="str">
        <f>IFERROR(__xludf.DUMMYFUNCTION("""COMPUTED_VALUE"""),"Bhatt")</f>
        <v>Bhatt</v>
      </c>
      <c r="H480" s="3" t="s">
        <v>33</v>
      </c>
      <c r="I480" s="3">
        <v>2023.0</v>
      </c>
      <c r="J480" s="3">
        <f t="shared" si="2"/>
        <v>10000</v>
      </c>
      <c r="K480" s="3" t="s">
        <v>20</v>
      </c>
      <c r="L480" s="10">
        <v>4572.0</v>
      </c>
      <c r="M480" s="3" t="s">
        <v>21</v>
      </c>
      <c r="N480" s="3">
        <v>21.0</v>
      </c>
      <c r="O480" s="3" t="s">
        <v>22</v>
      </c>
      <c r="P480" s="3" t="s">
        <v>78</v>
      </c>
      <c r="Q480" s="6">
        <f t="shared" si="3"/>
        <v>255000</v>
      </c>
    </row>
    <row r="481">
      <c r="A481" s="3">
        <v>65143.0</v>
      </c>
      <c r="B481" s="3" t="s">
        <v>457</v>
      </c>
      <c r="C481" s="3" t="s">
        <v>35</v>
      </c>
      <c r="D481" s="4" t="str">
        <f t="shared" si="1"/>
        <v>Ms.</v>
      </c>
      <c r="E481" s="3" t="str">
        <f t="shared" si="4"/>
        <v>Ms. Diya Agarwal</v>
      </c>
      <c r="F481" s="3" t="str">
        <f>IFERROR(__xludf.DUMMYFUNCTION("SPLIT(B481,"" "")"),"Diya")</f>
        <v>Diya</v>
      </c>
      <c r="G481" s="3" t="str">
        <f>IFERROR(__xludf.DUMMYFUNCTION("""COMPUTED_VALUE"""),"Agarwal")</f>
        <v>Agarwal</v>
      </c>
      <c r="H481" s="3" t="s">
        <v>25</v>
      </c>
      <c r="I481" s="3">
        <v>2025.0</v>
      </c>
      <c r="J481" s="3">
        <f t="shared" si="2"/>
        <v>10000</v>
      </c>
      <c r="K481" s="3" t="s">
        <v>20</v>
      </c>
      <c r="L481" s="3">
        <v>0.0</v>
      </c>
      <c r="M481" s="3" t="s">
        <v>21</v>
      </c>
      <c r="N481" s="3">
        <v>76.0</v>
      </c>
      <c r="O481" s="3" t="s">
        <v>41</v>
      </c>
      <c r="P481" s="3" t="s">
        <v>38</v>
      </c>
      <c r="Q481" s="6">
        <f t="shared" si="3"/>
        <v>635000</v>
      </c>
    </row>
    <row r="482">
      <c r="A482" s="3">
        <v>65144.0</v>
      </c>
      <c r="B482" s="3" t="s">
        <v>458</v>
      </c>
      <c r="C482" s="3" t="s">
        <v>35</v>
      </c>
      <c r="D482" s="4" t="str">
        <f t="shared" si="1"/>
        <v>Ms.</v>
      </c>
      <c r="E482" s="3" t="str">
        <f t="shared" si="4"/>
        <v>Ms. Charvi Kumar</v>
      </c>
      <c r="F482" s="3" t="str">
        <f>IFERROR(__xludf.DUMMYFUNCTION("SPLIT(B482,"" "")"),"Charvi")</f>
        <v>Charvi</v>
      </c>
      <c r="G482" s="3" t="str">
        <f>IFERROR(__xludf.DUMMYFUNCTION("""COMPUTED_VALUE"""),"Kumar")</f>
        <v>Kumar</v>
      </c>
      <c r="H482" s="3" t="s">
        <v>33</v>
      </c>
      <c r="I482" s="3">
        <v>2023.0</v>
      </c>
      <c r="J482" s="3">
        <f t="shared" si="2"/>
        <v>10000</v>
      </c>
      <c r="K482" s="3" t="s">
        <v>20</v>
      </c>
      <c r="L482" s="3">
        <v>75.0</v>
      </c>
      <c r="M482" s="3" t="s">
        <v>30</v>
      </c>
      <c r="N482" s="3">
        <v>35.0</v>
      </c>
      <c r="O482" s="3" t="s">
        <v>22</v>
      </c>
      <c r="P482" s="3" t="s">
        <v>23</v>
      </c>
      <c r="Q482" s="6">
        <f t="shared" si="3"/>
        <v>430000</v>
      </c>
    </row>
    <row r="483">
      <c r="A483" s="3">
        <v>65146.0</v>
      </c>
      <c r="B483" s="3" t="s">
        <v>459</v>
      </c>
      <c r="C483" s="3" t="s">
        <v>35</v>
      </c>
      <c r="D483" s="4" t="str">
        <f t="shared" si="1"/>
        <v>Ms.</v>
      </c>
      <c r="E483" s="3" t="str">
        <f t="shared" si="4"/>
        <v>Ms. Aaradhya Iyer</v>
      </c>
      <c r="F483" s="3" t="str">
        <f>IFERROR(__xludf.DUMMYFUNCTION("SPLIT(B483,"" "")"),"Aaradhya")</f>
        <v>Aaradhya</v>
      </c>
      <c r="G483" s="3" t="str">
        <f>IFERROR(__xludf.DUMMYFUNCTION("""COMPUTED_VALUE"""),"Iyer")</f>
        <v>Iyer</v>
      </c>
      <c r="H483" s="3" t="s">
        <v>46</v>
      </c>
      <c r="I483" s="3">
        <v>2023.0</v>
      </c>
      <c r="J483" s="3">
        <f t="shared" si="2"/>
        <v>5000</v>
      </c>
      <c r="K483" s="3" t="s">
        <v>26</v>
      </c>
      <c r="L483" s="3">
        <v>10352.0</v>
      </c>
      <c r="M483" s="3" t="s">
        <v>21</v>
      </c>
      <c r="N483" s="3">
        <v>27.0</v>
      </c>
      <c r="O483" s="3" t="s">
        <v>41</v>
      </c>
      <c r="P483" s="3" t="s">
        <v>38</v>
      </c>
      <c r="Q483" s="6">
        <f t="shared" si="3"/>
        <v>635000</v>
      </c>
    </row>
    <row r="484">
      <c r="A484" s="3">
        <v>65147.0</v>
      </c>
      <c r="B484" s="3" t="s">
        <v>460</v>
      </c>
      <c r="C484" s="3" t="s">
        <v>18</v>
      </c>
      <c r="D484" s="4" t="str">
        <f t="shared" si="1"/>
        <v>Mr.</v>
      </c>
      <c r="E484" s="3" t="str">
        <f t="shared" si="4"/>
        <v>Mr. Yashvi Singh</v>
      </c>
      <c r="F484" s="3" t="str">
        <f>IFERROR(__xludf.DUMMYFUNCTION("SPLIT(B484,"" "")"),"Yashvi")</f>
        <v>Yashvi</v>
      </c>
      <c r="G484" s="3" t="str">
        <f>IFERROR(__xludf.DUMMYFUNCTION("""COMPUTED_VALUE"""),"Singh")</f>
        <v>Singh</v>
      </c>
      <c r="H484" s="3" t="s">
        <v>33</v>
      </c>
      <c r="I484" s="3">
        <v>2023.0</v>
      </c>
      <c r="J484" s="3">
        <f t="shared" si="2"/>
        <v>10000</v>
      </c>
      <c r="K484" s="3" t="s">
        <v>26</v>
      </c>
      <c r="L484" s="3">
        <v>14714.0</v>
      </c>
      <c r="M484" s="3" t="s">
        <v>21</v>
      </c>
      <c r="N484" s="3">
        <v>33.0</v>
      </c>
      <c r="O484" s="3" t="s">
        <v>41</v>
      </c>
      <c r="P484" s="3" t="s">
        <v>31</v>
      </c>
      <c r="Q484" s="6">
        <f t="shared" si="3"/>
        <v>910000</v>
      </c>
    </row>
    <row r="485">
      <c r="A485" s="3">
        <v>65148.0</v>
      </c>
      <c r="B485" s="3" t="s">
        <v>45</v>
      </c>
      <c r="C485" s="3" t="s">
        <v>18</v>
      </c>
      <c r="D485" s="4" t="str">
        <f t="shared" si="1"/>
        <v>Mr.</v>
      </c>
      <c r="E485" s="3" t="str">
        <f t="shared" si="4"/>
        <v>Mr. Aaryan Mehta</v>
      </c>
      <c r="F485" s="3" t="str">
        <f>IFERROR(__xludf.DUMMYFUNCTION("SPLIT(B485,"" "")"),"Aaryan")</f>
        <v>Aaryan</v>
      </c>
      <c r="G485" s="3" t="str">
        <f>IFERROR(__xludf.DUMMYFUNCTION("""COMPUTED_VALUE"""),"Mehta")</f>
        <v>Mehta</v>
      </c>
      <c r="H485" s="3" t="s">
        <v>46</v>
      </c>
      <c r="I485" s="3">
        <v>2022.0</v>
      </c>
      <c r="J485" s="3">
        <f t="shared" si="2"/>
        <v>5000</v>
      </c>
      <c r="K485" s="3" t="s">
        <v>26</v>
      </c>
      <c r="L485" s="3">
        <v>19818.0</v>
      </c>
      <c r="M485" s="3" t="s">
        <v>30</v>
      </c>
      <c r="N485" s="3">
        <v>78.0</v>
      </c>
      <c r="O485" s="3" t="s">
        <v>41</v>
      </c>
      <c r="P485" s="3" t="s">
        <v>38</v>
      </c>
      <c r="Q485" s="6">
        <f t="shared" si="3"/>
        <v>635000</v>
      </c>
    </row>
    <row r="486">
      <c r="A486" s="3">
        <v>65149.0</v>
      </c>
      <c r="B486" s="3" t="s">
        <v>230</v>
      </c>
      <c r="C486" s="3" t="s">
        <v>18</v>
      </c>
      <c r="D486" s="4" t="str">
        <f t="shared" si="1"/>
        <v>Mr.</v>
      </c>
      <c r="E486" s="3" t="str">
        <f t="shared" si="4"/>
        <v>Mr. Aarav Mishra</v>
      </c>
      <c r="F486" s="3" t="str">
        <f>IFERROR(__xludf.DUMMYFUNCTION("SPLIT(B486,"" "")"),"Aarav")</f>
        <v>Aarav</v>
      </c>
      <c r="G486" s="3" t="str">
        <f>IFERROR(__xludf.DUMMYFUNCTION("""COMPUTED_VALUE"""),"Mishra")</f>
        <v>Mishra</v>
      </c>
      <c r="H486" s="3" t="s">
        <v>25</v>
      </c>
      <c r="I486" s="3">
        <v>2027.0</v>
      </c>
      <c r="J486" s="3">
        <f t="shared" si="2"/>
        <v>10000</v>
      </c>
      <c r="K486" s="3" t="s">
        <v>20</v>
      </c>
      <c r="L486" s="3">
        <v>0.0</v>
      </c>
      <c r="M486" s="3" t="s">
        <v>21</v>
      </c>
      <c r="N486" s="3">
        <v>66.0</v>
      </c>
      <c r="O486" s="3" t="s">
        <v>41</v>
      </c>
      <c r="P486" s="3" t="s">
        <v>38</v>
      </c>
      <c r="Q486" s="6">
        <f t="shared" si="3"/>
        <v>635000</v>
      </c>
    </row>
    <row r="487">
      <c r="A487" s="3">
        <v>65150.0</v>
      </c>
      <c r="B487" s="3" t="s">
        <v>461</v>
      </c>
      <c r="C487" s="3" t="s">
        <v>35</v>
      </c>
      <c r="D487" s="4" t="str">
        <f t="shared" si="1"/>
        <v>Ms.</v>
      </c>
      <c r="E487" s="3" t="str">
        <f t="shared" si="4"/>
        <v>Ms. Gauri Iyer</v>
      </c>
      <c r="F487" s="3" t="str">
        <f>IFERROR(__xludf.DUMMYFUNCTION("SPLIT(B487,"" "")"),"Gauri")</f>
        <v>Gauri</v>
      </c>
      <c r="G487" s="3" t="str">
        <f>IFERROR(__xludf.DUMMYFUNCTION("""COMPUTED_VALUE"""),"Iyer")</f>
        <v>Iyer</v>
      </c>
      <c r="H487" s="3" t="s">
        <v>46</v>
      </c>
      <c r="I487" s="3">
        <v>2021.0</v>
      </c>
      <c r="J487" s="3">
        <f t="shared" si="2"/>
        <v>5000</v>
      </c>
      <c r="K487" s="3" t="s">
        <v>20</v>
      </c>
      <c r="L487" s="10">
        <v>4470.0</v>
      </c>
      <c r="M487" s="3" t="s">
        <v>30</v>
      </c>
      <c r="N487" s="3">
        <v>36.0</v>
      </c>
      <c r="O487" s="3" t="s">
        <v>22</v>
      </c>
      <c r="P487" s="3" t="s">
        <v>23</v>
      </c>
      <c r="Q487" s="6">
        <f t="shared" si="3"/>
        <v>430000</v>
      </c>
    </row>
    <row r="488">
      <c r="A488" s="3">
        <v>65151.0</v>
      </c>
      <c r="B488" s="3" t="s">
        <v>462</v>
      </c>
      <c r="C488" s="3" t="s">
        <v>18</v>
      </c>
      <c r="D488" s="4" t="str">
        <f t="shared" si="1"/>
        <v>Mr.</v>
      </c>
      <c r="E488" s="3" t="str">
        <f t="shared" si="4"/>
        <v>Mr. Shivansh Rao</v>
      </c>
      <c r="F488" s="3" t="str">
        <f>IFERROR(__xludf.DUMMYFUNCTION("SPLIT(B488,"" "")"),"Shivansh")</f>
        <v>Shivansh</v>
      </c>
      <c r="G488" s="3" t="str">
        <f>IFERROR(__xludf.DUMMYFUNCTION("""COMPUTED_VALUE"""),"Rao")</f>
        <v>Rao</v>
      </c>
      <c r="H488" s="3" t="s">
        <v>25</v>
      </c>
      <c r="I488" s="3">
        <v>2024.0</v>
      </c>
      <c r="J488" s="3">
        <f t="shared" si="2"/>
        <v>10000</v>
      </c>
      <c r="K488" s="3" t="s">
        <v>20</v>
      </c>
      <c r="L488" s="10">
        <v>1655.0</v>
      </c>
      <c r="M488" s="3" t="s">
        <v>21</v>
      </c>
      <c r="N488" s="3">
        <v>74.0</v>
      </c>
      <c r="O488" s="3" t="s">
        <v>41</v>
      </c>
      <c r="P488" s="3" t="s">
        <v>38</v>
      </c>
      <c r="Q488" s="6">
        <f t="shared" si="3"/>
        <v>635000</v>
      </c>
    </row>
    <row r="489">
      <c r="A489" s="3">
        <v>65152.0</v>
      </c>
      <c r="B489" s="3" t="s">
        <v>463</v>
      </c>
      <c r="C489" s="3" t="s">
        <v>35</v>
      </c>
      <c r="D489" s="4" t="str">
        <f t="shared" si="1"/>
        <v>Ms.</v>
      </c>
      <c r="E489" s="3" t="str">
        <f t="shared" si="4"/>
        <v>Ms. Prisha Bhat</v>
      </c>
      <c r="F489" s="3" t="str">
        <f>IFERROR(__xludf.DUMMYFUNCTION("SPLIT(B489,"" "")"),"Prisha")</f>
        <v>Prisha</v>
      </c>
      <c r="G489" s="3" t="str">
        <f>IFERROR(__xludf.DUMMYFUNCTION("""COMPUTED_VALUE"""),"Bhat")</f>
        <v>Bhat</v>
      </c>
      <c r="H489" s="3" t="s">
        <v>33</v>
      </c>
      <c r="I489" s="3">
        <v>2021.0</v>
      </c>
      <c r="J489" s="3">
        <f t="shared" si="2"/>
        <v>10000</v>
      </c>
      <c r="K489" s="3" t="s">
        <v>26</v>
      </c>
      <c r="L489" s="3">
        <v>2194.0</v>
      </c>
      <c r="M489" s="3" t="s">
        <v>21</v>
      </c>
      <c r="N489" s="3">
        <v>74.0</v>
      </c>
      <c r="O489" s="3" t="s">
        <v>41</v>
      </c>
      <c r="P489" s="3" t="s">
        <v>38</v>
      </c>
      <c r="Q489" s="6">
        <f t="shared" si="3"/>
        <v>635000</v>
      </c>
    </row>
    <row r="490">
      <c r="A490" s="3">
        <v>65153.0</v>
      </c>
      <c r="B490" s="3" t="s">
        <v>360</v>
      </c>
      <c r="C490" s="3" t="s">
        <v>35</v>
      </c>
      <c r="D490" s="4" t="str">
        <f t="shared" si="1"/>
        <v>Ms.</v>
      </c>
      <c r="E490" s="3" t="str">
        <f t="shared" si="4"/>
        <v>Ms. Sara Chopra</v>
      </c>
      <c r="F490" s="3" t="str">
        <f>IFERROR(__xludf.DUMMYFUNCTION("SPLIT(B490,"" "")"),"Sara")</f>
        <v>Sara</v>
      </c>
      <c r="G490" s="3" t="str">
        <f>IFERROR(__xludf.DUMMYFUNCTION("""COMPUTED_VALUE"""),"Chopra")</f>
        <v>Chopra</v>
      </c>
      <c r="H490" s="3" t="s">
        <v>25</v>
      </c>
      <c r="I490" s="3">
        <v>2022.0</v>
      </c>
      <c r="J490" s="3">
        <f t="shared" si="2"/>
        <v>10000</v>
      </c>
      <c r="K490" s="3" t="s">
        <v>20</v>
      </c>
      <c r="L490" s="10">
        <v>2766.0</v>
      </c>
      <c r="M490" s="3" t="s">
        <v>30</v>
      </c>
      <c r="N490" s="3">
        <v>42.0</v>
      </c>
      <c r="O490" s="3" t="s">
        <v>22</v>
      </c>
      <c r="P490" s="3" t="s">
        <v>28</v>
      </c>
      <c r="Q490" s="6">
        <f t="shared" si="3"/>
        <v>400000</v>
      </c>
    </row>
    <row r="491">
      <c r="A491" s="3">
        <v>65154.0</v>
      </c>
      <c r="B491" s="3" t="s">
        <v>464</v>
      </c>
      <c r="C491" s="3" t="s">
        <v>18</v>
      </c>
      <c r="D491" s="4" t="str">
        <f t="shared" si="1"/>
        <v>Mr.</v>
      </c>
      <c r="E491" s="3" t="str">
        <f t="shared" si="4"/>
        <v>Mr. Rudra Sharma</v>
      </c>
      <c r="F491" s="3" t="str">
        <f>IFERROR(__xludf.DUMMYFUNCTION("SPLIT(B491,"" "")"),"Rudra")</f>
        <v>Rudra</v>
      </c>
      <c r="G491" s="3" t="str">
        <f>IFERROR(__xludf.DUMMYFUNCTION("""COMPUTED_VALUE"""),"Sharma")</f>
        <v>Sharma</v>
      </c>
      <c r="H491" s="3" t="s">
        <v>25</v>
      </c>
      <c r="I491" s="3">
        <v>2026.0</v>
      </c>
      <c r="J491" s="3">
        <f t="shared" si="2"/>
        <v>10000</v>
      </c>
      <c r="K491" s="3" t="s">
        <v>26</v>
      </c>
      <c r="L491" s="3">
        <v>16409.0</v>
      </c>
      <c r="M491" s="3" t="s">
        <v>21</v>
      </c>
      <c r="N491" s="3">
        <v>22.0</v>
      </c>
      <c r="O491" s="3" t="s">
        <v>41</v>
      </c>
      <c r="P491" s="3" t="s">
        <v>31</v>
      </c>
      <c r="Q491" s="6">
        <f t="shared" si="3"/>
        <v>910000</v>
      </c>
    </row>
    <row r="492">
      <c r="A492" s="3">
        <v>65155.0</v>
      </c>
      <c r="B492" s="3" t="s">
        <v>465</v>
      </c>
      <c r="C492" s="3" t="s">
        <v>35</v>
      </c>
      <c r="D492" s="4" t="str">
        <f t="shared" si="1"/>
        <v>Ms.</v>
      </c>
      <c r="E492" s="3" t="str">
        <f t="shared" si="4"/>
        <v>Ms. Diya Mishra</v>
      </c>
      <c r="F492" s="3" t="str">
        <f>IFERROR(__xludf.DUMMYFUNCTION("SPLIT(B492,"" "")"),"Diya")</f>
        <v>Diya</v>
      </c>
      <c r="G492" s="3" t="str">
        <f>IFERROR(__xludf.DUMMYFUNCTION("""COMPUTED_VALUE"""),"Mishra")</f>
        <v>Mishra</v>
      </c>
      <c r="H492" s="3" t="s">
        <v>46</v>
      </c>
      <c r="I492" s="3">
        <v>2017.0</v>
      </c>
      <c r="J492" s="3">
        <f t="shared" si="2"/>
        <v>5000</v>
      </c>
      <c r="K492" s="3" t="s">
        <v>20</v>
      </c>
      <c r="L492" s="3">
        <v>250.0</v>
      </c>
      <c r="M492" s="3" t="s">
        <v>30</v>
      </c>
      <c r="N492" s="3">
        <v>20.0</v>
      </c>
      <c r="O492" s="3" t="s">
        <v>41</v>
      </c>
      <c r="P492" s="3" t="s">
        <v>31</v>
      </c>
      <c r="Q492" s="6">
        <f t="shared" si="3"/>
        <v>910000</v>
      </c>
    </row>
    <row r="493">
      <c r="A493" s="3">
        <v>65156.0</v>
      </c>
      <c r="B493" s="3" t="s">
        <v>393</v>
      </c>
      <c r="C493" s="3" t="s">
        <v>18</v>
      </c>
      <c r="D493" s="4" t="str">
        <f t="shared" si="1"/>
        <v>Mr.</v>
      </c>
      <c r="E493" s="3" t="str">
        <f t="shared" si="4"/>
        <v>Mr. Rishi Mishra</v>
      </c>
      <c r="F493" s="3" t="str">
        <f>IFERROR(__xludf.DUMMYFUNCTION("SPLIT(B493,"" "")"),"Rishi")</f>
        <v>Rishi</v>
      </c>
      <c r="G493" s="3" t="str">
        <f>IFERROR(__xludf.DUMMYFUNCTION("""COMPUTED_VALUE"""),"Mishra")</f>
        <v>Mishra</v>
      </c>
      <c r="H493" s="3" t="s">
        <v>25</v>
      </c>
      <c r="I493" s="3">
        <v>2026.0</v>
      </c>
      <c r="J493" s="3">
        <f t="shared" si="2"/>
        <v>10000</v>
      </c>
      <c r="K493" s="3" t="s">
        <v>26</v>
      </c>
      <c r="L493" s="3">
        <v>18500.0</v>
      </c>
      <c r="M493" s="3" t="s">
        <v>21</v>
      </c>
      <c r="N493" s="3">
        <f t="shared" ref="N493:N494" si="28">RANDBETWEEN(0,10)</f>
        <v>6</v>
      </c>
      <c r="O493" s="3" t="s">
        <v>41</v>
      </c>
      <c r="P493" s="3" t="s">
        <v>78</v>
      </c>
      <c r="Q493" s="6">
        <f t="shared" si="3"/>
        <v>255000</v>
      </c>
    </row>
    <row r="494">
      <c r="A494" s="3">
        <v>65157.0</v>
      </c>
      <c r="B494" s="3" t="s">
        <v>466</v>
      </c>
      <c r="C494" s="3" t="s">
        <v>35</v>
      </c>
      <c r="D494" s="4" t="str">
        <f t="shared" si="1"/>
        <v>Ms.</v>
      </c>
      <c r="E494" s="3" t="str">
        <f t="shared" si="4"/>
        <v>Ms. Naira Kulkarni</v>
      </c>
      <c r="F494" s="3" t="str">
        <f>IFERROR(__xludf.DUMMYFUNCTION("SPLIT(B494,"" "")"),"Naira")</f>
        <v>Naira</v>
      </c>
      <c r="G494" s="3" t="str">
        <f>IFERROR(__xludf.DUMMYFUNCTION("""COMPUTED_VALUE"""),"Kulkarni")</f>
        <v>Kulkarni</v>
      </c>
      <c r="H494" s="3" t="s">
        <v>46</v>
      </c>
      <c r="I494" s="3">
        <v>2025.0</v>
      </c>
      <c r="J494" s="3">
        <f t="shared" si="2"/>
        <v>5000</v>
      </c>
      <c r="K494" s="3" t="s">
        <v>26</v>
      </c>
      <c r="L494" s="3">
        <v>20610.0</v>
      </c>
      <c r="M494" s="3" t="s">
        <v>21</v>
      </c>
      <c r="N494" s="3">
        <f t="shared" si="28"/>
        <v>5</v>
      </c>
      <c r="O494" s="3" t="s">
        <v>41</v>
      </c>
      <c r="P494" s="3" t="s">
        <v>31</v>
      </c>
      <c r="Q494" s="6">
        <f t="shared" si="3"/>
        <v>910000</v>
      </c>
    </row>
    <row r="495">
      <c r="A495" s="3">
        <v>65158.0</v>
      </c>
      <c r="B495" s="3" t="s">
        <v>467</v>
      </c>
      <c r="C495" s="3" t="s">
        <v>18</v>
      </c>
      <c r="D495" s="4" t="str">
        <f t="shared" si="1"/>
        <v>Mr.</v>
      </c>
      <c r="E495" s="3" t="str">
        <f t="shared" si="4"/>
        <v>Mr. Atharv Agarwal</v>
      </c>
      <c r="F495" s="3" t="str">
        <f>IFERROR(__xludf.DUMMYFUNCTION("SPLIT(B495,"" "")"),"Atharv")</f>
        <v>Atharv</v>
      </c>
      <c r="G495" s="3" t="str">
        <f>IFERROR(__xludf.DUMMYFUNCTION("""COMPUTED_VALUE"""),"Agarwal")</f>
        <v>Agarwal</v>
      </c>
      <c r="H495" s="3" t="s">
        <v>25</v>
      </c>
      <c r="I495" s="3">
        <v>2028.0</v>
      </c>
      <c r="J495" s="3">
        <f t="shared" si="2"/>
        <v>10000</v>
      </c>
      <c r="K495" s="3" t="s">
        <v>20</v>
      </c>
      <c r="L495" s="3">
        <v>0.0</v>
      </c>
      <c r="M495" s="3" t="s">
        <v>21</v>
      </c>
      <c r="N495" s="3">
        <v>63.0</v>
      </c>
      <c r="O495" s="3" t="s">
        <v>41</v>
      </c>
      <c r="P495" s="3" t="s">
        <v>28</v>
      </c>
      <c r="Q495" s="6">
        <f t="shared" si="3"/>
        <v>400000</v>
      </c>
    </row>
    <row r="496">
      <c r="A496" s="3">
        <v>65159.0</v>
      </c>
      <c r="B496" s="3" t="s">
        <v>468</v>
      </c>
      <c r="C496" s="3" t="s">
        <v>35</v>
      </c>
      <c r="D496" s="4" t="str">
        <f t="shared" si="1"/>
        <v>Ms.</v>
      </c>
      <c r="E496" s="3" t="str">
        <f t="shared" si="4"/>
        <v>Ms. Ira Iyer</v>
      </c>
      <c r="F496" s="3" t="str">
        <f>IFERROR(__xludf.DUMMYFUNCTION("SPLIT(B496,"" "")"),"Ira")</f>
        <v>Ira</v>
      </c>
      <c r="G496" s="3" t="str">
        <f>IFERROR(__xludf.DUMMYFUNCTION("""COMPUTED_VALUE"""),"Iyer")</f>
        <v>Iyer</v>
      </c>
      <c r="H496" s="3" t="s">
        <v>25</v>
      </c>
      <c r="I496" s="3">
        <v>2028.0</v>
      </c>
      <c r="J496" s="3">
        <f t="shared" si="2"/>
        <v>10000</v>
      </c>
      <c r="K496" s="3" t="s">
        <v>20</v>
      </c>
      <c r="L496" s="3">
        <v>0.0</v>
      </c>
      <c r="M496" s="3" t="s">
        <v>153</v>
      </c>
      <c r="N496" s="3">
        <v>72.0</v>
      </c>
      <c r="O496" s="3" t="s">
        <v>41</v>
      </c>
      <c r="P496" s="3" t="s">
        <v>31</v>
      </c>
      <c r="Q496" s="6">
        <f t="shared" si="3"/>
        <v>910000</v>
      </c>
    </row>
    <row r="497">
      <c r="A497" s="3">
        <v>65160.0</v>
      </c>
      <c r="B497" s="3" t="s">
        <v>469</v>
      </c>
      <c r="C497" s="3" t="s">
        <v>35</v>
      </c>
      <c r="D497" s="4" t="str">
        <f t="shared" si="1"/>
        <v>Ms.</v>
      </c>
      <c r="E497" s="3" t="str">
        <f t="shared" si="4"/>
        <v>Ms. Mahira Malik</v>
      </c>
      <c r="F497" s="3" t="str">
        <f>IFERROR(__xludf.DUMMYFUNCTION("SPLIT(B497,"" "")"),"Mahira")</f>
        <v>Mahira</v>
      </c>
      <c r="G497" s="3" t="str">
        <f>IFERROR(__xludf.DUMMYFUNCTION("""COMPUTED_VALUE"""),"Malik")</f>
        <v>Malik</v>
      </c>
      <c r="H497" s="3" t="s">
        <v>19</v>
      </c>
      <c r="I497" s="3">
        <v>2024.0</v>
      </c>
      <c r="J497" s="3">
        <f t="shared" si="2"/>
        <v>5000</v>
      </c>
      <c r="K497" s="3" t="s">
        <v>26</v>
      </c>
      <c r="L497" s="3">
        <v>19467.0</v>
      </c>
      <c r="M497" s="3" t="s">
        <v>21</v>
      </c>
      <c r="N497" s="3">
        <v>66.0</v>
      </c>
      <c r="O497" s="3" t="s">
        <v>41</v>
      </c>
      <c r="P497" s="3" t="s">
        <v>38</v>
      </c>
      <c r="Q497" s="6">
        <f t="shared" si="3"/>
        <v>635000</v>
      </c>
    </row>
    <row r="498">
      <c r="A498" s="3">
        <v>65161.0</v>
      </c>
      <c r="B498" s="3" t="s">
        <v>67</v>
      </c>
      <c r="C498" s="3" t="s">
        <v>35</v>
      </c>
      <c r="D498" s="4" t="str">
        <f t="shared" si="1"/>
        <v>Ms.</v>
      </c>
      <c r="E498" s="3" t="str">
        <f t="shared" si="4"/>
        <v>Ms. Saanvi Naidu</v>
      </c>
      <c r="F498" s="3" t="str">
        <f>IFERROR(__xludf.DUMMYFUNCTION("SPLIT(B498,"" "")"),"Saanvi")</f>
        <v>Saanvi</v>
      </c>
      <c r="G498" s="3" t="str">
        <f>IFERROR(__xludf.DUMMYFUNCTION("""COMPUTED_VALUE"""),"Naidu")</f>
        <v>Naidu</v>
      </c>
      <c r="H498" s="3" t="s">
        <v>25</v>
      </c>
      <c r="I498" s="3">
        <v>2026.0</v>
      </c>
      <c r="J498" s="3">
        <f t="shared" si="2"/>
        <v>10000</v>
      </c>
      <c r="K498" s="3" t="s">
        <v>20</v>
      </c>
      <c r="L498" s="3">
        <v>0.0</v>
      </c>
      <c r="M498" s="3" t="s">
        <v>21</v>
      </c>
      <c r="N498" s="3">
        <v>62.0</v>
      </c>
      <c r="O498" s="3" t="s">
        <v>41</v>
      </c>
      <c r="P498" s="3" t="s">
        <v>23</v>
      </c>
      <c r="Q498" s="6">
        <f t="shared" si="3"/>
        <v>430000</v>
      </c>
    </row>
    <row r="499">
      <c r="A499" s="3">
        <v>65162.0</v>
      </c>
      <c r="B499" s="3" t="s">
        <v>470</v>
      </c>
      <c r="C499" s="3" t="s">
        <v>35</v>
      </c>
      <c r="D499" s="4" t="str">
        <f t="shared" si="1"/>
        <v>Ms.</v>
      </c>
      <c r="E499" s="3" t="str">
        <f t="shared" si="4"/>
        <v>Ms. Avni Mehta</v>
      </c>
      <c r="F499" s="3" t="str">
        <f>IFERROR(__xludf.DUMMYFUNCTION("SPLIT(B499,"" "")"),"Avni")</f>
        <v>Avni</v>
      </c>
      <c r="G499" s="3" t="str">
        <f>IFERROR(__xludf.DUMMYFUNCTION("""COMPUTED_VALUE"""),"Mehta")</f>
        <v>Mehta</v>
      </c>
      <c r="H499" s="3" t="s">
        <v>19</v>
      </c>
      <c r="I499" s="3">
        <v>2020.0</v>
      </c>
      <c r="J499" s="3">
        <f t="shared" si="2"/>
        <v>5000</v>
      </c>
      <c r="K499" s="3" t="s">
        <v>20</v>
      </c>
      <c r="L499" s="3">
        <v>0.0</v>
      </c>
      <c r="M499" s="3" t="s">
        <v>21</v>
      </c>
      <c r="N499" s="3">
        <v>25.0</v>
      </c>
      <c r="O499" s="3" t="s">
        <v>41</v>
      </c>
      <c r="P499" s="3" t="s">
        <v>38</v>
      </c>
      <c r="Q499" s="6">
        <f t="shared" si="3"/>
        <v>635000</v>
      </c>
    </row>
    <row r="500">
      <c r="A500" s="3">
        <v>65163.0</v>
      </c>
      <c r="B500" s="3" t="s">
        <v>471</v>
      </c>
      <c r="C500" s="3" t="s">
        <v>35</v>
      </c>
      <c r="D500" s="4" t="str">
        <f t="shared" si="1"/>
        <v>Ms.</v>
      </c>
      <c r="E500" s="3" t="str">
        <f t="shared" si="4"/>
        <v>Ms. Avni Sharma</v>
      </c>
      <c r="F500" s="3" t="str">
        <f>IFERROR(__xludf.DUMMYFUNCTION("SPLIT(B500,"" "")"),"Avni")</f>
        <v>Avni</v>
      </c>
      <c r="G500" s="3" t="str">
        <f>IFERROR(__xludf.DUMMYFUNCTION("""COMPUTED_VALUE"""),"Sharma")</f>
        <v>Sharma</v>
      </c>
      <c r="H500" s="3" t="s">
        <v>33</v>
      </c>
      <c r="I500" s="3">
        <v>2021.0</v>
      </c>
      <c r="J500" s="3">
        <f t="shared" si="2"/>
        <v>10000</v>
      </c>
      <c r="K500" s="3" t="s">
        <v>20</v>
      </c>
      <c r="L500" s="3">
        <v>0.0</v>
      </c>
      <c r="M500" s="3" t="s">
        <v>21</v>
      </c>
      <c r="N500" s="3">
        <f>RANDBETWEEN(0,10)</f>
        <v>6</v>
      </c>
      <c r="O500" s="3" t="s">
        <v>41</v>
      </c>
      <c r="P500" s="3" t="s">
        <v>31</v>
      </c>
      <c r="Q500" s="6">
        <f t="shared" si="3"/>
        <v>910000</v>
      </c>
    </row>
    <row r="501">
      <c r="A501" s="3">
        <v>65164.0</v>
      </c>
      <c r="B501" s="3" t="s">
        <v>189</v>
      </c>
      <c r="C501" s="3" t="s">
        <v>35</v>
      </c>
      <c r="D501" s="4" t="str">
        <f t="shared" si="1"/>
        <v>Ms.</v>
      </c>
      <c r="E501" s="3" t="str">
        <f t="shared" si="4"/>
        <v>Ms. Navya Iyer</v>
      </c>
      <c r="F501" s="3" t="str">
        <f>IFERROR(__xludf.DUMMYFUNCTION("SPLIT(B501,"" "")"),"Navya")</f>
        <v>Navya</v>
      </c>
      <c r="G501" s="3" t="str">
        <f>IFERROR(__xludf.DUMMYFUNCTION("""COMPUTED_VALUE"""),"Iyer")</f>
        <v>Iyer</v>
      </c>
      <c r="H501" s="3" t="s">
        <v>25</v>
      </c>
      <c r="I501" s="3">
        <v>2022.0</v>
      </c>
      <c r="J501" s="3">
        <f t="shared" si="2"/>
        <v>10000</v>
      </c>
      <c r="K501" s="3" t="s">
        <v>20</v>
      </c>
      <c r="L501" s="3">
        <v>0.0</v>
      </c>
      <c r="M501" s="3" t="s">
        <v>21</v>
      </c>
      <c r="N501" s="3">
        <v>33.0</v>
      </c>
      <c r="O501" s="3" t="s">
        <v>41</v>
      </c>
      <c r="P501" s="3" t="s">
        <v>31</v>
      </c>
      <c r="Q501" s="6">
        <f t="shared" si="3"/>
        <v>910000</v>
      </c>
    </row>
    <row r="502">
      <c r="A502" s="3">
        <v>65165.0</v>
      </c>
      <c r="B502" s="3" t="s">
        <v>472</v>
      </c>
      <c r="C502" s="3" t="s">
        <v>35</v>
      </c>
      <c r="D502" s="4" t="str">
        <f t="shared" si="1"/>
        <v>Ms.</v>
      </c>
      <c r="E502" s="3" t="str">
        <f t="shared" si="4"/>
        <v>Ms. Sara Prasad</v>
      </c>
      <c r="F502" s="3" t="str">
        <f>IFERROR(__xludf.DUMMYFUNCTION("SPLIT(B502,"" "")"),"Sara")</f>
        <v>Sara</v>
      </c>
      <c r="G502" s="3" t="str">
        <f>IFERROR(__xludf.DUMMYFUNCTION("""COMPUTED_VALUE"""),"Prasad")</f>
        <v>Prasad</v>
      </c>
      <c r="H502" s="3" t="s">
        <v>25</v>
      </c>
      <c r="I502" s="3">
        <v>2026.0</v>
      </c>
      <c r="J502" s="3">
        <f t="shared" si="2"/>
        <v>10000</v>
      </c>
      <c r="K502" s="3" t="s">
        <v>20</v>
      </c>
      <c r="L502" s="3">
        <v>0.0</v>
      </c>
      <c r="M502" s="3" t="s">
        <v>21</v>
      </c>
      <c r="N502" s="3">
        <v>79.0</v>
      </c>
      <c r="O502" s="3" t="s">
        <v>41</v>
      </c>
      <c r="P502" s="3" t="s">
        <v>28</v>
      </c>
      <c r="Q502" s="6">
        <f t="shared" si="3"/>
        <v>400000</v>
      </c>
    </row>
    <row r="503">
      <c r="A503" s="3">
        <v>65166.0</v>
      </c>
      <c r="B503" s="3" t="s">
        <v>473</v>
      </c>
      <c r="C503" s="3" t="s">
        <v>35</v>
      </c>
      <c r="D503" s="4" t="str">
        <f t="shared" si="1"/>
        <v>Ms.</v>
      </c>
      <c r="E503" s="3" t="str">
        <f t="shared" si="4"/>
        <v>Ms. Tara Dutta</v>
      </c>
      <c r="F503" s="3" t="str">
        <f>IFERROR(__xludf.DUMMYFUNCTION("SPLIT(B503,"" "")"),"Tara")</f>
        <v>Tara</v>
      </c>
      <c r="G503" s="3" t="str">
        <f>IFERROR(__xludf.DUMMYFUNCTION("""COMPUTED_VALUE"""),"Dutta")</f>
        <v>Dutta</v>
      </c>
      <c r="H503" s="3" t="s">
        <v>25</v>
      </c>
      <c r="I503" s="3">
        <v>2025.0</v>
      </c>
      <c r="J503" s="3">
        <f t="shared" si="2"/>
        <v>10000</v>
      </c>
      <c r="K503" s="3" t="s">
        <v>26</v>
      </c>
      <c r="L503" s="3">
        <v>16042.0</v>
      </c>
      <c r="M503" s="3" t="s">
        <v>21</v>
      </c>
      <c r="N503" s="3">
        <v>37.0</v>
      </c>
      <c r="O503" s="3" t="s">
        <v>41</v>
      </c>
      <c r="P503" s="3" t="s">
        <v>28</v>
      </c>
      <c r="Q503" s="6">
        <f t="shared" si="3"/>
        <v>400000</v>
      </c>
    </row>
    <row r="504">
      <c r="A504" s="3">
        <v>65167.0</v>
      </c>
      <c r="B504" s="3" t="s">
        <v>300</v>
      </c>
      <c r="C504" s="3" t="s">
        <v>35</v>
      </c>
      <c r="D504" s="4" t="str">
        <f t="shared" si="1"/>
        <v>Ms.</v>
      </c>
      <c r="E504" s="3" t="str">
        <f t="shared" si="4"/>
        <v>Ms. Vanya Desai</v>
      </c>
      <c r="F504" s="3" t="str">
        <f>IFERROR(__xludf.DUMMYFUNCTION("SPLIT(B504,"" "")"),"Vanya")</f>
        <v>Vanya</v>
      </c>
      <c r="G504" s="3" t="str">
        <f>IFERROR(__xludf.DUMMYFUNCTION("""COMPUTED_VALUE"""),"Desai")</f>
        <v>Desai</v>
      </c>
      <c r="H504" s="3" t="s">
        <v>19</v>
      </c>
      <c r="I504" s="3">
        <v>2025.0</v>
      </c>
      <c r="J504" s="3">
        <f t="shared" si="2"/>
        <v>5000</v>
      </c>
      <c r="K504" s="3" t="s">
        <v>20</v>
      </c>
      <c r="L504" s="3">
        <v>0.0</v>
      </c>
      <c r="M504" s="3" t="s">
        <v>21</v>
      </c>
      <c r="N504" s="3">
        <v>59.0</v>
      </c>
      <c r="O504" s="3" t="s">
        <v>41</v>
      </c>
      <c r="P504" s="3" t="s">
        <v>31</v>
      </c>
      <c r="Q504" s="6">
        <f t="shared" si="3"/>
        <v>910000</v>
      </c>
    </row>
    <row r="505">
      <c r="A505" s="3">
        <v>65168.0</v>
      </c>
      <c r="B505" s="3" t="s">
        <v>474</v>
      </c>
      <c r="C505" s="3" t="s">
        <v>18</v>
      </c>
      <c r="D505" s="4" t="str">
        <f t="shared" si="1"/>
        <v>Mr.</v>
      </c>
      <c r="E505" s="3" t="str">
        <f t="shared" si="4"/>
        <v>Mr. Dhanush Pillai</v>
      </c>
      <c r="F505" s="3" t="str">
        <f>IFERROR(__xludf.DUMMYFUNCTION("SPLIT(B505,"" "")"),"Dhanush")</f>
        <v>Dhanush</v>
      </c>
      <c r="G505" s="3" t="str">
        <f>IFERROR(__xludf.DUMMYFUNCTION("""COMPUTED_VALUE"""),"Pillai")</f>
        <v>Pillai</v>
      </c>
      <c r="H505" s="3" t="s">
        <v>46</v>
      </c>
      <c r="I505" s="3">
        <v>2027.0</v>
      </c>
      <c r="J505" s="3">
        <f t="shared" si="2"/>
        <v>5000</v>
      </c>
      <c r="K505" s="3" t="s">
        <v>20</v>
      </c>
      <c r="L505" s="3">
        <v>0.0</v>
      </c>
      <c r="M505" s="3" t="s">
        <v>21</v>
      </c>
      <c r="N505" s="3">
        <v>16.0</v>
      </c>
      <c r="O505" s="3" t="s">
        <v>41</v>
      </c>
      <c r="P505" s="3" t="s">
        <v>31</v>
      </c>
      <c r="Q505" s="6">
        <f t="shared" si="3"/>
        <v>910000</v>
      </c>
    </row>
    <row r="506">
      <c r="A506" s="3">
        <v>65169.0</v>
      </c>
      <c r="B506" s="3" t="s">
        <v>475</v>
      </c>
      <c r="C506" s="3" t="s">
        <v>18</v>
      </c>
      <c r="D506" s="4" t="str">
        <f t="shared" si="1"/>
        <v>Mr.</v>
      </c>
      <c r="E506" s="3" t="str">
        <f t="shared" si="4"/>
        <v>Mr. Aryan Mehta</v>
      </c>
      <c r="F506" s="3" t="str">
        <f>IFERROR(__xludf.DUMMYFUNCTION("SPLIT(B506,"" "")"),"Aryan")</f>
        <v>Aryan</v>
      </c>
      <c r="G506" s="3" t="str">
        <f>IFERROR(__xludf.DUMMYFUNCTION("""COMPUTED_VALUE"""),"Mehta")</f>
        <v>Mehta</v>
      </c>
      <c r="H506" s="3" t="s">
        <v>33</v>
      </c>
      <c r="I506" s="3">
        <v>2022.0</v>
      </c>
      <c r="J506" s="3">
        <f t="shared" si="2"/>
        <v>10000</v>
      </c>
      <c r="K506" s="3" t="s">
        <v>20</v>
      </c>
      <c r="L506" s="3">
        <v>0.0</v>
      </c>
      <c r="M506" s="3" t="s">
        <v>21</v>
      </c>
      <c r="N506" s="3">
        <f t="shared" ref="N506:N507" si="29">RANDBETWEEN(0,10)</f>
        <v>9</v>
      </c>
      <c r="O506" s="3" t="s">
        <v>22</v>
      </c>
      <c r="P506" s="3" t="s">
        <v>31</v>
      </c>
      <c r="Q506" s="6">
        <f t="shared" si="3"/>
        <v>910000</v>
      </c>
    </row>
    <row r="507">
      <c r="A507" s="3">
        <v>65170.0</v>
      </c>
      <c r="B507" s="3" t="s">
        <v>476</v>
      </c>
      <c r="C507" s="3" t="s">
        <v>18</v>
      </c>
      <c r="D507" s="4" t="str">
        <f t="shared" si="1"/>
        <v>Mr.</v>
      </c>
      <c r="E507" s="3" t="str">
        <f t="shared" si="4"/>
        <v>Mr. Aaryan Desai</v>
      </c>
      <c r="F507" s="3" t="str">
        <f>IFERROR(__xludf.DUMMYFUNCTION("SPLIT(B507,"" "")"),"Aaryan")</f>
        <v>Aaryan</v>
      </c>
      <c r="G507" s="3" t="str">
        <f>IFERROR(__xludf.DUMMYFUNCTION("""COMPUTED_VALUE"""),"Desai")</f>
        <v>Desai</v>
      </c>
      <c r="H507" s="3" t="s">
        <v>19</v>
      </c>
      <c r="I507" s="3">
        <v>2024.0</v>
      </c>
      <c r="J507" s="3">
        <f t="shared" si="2"/>
        <v>5000</v>
      </c>
      <c r="K507" s="3" t="s">
        <v>26</v>
      </c>
      <c r="L507" s="3">
        <v>17329.0</v>
      </c>
      <c r="M507" s="3" t="s">
        <v>21</v>
      </c>
      <c r="N507" s="3">
        <f t="shared" si="29"/>
        <v>6</v>
      </c>
      <c r="O507" s="3" t="s">
        <v>41</v>
      </c>
      <c r="P507" s="3" t="s">
        <v>23</v>
      </c>
      <c r="Q507" s="6">
        <f t="shared" si="3"/>
        <v>430000</v>
      </c>
    </row>
    <row r="508">
      <c r="A508" s="3">
        <v>65171.0</v>
      </c>
      <c r="B508" s="3" t="s">
        <v>477</v>
      </c>
      <c r="C508" s="3" t="s">
        <v>35</v>
      </c>
      <c r="D508" s="4" t="str">
        <f t="shared" si="1"/>
        <v>Ms.</v>
      </c>
      <c r="E508" s="3" t="str">
        <f t="shared" si="4"/>
        <v>Ms. Avni Kumar</v>
      </c>
      <c r="F508" s="3" t="str">
        <f>IFERROR(__xludf.DUMMYFUNCTION("SPLIT(B508,"" "")"),"Avni")</f>
        <v>Avni</v>
      </c>
      <c r="G508" s="3" t="str">
        <f>IFERROR(__xludf.DUMMYFUNCTION("""COMPUTED_VALUE"""),"Kumar")</f>
        <v>Kumar</v>
      </c>
      <c r="H508" s="3" t="s">
        <v>25</v>
      </c>
      <c r="I508" s="3">
        <v>2021.0</v>
      </c>
      <c r="J508" s="3">
        <f t="shared" si="2"/>
        <v>10000</v>
      </c>
      <c r="K508" s="3" t="s">
        <v>20</v>
      </c>
      <c r="L508" s="3">
        <v>0.0</v>
      </c>
      <c r="M508" s="3" t="s">
        <v>21</v>
      </c>
      <c r="N508" s="3">
        <v>58.0</v>
      </c>
      <c r="O508" s="3" t="s">
        <v>22</v>
      </c>
      <c r="P508" s="3" t="s">
        <v>78</v>
      </c>
      <c r="Q508" s="6">
        <f t="shared" si="3"/>
        <v>255000</v>
      </c>
    </row>
    <row r="509">
      <c r="A509" s="3">
        <v>65172.0</v>
      </c>
      <c r="B509" s="3" t="s">
        <v>82</v>
      </c>
      <c r="C509" s="3" t="s">
        <v>35</v>
      </c>
      <c r="D509" s="4" t="str">
        <f t="shared" si="1"/>
        <v>Ms.</v>
      </c>
      <c r="E509" s="3" t="str">
        <f t="shared" si="4"/>
        <v>Ms. Vanya Nair</v>
      </c>
      <c r="F509" s="3" t="str">
        <f>IFERROR(__xludf.DUMMYFUNCTION("SPLIT(B509,"" "")"),"Vanya")</f>
        <v>Vanya</v>
      </c>
      <c r="G509" s="3" t="str">
        <f>IFERROR(__xludf.DUMMYFUNCTION("""COMPUTED_VALUE"""),"Nair")</f>
        <v>Nair</v>
      </c>
      <c r="H509" s="3" t="s">
        <v>25</v>
      </c>
      <c r="I509" s="3">
        <v>2024.0</v>
      </c>
      <c r="J509" s="3">
        <f t="shared" si="2"/>
        <v>10000</v>
      </c>
      <c r="K509" s="3" t="s">
        <v>20</v>
      </c>
      <c r="L509" s="3">
        <v>0.0</v>
      </c>
      <c r="M509" s="3" t="s">
        <v>21</v>
      </c>
      <c r="N509" s="3">
        <v>23.0</v>
      </c>
      <c r="O509" s="3" t="s">
        <v>41</v>
      </c>
      <c r="P509" s="3" t="s">
        <v>31</v>
      </c>
      <c r="Q509" s="6">
        <f t="shared" si="3"/>
        <v>910000</v>
      </c>
    </row>
    <row r="510">
      <c r="A510" s="3">
        <v>65173.0</v>
      </c>
      <c r="B510" s="3" t="s">
        <v>284</v>
      </c>
      <c r="C510" s="3" t="s">
        <v>35</v>
      </c>
      <c r="D510" s="4" t="str">
        <f t="shared" si="1"/>
        <v>Ms.</v>
      </c>
      <c r="E510" s="3" t="str">
        <f t="shared" si="4"/>
        <v>Ms. Mahira Chopra</v>
      </c>
      <c r="F510" s="3" t="str">
        <f>IFERROR(__xludf.DUMMYFUNCTION("SPLIT(B510,"" "")"),"Mahira")</f>
        <v>Mahira</v>
      </c>
      <c r="G510" s="3" t="str">
        <f>IFERROR(__xludf.DUMMYFUNCTION("""COMPUTED_VALUE"""),"Chopra")</f>
        <v>Chopra</v>
      </c>
      <c r="H510" s="3" t="s">
        <v>25</v>
      </c>
      <c r="I510" s="3">
        <v>2022.0</v>
      </c>
      <c r="J510" s="3">
        <f t="shared" si="2"/>
        <v>10000</v>
      </c>
      <c r="K510" s="3" t="s">
        <v>20</v>
      </c>
      <c r="L510" s="3">
        <v>0.0</v>
      </c>
      <c r="M510" s="3" t="s">
        <v>21</v>
      </c>
      <c r="N510" s="3">
        <v>43.0</v>
      </c>
      <c r="O510" s="3" t="s">
        <v>41</v>
      </c>
      <c r="P510" s="3" t="s">
        <v>78</v>
      </c>
      <c r="Q510" s="6">
        <f t="shared" si="3"/>
        <v>255000</v>
      </c>
    </row>
    <row r="511">
      <c r="A511" s="3">
        <v>65174.0</v>
      </c>
      <c r="B511" s="3" t="s">
        <v>195</v>
      </c>
      <c r="C511" s="3" t="s">
        <v>35</v>
      </c>
      <c r="D511" s="4" t="str">
        <f t="shared" si="1"/>
        <v>Ms.</v>
      </c>
      <c r="E511" s="3" t="str">
        <f t="shared" si="4"/>
        <v>Ms. Eva Chopra</v>
      </c>
      <c r="F511" s="3" t="str">
        <f>IFERROR(__xludf.DUMMYFUNCTION("SPLIT(B511,"" "")"),"Eva")</f>
        <v>Eva</v>
      </c>
      <c r="G511" s="3" t="str">
        <f>IFERROR(__xludf.DUMMYFUNCTION("""COMPUTED_VALUE"""),"Chopra")</f>
        <v>Chopra</v>
      </c>
      <c r="H511" s="3" t="s">
        <v>19</v>
      </c>
      <c r="I511" s="3">
        <v>2028.0</v>
      </c>
      <c r="J511" s="3">
        <f t="shared" si="2"/>
        <v>5000</v>
      </c>
      <c r="K511" s="3" t="s">
        <v>20</v>
      </c>
      <c r="L511" s="3">
        <v>0.0</v>
      </c>
      <c r="M511" s="3" t="s">
        <v>21</v>
      </c>
      <c r="N511" s="3">
        <v>17.0</v>
      </c>
      <c r="O511" s="3" t="s">
        <v>22</v>
      </c>
      <c r="P511" s="3" t="s">
        <v>23</v>
      </c>
      <c r="Q511" s="6">
        <f t="shared" si="3"/>
        <v>430000</v>
      </c>
    </row>
    <row r="512">
      <c r="A512" s="3">
        <v>65176.0</v>
      </c>
      <c r="B512" s="3" t="s">
        <v>478</v>
      </c>
      <c r="C512" s="3" t="s">
        <v>35</v>
      </c>
      <c r="D512" s="4" t="str">
        <f t="shared" si="1"/>
        <v>Ms.</v>
      </c>
      <c r="E512" s="3" t="str">
        <f t="shared" si="4"/>
        <v>Ms. Anvi Chowdhury</v>
      </c>
      <c r="F512" s="3" t="str">
        <f>IFERROR(__xludf.DUMMYFUNCTION("SPLIT(B512,"" "")"),"Anvi")</f>
        <v>Anvi</v>
      </c>
      <c r="G512" s="3" t="str">
        <f>IFERROR(__xludf.DUMMYFUNCTION("""COMPUTED_VALUE"""),"Chowdhury")</f>
        <v>Chowdhury</v>
      </c>
      <c r="H512" s="3" t="s">
        <v>25</v>
      </c>
      <c r="I512" s="3">
        <v>2025.0</v>
      </c>
      <c r="J512" s="3">
        <f t="shared" si="2"/>
        <v>10000</v>
      </c>
      <c r="K512" s="3" t="s">
        <v>26</v>
      </c>
      <c r="L512" s="10">
        <v>5205.0</v>
      </c>
      <c r="M512" s="3" t="s">
        <v>21</v>
      </c>
      <c r="N512" s="3">
        <v>1.0</v>
      </c>
      <c r="O512" s="3" t="s">
        <v>22</v>
      </c>
      <c r="P512" s="3" t="s">
        <v>38</v>
      </c>
      <c r="Q512" s="6">
        <f t="shared" si="3"/>
        <v>635000</v>
      </c>
    </row>
    <row r="513">
      <c r="A513" s="3">
        <v>65177.0</v>
      </c>
      <c r="B513" s="3" t="s">
        <v>479</v>
      </c>
      <c r="C513" s="3" t="s">
        <v>18</v>
      </c>
      <c r="D513" s="4" t="str">
        <f t="shared" si="1"/>
        <v>Mr.</v>
      </c>
      <c r="E513" s="3" t="str">
        <f t="shared" si="4"/>
        <v>Mr. Sai Verma</v>
      </c>
      <c r="F513" s="3" t="str">
        <f>IFERROR(__xludf.DUMMYFUNCTION("SPLIT(B513,"" "")"),"Sai")</f>
        <v>Sai</v>
      </c>
      <c r="G513" s="3" t="str">
        <f>IFERROR(__xludf.DUMMYFUNCTION("""COMPUTED_VALUE"""),"Verma")</f>
        <v>Verma</v>
      </c>
      <c r="H513" s="3" t="s">
        <v>33</v>
      </c>
      <c r="I513" s="3">
        <v>2018.0</v>
      </c>
      <c r="J513" s="3">
        <f t="shared" si="2"/>
        <v>10000</v>
      </c>
      <c r="K513" s="3" t="s">
        <v>20</v>
      </c>
      <c r="L513" s="10">
        <v>4049.0</v>
      </c>
      <c r="M513" s="3" t="s">
        <v>21</v>
      </c>
      <c r="N513" s="3">
        <v>50.0</v>
      </c>
      <c r="O513" s="3" t="s">
        <v>22</v>
      </c>
      <c r="P513" s="3" t="s">
        <v>38</v>
      </c>
      <c r="Q513" s="6">
        <f t="shared" si="3"/>
        <v>635000</v>
      </c>
    </row>
    <row r="514">
      <c r="A514" s="3">
        <v>65178.0</v>
      </c>
      <c r="B514" s="3" t="s">
        <v>480</v>
      </c>
      <c r="C514" s="3" t="s">
        <v>18</v>
      </c>
      <c r="D514" s="4" t="str">
        <f t="shared" si="1"/>
        <v>Mr.</v>
      </c>
      <c r="E514" s="3" t="str">
        <f t="shared" si="4"/>
        <v>Mr. Arjun Gupta</v>
      </c>
      <c r="F514" s="3" t="str">
        <f>IFERROR(__xludf.DUMMYFUNCTION("SPLIT(B514,"" "")"),"Arjun")</f>
        <v>Arjun</v>
      </c>
      <c r="G514" s="3" t="str">
        <f>IFERROR(__xludf.DUMMYFUNCTION("""COMPUTED_VALUE"""),"Gupta")</f>
        <v>Gupta</v>
      </c>
      <c r="H514" s="3" t="s">
        <v>19</v>
      </c>
      <c r="I514" s="3">
        <v>2023.0</v>
      </c>
      <c r="J514" s="3">
        <f t="shared" si="2"/>
        <v>5000</v>
      </c>
      <c r="K514" s="3" t="s">
        <v>26</v>
      </c>
      <c r="L514" s="3">
        <v>13468.0</v>
      </c>
      <c r="M514" s="3" t="s">
        <v>21</v>
      </c>
      <c r="N514" s="3">
        <f t="shared" ref="N514:N515" si="30">RANDBETWEEN(0,10)</f>
        <v>5</v>
      </c>
      <c r="O514" s="3" t="s">
        <v>22</v>
      </c>
      <c r="P514" s="3" t="s">
        <v>38</v>
      </c>
      <c r="Q514" s="6">
        <f t="shared" si="3"/>
        <v>635000</v>
      </c>
    </row>
    <row r="515">
      <c r="A515" s="3">
        <v>65179.0</v>
      </c>
      <c r="B515" s="3" t="s">
        <v>481</v>
      </c>
      <c r="C515" s="3" t="s">
        <v>18</v>
      </c>
      <c r="D515" s="4" t="str">
        <f t="shared" si="1"/>
        <v>Mr.</v>
      </c>
      <c r="E515" s="3" t="str">
        <f t="shared" si="4"/>
        <v>Mr. Shaurya Chopra</v>
      </c>
      <c r="F515" s="3" t="str">
        <f>IFERROR(__xludf.DUMMYFUNCTION("SPLIT(B515,"" "")"),"Shaurya")</f>
        <v>Shaurya</v>
      </c>
      <c r="G515" s="3" t="str">
        <f>IFERROR(__xludf.DUMMYFUNCTION("""COMPUTED_VALUE"""),"Chopra")</f>
        <v>Chopra</v>
      </c>
      <c r="H515" s="3" t="s">
        <v>46</v>
      </c>
      <c r="I515" s="3">
        <v>2023.0</v>
      </c>
      <c r="J515" s="3">
        <f t="shared" si="2"/>
        <v>5000</v>
      </c>
      <c r="K515" s="3" t="s">
        <v>26</v>
      </c>
      <c r="L515" s="3">
        <v>7605.0</v>
      </c>
      <c r="M515" s="3" t="s">
        <v>21</v>
      </c>
      <c r="N515" s="3">
        <f t="shared" si="30"/>
        <v>0</v>
      </c>
      <c r="O515" s="3" t="s">
        <v>22</v>
      </c>
      <c r="P515" s="3" t="s">
        <v>31</v>
      </c>
      <c r="Q515" s="6">
        <f t="shared" si="3"/>
        <v>910000</v>
      </c>
    </row>
    <row r="516">
      <c r="A516" s="3">
        <v>65180.0</v>
      </c>
      <c r="B516" s="3" t="s">
        <v>482</v>
      </c>
      <c r="C516" s="3" t="s">
        <v>18</v>
      </c>
      <c r="D516" s="4" t="str">
        <f t="shared" si="1"/>
        <v>Mr.</v>
      </c>
      <c r="E516" s="3" t="str">
        <f t="shared" si="4"/>
        <v>Mr. Reyansh Naidu</v>
      </c>
      <c r="F516" s="3" t="str">
        <f>IFERROR(__xludf.DUMMYFUNCTION("SPLIT(B516,"" "")"),"Reyansh")</f>
        <v>Reyansh</v>
      </c>
      <c r="G516" s="3" t="str">
        <f>IFERROR(__xludf.DUMMYFUNCTION("""COMPUTED_VALUE"""),"Naidu")</f>
        <v>Naidu</v>
      </c>
      <c r="H516" s="3" t="s">
        <v>46</v>
      </c>
      <c r="I516" s="3">
        <v>2027.0</v>
      </c>
      <c r="J516" s="3">
        <f t="shared" si="2"/>
        <v>5000</v>
      </c>
      <c r="K516" s="3" t="s">
        <v>26</v>
      </c>
      <c r="L516" s="3">
        <v>19020.0</v>
      </c>
      <c r="M516" s="3" t="s">
        <v>21</v>
      </c>
      <c r="N516" s="3">
        <v>2.0</v>
      </c>
      <c r="O516" s="3" t="s">
        <v>22</v>
      </c>
      <c r="P516" s="3" t="s">
        <v>38</v>
      </c>
      <c r="Q516" s="6">
        <f t="shared" si="3"/>
        <v>635000</v>
      </c>
    </row>
    <row r="517">
      <c r="A517" s="3">
        <v>65181.0</v>
      </c>
      <c r="B517" s="3" t="s">
        <v>483</v>
      </c>
      <c r="C517" s="3" t="s">
        <v>18</v>
      </c>
      <c r="D517" s="4" t="str">
        <f t="shared" si="1"/>
        <v>Mr.</v>
      </c>
      <c r="E517" s="3" t="str">
        <f t="shared" si="4"/>
        <v>Mr. Ishaan Desai</v>
      </c>
      <c r="F517" s="3" t="str">
        <f>IFERROR(__xludf.DUMMYFUNCTION("SPLIT(B517,"" "")"),"Ishaan")</f>
        <v>Ishaan</v>
      </c>
      <c r="G517" s="3" t="str">
        <f>IFERROR(__xludf.DUMMYFUNCTION("""COMPUTED_VALUE"""),"Desai")</f>
        <v>Desai</v>
      </c>
      <c r="H517" s="3" t="s">
        <v>19</v>
      </c>
      <c r="I517" s="3">
        <v>2024.0</v>
      </c>
      <c r="J517" s="3">
        <f t="shared" si="2"/>
        <v>5000</v>
      </c>
      <c r="K517" s="3" t="s">
        <v>26</v>
      </c>
      <c r="L517" s="3">
        <v>20156.0</v>
      </c>
      <c r="M517" s="3" t="s">
        <v>21</v>
      </c>
      <c r="N517" s="3">
        <v>45.0</v>
      </c>
      <c r="O517" s="3" t="s">
        <v>22</v>
      </c>
      <c r="P517" s="3" t="s">
        <v>23</v>
      </c>
      <c r="Q517" s="6">
        <f t="shared" si="3"/>
        <v>430000</v>
      </c>
    </row>
    <row r="518">
      <c r="A518" s="3">
        <v>65182.0</v>
      </c>
      <c r="B518" s="3" t="s">
        <v>484</v>
      </c>
      <c r="C518" s="3" t="s">
        <v>18</v>
      </c>
      <c r="D518" s="4" t="str">
        <f t="shared" si="1"/>
        <v>Mr.</v>
      </c>
      <c r="E518" s="3" t="str">
        <f t="shared" si="4"/>
        <v>Mr. Siddharth Jain</v>
      </c>
      <c r="F518" s="3" t="str">
        <f>IFERROR(__xludf.DUMMYFUNCTION("SPLIT(B518,"" "")"),"Siddharth")</f>
        <v>Siddharth</v>
      </c>
      <c r="G518" s="3" t="str">
        <f>IFERROR(__xludf.DUMMYFUNCTION("""COMPUTED_VALUE"""),"Jain")</f>
        <v>Jain</v>
      </c>
      <c r="H518" s="3" t="s">
        <v>46</v>
      </c>
      <c r="I518" s="3">
        <v>2024.0</v>
      </c>
      <c r="J518" s="3">
        <f t="shared" si="2"/>
        <v>5000</v>
      </c>
      <c r="K518" s="3" t="s">
        <v>26</v>
      </c>
      <c r="L518" s="3">
        <v>4758.0</v>
      </c>
      <c r="M518" s="3" t="s">
        <v>21</v>
      </c>
      <c r="N518" s="3">
        <f>RANDBETWEEN(0,10)</f>
        <v>6</v>
      </c>
      <c r="O518" s="3" t="s">
        <v>22</v>
      </c>
      <c r="P518" s="3" t="s">
        <v>78</v>
      </c>
      <c r="Q518" s="6">
        <f t="shared" si="3"/>
        <v>255000</v>
      </c>
    </row>
    <row r="519">
      <c r="A519" s="3">
        <v>65183.0</v>
      </c>
      <c r="B519" s="3" t="s">
        <v>485</v>
      </c>
      <c r="C519" s="3" t="s">
        <v>18</v>
      </c>
      <c r="D519" s="4" t="str">
        <f t="shared" si="1"/>
        <v>Mr.</v>
      </c>
      <c r="E519" s="3" t="str">
        <f t="shared" si="4"/>
        <v>Mr. Reyansh Kapoor</v>
      </c>
      <c r="F519" s="3" t="str">
        <f>IFERROR(__xludf.DUMMYFUNCTION("SPLIT(B519,"" "")"),"Reyansh")</f>
        <v>Reyansh</v>
      </c>
      <c r="G519" s="3" t="str">
        <f>IFERROR(__xludf.DUMMYFUNCTION("""COMPUTED_VALUE"""),"Kapoor")</f>
        <v>Kapoor</v>
      </c>
      <c r="H519" s="3" t="s">
        <v>19</v>
      </c>
      <c r="I519" s="3">
        <v>2027.0</v>
      </c>
      <c r="J519" s="3">
        <f t="shared" si="2"/>
        <v>5000</v>
      </c>
      <c r="K519" s="3" t="s">
        <v>20</v>
      </c>
      <c r="L519" s="3">
        <v>256.0</v>
      </c>
      <c r="M519" s="3" t="s">
        <v>21</v>
      </c>
      <c r="N519" s="3">
        <v>1.0</v>
      </c>
      <c r="O519" s="3" t="s">
        <v>41</v>
      </c>
      <c r="P519" s="3" t="s">
        <v>78</v>
      </c>
      <c r="Q519" s="6">
        <f t="shared" si="3"/>
        <v>255000</v>
      </c>
    </row>
    <row r="520">
      <c r="A520" s="3">
        <v>65184.0</v>
      </c>
      <c r="B520" s="3" t="s">
        <v>486</v>
      </c>
      <c r="C520" s="3" t="s">
        <v>18</v>
      </c>
      <c r="D520" s="4" t="str">
        <f t="shared" si="1"/>
        <v>Mr.</v>
      </c>
      <c r="E520" s="3" t="str">
        <f t="shared" si="4"/>
        <v>Mr. Aarav Malik</v>
      </c>
      <c r="F520" s="3" t="str">
        <f>IFERROR(__xludf.DUMMYFUNCTION("SPLIT(B520,"" "")"),"Aarav")</f>
        <v>Aarav</v>
      </c>
      <c r="G520" s="3" t="str">
        <f>IFERROR(__xludf.DUMMYFUNCTION("""COMPUTED_VALUE"""),"Malik")</f>
        <v>Malik</v>
      </c>
      <c r="H520" s="3" t="s">
        <v>33</v>
      </c>
      <c r="I520" s="3">
        <v>2025.0</v>
      </c>
      <c r="J520" s="3">
        <f t="shared" si="2"/>
        <v>10000</v>
      </c>
      <c r="K520" s="3" t="s">
        <v>26</v>
      </c>
      <c r="L520" s="3">
        <v>1417.0</v>
      </c>
      <c r="M520" s="3" t="s">
        <v>21</v>
      </c>
      <c r="N520" s="3">
        <v>13.0</v>
      </c>
      <c r="O520" s="3" t="s">
        <v>22</v>
      </c>
      <c r="P520" s="3" t="s">
        <v>23</v>
      </c>
      <c r="Q520" s="6">
        <f t="shared" si="3"/>
        <v>430000</v>
      </c>
    </row>
    <row r="521">
      <c r="A521" s="3">
        <v>65185.0</v>
      </c>
      <c r="B521" s="3" t="s">
        <v>487</v>
      </c>
      <c r="C521" s="3" t="s">
        <v>35</v>
      </c>
      <c r="D521" s="4" t="str">
        <f t="shared" si="1"/>
        <v>Ms.</v>
      </c>
      <c r="E521" s="3" t="str">
        <f t="shared" si="4"/>
        <v>Ms. Gauri Bhat</v>
      </c>
      <c r="F521" s="3" t="str">
        <f>IFERROR(__xludf.DUMMYFUNCTION("SPLIT(B521,"" "")"),"Gauri")</f>
        <v>Gauri</v>
      </c>
      <c r="G521" s="3" t="str">
        <f>IFERROR(__xludf.DUMMYFUNCTION("""COMPUTED_VALUE"""),"Bhat")</f>
        <v>Bhat</v>
      </c>
      <c r="H521" s="3" t="s">
        <v>33</v>
      </c>
      <c r="I521" s="3">
        <v>2027.0</v>
      </c>
      <c r="J521" s="3">
        <f t="shared" si="2"/>
        <v>10000</v>
      </c>
      <c r="K521" s="3" t="s">
        <v>20</v>
      </c>
      <c r="L521" s="3">
        <v>0.0</v>
      </c>
      <c r="M521" s="3" t="s">
        <v>21</v>
      </c>
      <c r="N521" s="3">
        <v>1.0</v>
      </c>
      <c r="O521" s="3" t="s">
        <v>22</v>
      </c>
      <c r="P521" s="3" t="s">
        <v>31</v>
      </c>
      <c r="Q521" s="6">
        <f t="shared" si="3"/>
        <v>910000</v>
      </c>
    </row>
    <row r="522">
      <c r="A522" s="3">
        <v>65186.0</v>
      </c>
      <c r="B522" s="3" t="s">
        <v>45</v>
      </c>
      <c r="C522" s="3" t="s">
        <v>18</v>
      </c>
      <c r="D522" s="4" t="str">
        <f t="shared" si="1"/>
        <v>Mr.</v>
      </c>
      <c r="E522" s="3" t="str">
        <f t="shared" si="4"/>
        <v>Mr. Aaryan Mehta</v>
      </c>
      <c r="F522" s="3" t="str">
        <f>IFERROR(__xludf.DUMMYFUNCTION("SPLIT(B522,"" "")"),"Aaryan")</f>
        <v>Aaryan</v>
      </c>
      <c r="G522" s="3" t="str">
        <f>IFERROR(__xludf.DUMMYFUNCTION("""COMPUTED_VALUE"""),"Mehta")</f>
        <v>Mehta</v>
      </c>
      <c r="H522" s="3" t="s">
        <v>33</v>
      </c>
      <c r="I522" s="3">
        <v>2025.0</v>
      </c>
      <c r="J522" s="3">
        <f t="shared" si="2"/>
        <v>10000</v>
      </c>
      <c r="K522" s="3" t="s">
        <v>26</v>
      </c>
      <c r="L522" s="3">
        <v>2698.0</v>
      </c>
      <c r="M522" s="3" t="s">
        <v>21</v>
      </c>
      <c r="N522" s="3">
        <v>39.0</v>
      </c>
      <c r="O522" s="3" t="s">
        <v>22</v>
      </c>
      <c r="P522" s="3" t="s">
        <v>38</v>
      </c>
      <c r="Q522" s="6">
        <f t="shared" si="3"/>
        <v>635000</v>
      </c>
    </row>
    <row r="523">
      <c r="A523" s="3">
        <v>65187.0</v>
      </c>
      <c r="B523" s="3" t="s">
        <v>488</v>
      </c>
      <c r="C523" s="3" t="s">
        <v>18</v>
      </c>
      <c r="D523" s="4" t="str">
        <f t="shared" si="1"/>
        <v>Mr.</v>
      </c>
      <c r="E523" s="3" t="str">
        <f t="shared" si="4"/>
        <v>Mr. Atharv Joshi</v>
      </c>
      <c r="F523" s="3" t="str">
        <f>IFERROR(__xludf.DUMMYFUNCTION("SPLIT(B523,"" "")"),"Atharv")</f>
        <v>Atharv</v>
      </c>
      <c r="G523" s="3" t="str">
        <f>IFERROR(__xludf.DUMMYFUNCTION("""COMPUTED_VALUE"""),"Joshi")</f>
        <v>Joshi</v>
      </c>
      <c r="H523" s="3" t="s">
        <v>33</v>
      </c>
      <c r="I523" s="3">
        <v>2022.0</v>
      </c>
      <c r="J523" s="3">
        <f t="shared" si="2"/>
        <v>10000</v>
      </c>
      <c r="K523" s="3" t="s">
        <v>26</v>
      </c>
      <c r="L523" s="10">
        <v>7335.0</v>
      </c>
      <c r="M523" s="3" t="s">
        <v>30</v>
      </c>
      <c r="N523" s="3">
        <v>34.0</v>
      </c>
      <c r="O523" s="3" t="s">
        <v>22</v>
      </c>
      <c r="P523" s="3" t="s">
        <v>78</v>
      </c>
      <c r="Q523" s="6">
        <f t="shared" si="3"/>
        <v>255000</v>
      </c>
    </row>
    <row r="524">
      <c r="A524" s="3">
        <v>65189.0</v>
      </c>
      <c r="B524" s="3" t="s">
        <v>489</v>
      </c>
      <c r="C524" s="3" t="s">
        <v>35</v>
      </c>
      <c r="D524" s="4" t="str">
        <f t="shared" si="1"/>
        <v>Ms.</v>
      </c>
      <c r="E524" s="3" t="str">
        <f t="shared" si="4"/>
        <v>Ms. Sara Kumar</v>
      </c>
      <c r="F524" s="3" t="str">
        <f>IFERROR(__xludf.DUMMYFUNCTION("SPLIT(B524,"" "")"),"Sara")</f>
        <v>Sara</v>
      </c>
      <c r="G524" s="3" t="str">
        <f>IFERROR(__xludf.DUMMYFUNCTION("""COMPUTED_VALUE"""),"Kumar")</f>
        <v>Kumar</v>
      </c>
      <c r="H524" s="3" t="s">
        <v>33</v>
      </c>
      <c r="I524" s="3">
        <v>2022.0</v>
      </c>
      <c r="J524" s="3">
        <f t="shared" si="2"/>
        <v>10000</v>
      </c>
      <c r="K524" s="3" t="s">
        <v>20</v>
      </c>
      <c r="L524" s="3">
        <v>0.0</v>
      </c>
      <c r="M524" s="3" t="s">
        <v>21</v>
      </c>
      <c r="N524" s="3">
        <v>13.0</v>
      </c>
      <c r="O524" s="3" t="s">
        <v>22</v>
      </c>
      <c r="P524" s="3" t="s">
        <v>23</v>
      </c>
      <c r="Q524" s="6">
        <f t="shared" si="3"/>
        <v>430000</v>
      </c>
    </row>
    <row r="525">
      <c r="A525" s="3">
        <v>65190.0</v>
      </c>
      <c r="B525" s="3" t="s">
        <v>490</v>
      </c>
      <c r="C525" s="3" t="s">
        <v>35</v>
      </c>
      <c r="D525" s="4" t="str">
        <f t="shared" si="1"/>
        <v>Ms.</v>
      </c>
      <c r="E525" s="3" t="str">
        <f t="shared" si="4"/>
        <v>Ms. Riddhi Mishra</v>
      </c>
      <c r="F525" s="3" t="str">
        <f>IFERROR(__xludf.DUMMYFUNCTION("SPLIT(B525,"" "")"),"Riddhi")</f>
        <v>Riddhi</v>
      </c>
      <c r="G525" s="3" t="str">
        <f>IFERROR(__xludf.DUMMYFUNCTION("""COMPUTED_VALUE"""),"Mishra")</f>
        <v>Mishra</v>
      </c>
      <c r="H525" s="3" t="s">
        <v>33</v>
      </c>
      <c r="I525" s="3">
        <v>2027.0</v>
      </c>
      <c r="J525" s="3">
        <f t="shared" si="2"/>
        <v>10000</v>
      </c>
      <c r="K525" s="3" t="s">
        <v>20</v>
      </c>
      <c r="L525" s="3">
        <v>0.0</v>
      </c>
      <c r="M525" s="3" t="s">
        <v>21</v>
      </c>
      <c r="N525" s="3">
        <v>24.0</v>
      </c>
      <c r="O525" s="3" t="s">
        <v>22</v>
      </c>
      <c r="P525" s="3" t="s">
        <v>23</v>
      </c>
      <c r="Q525" s="6">
        <f t="shared" si="3"/>
        <v>430000</v>
      </c>
    </row>
    <row r="526">
      <c r="A526" s="3">
        <v>65191.0</v>
      </c>
      <c r="B526" s="3" t="s">
        <v>491</v>
      </c>
      <c r="C526" s="3" t="s">
        <v>35</v>
      </c>
      <c r="D526" s="4" t="str">
        <f t="shared" si="1"/>
        <v>Ms.</v>
      </c>
      <c r="E526" s="3" t="str">
        <f t="shared" si="4"/>
        <v>Ms. Vanya Chowdhury</v>
      </c>
      <c r="F526" s="3" t="str">
        <f>IFERROR(__xludf.DUMMYFUNCTION("SPLIT(B526,"" "")"),"Vanya")</f>
        <v>Vanya</v>
      </c>
      <c r="G526" s="3" t="str">
        <f>IFERROR(__xludf.DUMMYFUNCTION("""COMPUTED_VALUE"""),"Chowdhury")</f>
        <v>Chowdhury</v>
      </c>
      <c r="H526" s="3" t="s">
        <v>19</v>
      </c>
      <c r="I526" s="3">
        <v>2027.0</v>
      </c>
      <c r="J526" s="3">
        <f t="shared" si="2"/>
        <v>5000</v>
      </c>
      <c r="K526" s="3" t="s">
        <v>20</v>
      </c>
      <c r="L526" s="3">
        <v>589.0</v>
      </c>
      <c r="M526" s="3" t="s">
        <v>21</v>
      </c>
      <c r="N526" s="3">
        <v>20.0</v>
      </c>
      <c r="O526" s="3" t="s">
        <v>41</v>
      </c>
      <c r="P526" s="3" t="s">
        <v>28</v>
      </c>
      <c r="Q526" s="6">
        <f t="shared" si="3"/>
        <v>400000</v>
      </c>
    </row>
    <row r="527">
      <c r="A527" s="3">
        <v>65192.0</v>
      </c>
      <c r="B527" s="3" t="s">
        <v>492</v>
      </c>
      <c r="C527" s="3" t="s">
        <v>35</v>
      </c>
      <c r="D527" s="4" t="str">
        <f t="shared" si="1"/>
        <v>Ms.</v>
      </c>
      <c r="E527" s="3" t="str">
        <f t="shared" si="4"/>
        <v>Ms. Prisha Verma</v>
      </c>
      <c r="F527" s="3" t="str">
        <f>IFERROR(__xludf.DUMMYFUNCTION("SPLIT(B527,"" "")"),"Prisha")</f>
        <v>Prisha</v>
      </c>
      <c r="G527" s="3" t="str">
        <f>IFERROR(__xludf.DUMMYFUNCTION("""COMPUTED_VALUE"""),"Verma")</f>
        <v>Verma</v>
      </c>
      <c r="H527" s="3" t="s">
        <v>19</v>
      </c>
      <c r="I527" s="3">
        <v>2027.0</v>
      </c>
      <c r="J527" s="3">
        <f t="shared" si="2"/>
        <v>5000</v>
      </c>
      <c r="K527" s="3" t="s">
        <v>20</v>
      </c>
      <c r="L527" s="3">
        <v>0.0</v>
      </c>
      <c r="M527" s="3" t="s">
        <v>21</v>
      </c>
      <c r="N527" s="3">
        <v>38.0</v>
      </c>
      <c r="O527" s="3" t="s">
        <v>22</v>
      </c>
      <c r="P527" s="3" t="s">
        <v>38</v>
      </c>
      <c r="Q527" s="6">
        <f t="shared" si="3"/>
        <v>635000</v>
      </c>
    </row>
    <row r="528">
      <c r="A528" s="3">
        <v>65194.0</v>
      </c>
      <c r="B528" s="3" t="s">
        <v>493</v>
      </c>
      <c r="C528" s="3" t="s">
        <v>18</v>
      </c>
      <c r="D528" s="4" t="str">
        <f t="shared" si="1"/>
        <v>Mr.</v>
      </c>
      <c r="E528" s="3" t="str">
        <f t="shared" si="4"/>
        <v>Mr. Rudra Verma</v>
      </c>
      <c r="F528" s="3" t="str">
        <f>IFERROR(__xludf.DUMMYFUNCTION("SPLIT(B528,"" "")"),"Rudra")</f>
        <v>Rudra</v>
      </c>
      <c r="G528" s="3" t="str">
        <f>IFERROR(__xludf.DUMMYFUNCTION("""COMPUTED_VALUE"""),"Verma")</f>
        <v>Verma</v>
      </c>
      <c r="H528" s="3" t="s">
        <v>19</v>
      </c>
      <c r="I528" s="3">
        <v>2027.0</v>
      </c>
      <c r="J528" s="3">
        <f t="shared" si="2"/>
        <v>5000</v>
      </c>
      <c r="K528" s="3" t="s">
        <v>20</v>
      </c>
      <c r="L528" s="3">
        <v>0.0</v>
      </c>
      <c r="M528" s="3" t="s">
        <v>21</v>
      </c>
      <c r="N528" s="3">
        <v>72.0</v>
      </c>
      <c r="O528" s="3" t="s">
        <v>22</v>
      </c>
      <c r="P528" s="3" t="s">
        <v>31</v>
      </c>
      <c r="Q528" s="6">
        <f t="shared" si="3"/>
        <v>910000</v>
      </c>
    </row>
    <row r="529">
      <c r="A529" s="3">
        <v>65195.0</v>
      </c>
      <c r="B529" s="3" t="s">
        <v>494</v>
      </c>
      <c r="C529" s="3" t="s">
        <v>18</v>
      </c>
      <c r="D529" s="4" t="str">
        <f t="shared" si="1"/>
        <v>Mr.</v>
      </c>
      <c r="E529" s="3" t="str">
        <f t="shared" si="4"/>
        <v>Mr. Siddharth Gupta</v>
      </c>
      <c r="F529" s="3" t="str">
        <f>IFERROR(__xludf.DUMMYFUNCTION("SPLIT(B529,"" "")"),"Siddharth")</f>
        <v>Siddharth</v>
      </c>
      <c r="G529" s="3" t="str">
        <f>IFERROR(__xludf.DUMMYFUNCTION("""COMPUTED_VALUE"""),"Gupta")</f>
        <v>Gupta</v>
      </c>
      <c r="H529" s="3" t="s">
        <v>46</v>
      </c>
      <c r="I529" s="3">
        <v>2020.0</v>
      </c>
      <c r="J529" s="3">
        <f t="shared" si="2"/>
        <v>5000</v>
      </c>
      <c r="K529" s="3" t="s">
        <v>20</v>
      </c>
      <c r="L529" s="3">
        <v>0.0</v>
      </c>
      <c r="M529" s="3" t="s">
        <v>30</v>
      </c>
      <c r="N529" s="3">
        <f>RANDBETWEEN(0,10)</f>
        <v>6</v>
      </c>
      <c r="O529" s="3" t="s">
        <v>22</v>
      </c>
      <c r="P529" s="3" t="s">
        <v>23</v>
      </c>
      <c r="Q529" s="6">
        <f t="shared" si="3"/>
        <v>430000</v>
      </c>
    </row>
    <row r="530">
      <c r="A530" s="3">
        <v>65196.0</v>
      </c>
      <c r="B530" s="3" t="s">
        <v>495</v>
      </c>
      <c r="C530" s="3" t="s">
        <v>35</v>
      </c>
      <c r="D530" s="4" t="str">
        <f t="shared" si="1"/>
        <v>Ms.</v>
      </c>
      <c r="E530" s="3" t="str">
        <f t="shared" si="4"/>
        <v>Ms. Eva Rao</v>
      </c>
      <c r="F530" s="3" t="str">
        <f>IFERROR(__xludf.DUMMYFUNCTION("SPLIT(B530,"" "")"),"Eva")</f>
        <v>Eva</v>
      </c>
      <c r="G530" s="3" t="str">
        <f>IFERROR(__xludf.DUMMYFUNCTION("""COMPUTED_VALUE"""),"Rao")</f>
        <v>Rao</v>
      </c>
      <c r="H530" s="3" t="s">
        <v>46</v>
      </c>
      <c r="I530" s="3">
        <v>2025.0</v>
      </c>
      <c r="J530" s="3">
        <f t="shared" si="2"/>
        <v>5000</v>
      </c>
      <c r="K530" s="3" t="s">
        <v>20</v>
      </c>
      <c r="L530" s="3">
        <v>320.0</v>
      </c>
      <c r="M530" s="3" t="s">
        <v>21</v>
      </c>
      <c r="N530" s="3">
        <v>46.0</v>
      </c>
      <c r="O530" s="3" t="s">
        <v>41</v>
      </c>
      <c r="P530" s="3" t="s">
        <v>78</v>
      </c>
      <c r="Q530" s="6">
        <f t="shared" si="3"/>
        <v>255000</v>
      </c>
    </row>
    <row r="531">
      <c r="A531" s="3">
        <v>65197.0</v>
      </c>
      <c r="B531" s="3" t="s">
        <v>496</v>
      </c>
      <c r="C531" s="3" t="s">
        <v>18</v>
      </c>
      <c r="D531" s="4" t="str">
        <f t="shared" si="1"/>
        <v>Mr.</v>
      </c>
      <c r="E531" s="3" t="str">
        <f t="shared" si="4"/>
        <v>Mr. Aditya Kulkarni</v>
      </c>
      <c r="F531" s="3" t="str">
        <f>IFERROR(__xludf.DUMMYFUNCTION("SPLIT(B531,"" "")"),"Aditya")</f>
        <v>Aditya</v>
      </c>
      <c r="G531" s="3" t="str">
        <f>IFERROR(__xludf.DUMMYFUNCTION("""COMPUTED_VALUE"""),"Kulkarni")</f>
        <v>Kulkarni</v>
      </c>
      <c r="H531" s="3" t="s">
        <v>25</v>
      </c>
      <c r="I531" s="3">
        <v>2026.0</v>
      </c>
      <c r="J531" s="3">
        <f t="shared" si="2"/>
        <v>10000</v>
      </c>
      <c r="K531" s="3" t="s">
        <v>26</v>
      </c>
      <c r="L531" s="3">
        <v>20910.0</v>
      </c>
      <c r="M531" s="3" t="s">
        <v>21</v>
      </c>
      <c r="N531" s="3">
        <f t="shared" ref="N531:N532" si="31">RANDBETWEEN(0,10)</f>
        <v>1</v>
      </c>
      <c r="O531" s="3" t="s">
        <v>22</v>
      </c>
      <c r="P531" s="3" t="s">
        <v>23</v>
      </c>
      <c r="Q531" s="6">
        <f t="shared" si="3"/>
        <v>430000</v>
      </c>
    </row>
    <row r="532">
      <c r="A532" s="3">
        <v>65198.0</v>
      </c>
      <c r="B532" s="3" t="s">
        <v>164</v>
      </c>
      <c r="C532" s="3" t="s">
        <v>35</v>
      </c>
      <c r="D532" s="4" t="str">
        <f t="shared" si="1"/>
        <v>Ms.</v>
      </c>
      <c r="E532" s="3" t="str">
        <f t="shared" si="4"/>
        <v>Ms. Riddhi Sinha</v>
      </c>
      <c r="F532" s="3" t="str">
        <f>IFERROR(__xludf.DUMMYFUNCTION("SPLIT(B532,"" "")"),"Riddhi")</f>
        <v>Riddhi</v>
      </c>
      <c r="G532" s="3" t="str">
        <f>IFERROR(__xludf.DUMMYFUNCTION("""COMPUTED_VALUE"""),"Sinha")</f>
        <v>Sinha</v>
      </c>
      <c r="H532" s="3" t="s">
        <v>33</v>
      </c>
      <c r="I532" s="3">
        <v>2028.0</v>
      </c>
      <c r="J532" s="3">
        <f t="shared" si="2"/>
        <v>10000</v>
      </c>
      <c r="K532" s="3" t="s">
        <v>26</v>
      </c>
      <c r="L532" s="3">
        <v>5846.0</v>
      </c>
      <c r="M532" s="3" t="s">
        <v>21</v>
      </c>
      <c r="N532" s="3">
        <f t="shared" si="31"/>
        <v>5</v>
      </c>
      <c r="O532" s="3" t="s">
        <v>41</v>
      </c>
      <c r="P532" s="3" t="s">
        <v>23</v>
      </c>
      <c r="Q532" s="6">
        <f t="shared" si="3"/>
        <v>430000</v>
      </c>
    </row>
    <row r="533">
      <c r="A533" s="3">
        <v>65199.0</v>
      </c>
      <c r="B533" s="3" t="s">
        <v>493</v>
      </c>
      <c r="C533" s="3" t="s">
        <v>18</v>
      </c>
      <c r="D533" s="4" t="str">
        <f t="shared" si="1"/>
        <v>Mr.</v>
      </c>
      <c r="E533" s="3" t="str">
        <f t="shared" si="4"/>
        <v>Mr. Rudra Verma</v>
      </c>
      <c r="F533" s="3" t="str">
        <f>IFERROR(__xludf.DUMMYFUNCTION("SPLIT(B533,"" "")"),"Rudra")</f>
        <v>Rudra</v>
      </c>
      <c r="G533" s="3" t="str">
        <f>IFERROR(__xludf.DUMMYFUNCTION("""COMPUTED_VALUE"""),"Verma")</f>
        <v>Verma</v>
      </c>
      <c r="H533" s="3" t="s">
        <v>25</v>
      </c>
      <c r="I533" s="3">
        <v>2023.0</v>
      </c>
      <c r="J533" s="3">
        <f t="shared" si="2"/>
        <v>10000</v>
      </c>
      <c r="K533" s="3" t="s">
        <v>26</v>
      </c>
      <c r="L533" s="3">
        <v>24906.0</v>
      </c>
      <c r="M533" s="3" t="s">
        <v>30</v>
      </c>
      <c r="N533" s="3">
        <v>31.0</v>
      </c>
      <c r="O533" s="3" t="s">
        <v>22</v>
      </c>
      <c r="P533" s="3" t="s">
        <v>38</v>
      </c>
      <c r="Q533" s="6">
        <f t="shared" si="3"/>
        <v>635000</v>
      </c>
    </row>
    <row r="534">
      <c r="A534" s="3">
        <v>65200.0</v>
      </c>
      <c r="B534" s="3" t="s">
        <v>112</v>
      </c>
      <c r="C534" s="3" t="s">
        <v>18</v>
      </c>
      <c r="D534" s="4" t="str">
        <f t="shared" si="1"/>
        <v>Mr.</v>
      </c>
      <c r="E534" s="3" t="str">
        <f t="shared" si="4"/>
        <v>Mr. Vivaan Sharma</v>
      </c>
      <c r="F534" s="3" t="str">
        <f>IFERROR(__xludf.DUMMYFUNCTION("SPLIT(B534,"" "")"),"Vivaan")</f>
        <v>Vivaan</v>
      </c>
      <c r="G534" s="3" t="str">
        <f>IFERROR(__xludf.DUMMYFUNCTION("""COMPUTED_VALUE"""),"Sharma")</f>
        <v>Sharma</v>
      </c>
      <c r="H534" s="3" t="s">
        <v>46</v>
      </c>
      <c r="I534" s="3">
        <v>2023.0</v>
      </c>
      <c r="J534" s="3">
        <f t="shared" si="2"/>
        <v>5000</v>
      </c>
      <c r="K534" s="3" t="s">
        <v>26</v>
      </c>
      <c r="L534" s="10">
        <v>5156.0</v>
      </c>
      <c r="M534" s="3" t="s">
        <v>21</v>
      </c>
      <c r="N534" s="3">
        <f>RANDBETWEEN(0,10)</f>
        <v>4</v>
      </c>
      <c r="O534" s="3" t="s">
        <v>22</v>
      </c>
      <c r="P534" s="3" t="s">
        <v>28</v>
      </c>
      <c r="Q534" s="6">
        <f t="shared" si="3"/>
        <v>400000</v>
      </c>
    </row>
    <row r="535">
      <c r="A535" s="3">
        <v>65201.0</v>
      </c>
      <c r="B535" s="3" t="s">
        <v>497</v>
      </c>
      <c r="C535" s="3" t="s">
        <v>35</v>
      </c>
      <c r="D535" s="4" t="str">
        <f t="shared" si="1"/>
        <v>Ms.</v>
      </c>
      <c r="E535" s="3" t="str">
        <f t="shared" si="4"/>
        <v>Ms. Aaradhya Das</v>
      </c>
      <c r="F535" s="3" t="str">
        <f>IFERROR(__xludf.DUMMYFUNCTION("SPLIT(B535,"" "")"),"Aaradhya")</f>
        <v>Aaradhya</v>
      </c>
      <c r="G535" s="3" t="str">
        <f>IFERROR(__xludf.DUMMYFUNCTION("""COMPUTED_VALUE"""),"Das")</f>
        <v>Das</v>
      </c>
      <c r="H535" s="3" t="s">
        <v>19</v>
      </c>
      <c r="I535" s="3">
        <v>2026.0</v>
      </c>
      <c r="J535" s="3">
        <f t="shared" si="2"/>
        <v>5000</v>
      </c>
      <c r="K535" s="3" t="s">
        <v>20</v>
      </c>
      <c r="L535" s="3">
        <v>0.0</v>
      </c>
      <c r="M535" s="3" t="s">
        <v>21</v>
      </c>
      <c r="N535" s="3">
        <v>38.0</v>
      </c>
      <c r="O535" s="3" t="s">
        <v>41</v>
      </c>
      <c r="P535" s="3" t="s">
        <v>31</v>
      </c>
      <c r="Q535" s="6">
        <f t="shared" si="3"/>
        <v>910000</v>
      </c>
    </row>
    <row r="536">
      <c r="A536" s="3">
        <v>65202.0</v>
      </c>
      <c r="B536" s="3" t="s">
        <v>498</v>
      </c>
      <c r="C536" s="3" t="s">
        <v>35</v>
      </c>
      <c r="D536" s="4" t="str">
        <f t="shared" si="1"/>
        <v>Ms.</v>
      </c>
      <c r="E536" s="3" t="str">
        <f t="shared" si="4"/>
        <v>Ms. Sara Sharma</v>
      </c>
      <c r="F536" s="3" t="str">
        <f>IFERROR(__xludf.DUMMYFUNCTION("SPLIT(B536,"" "")"),"Sara")</f>
        <v>Sara</v>
      </c>
      <c r="G536" s="3" t="str">
        <f>IFERROR(__xludf.DUMMYFUNCTION("""COMPUTED_VALUE"""),"Sharma")</f>
        <v>Sharma</v>
      </c>
      <c r="H536" s="3" t="s">
        <v>19</v>
      </c>
      <c r="I536" s="3">
        <v>2028.0</v>
      </c>
      <c r="J536" s="3">
        <f t="shared" si="2"/>
        <v>5000</v>
      </c>
      <c r="K536" s="3" t="s">
        <v>20</v>
      </c>
      <c r="L536" s="3">
        <v>0.0</v>
      </c>
      <c r="M536" s="3" t="s">
        <v>21</v>
      </c>
      <c r="N536" s="3">
        <v>20.0</v>
      </c>
      <c r="O536" s="3" t="s">
        <v>22</v>
      </c>
      <c r="P536" s="3" t="s">
        <v>31</v>
      </c>
      <c r="Q536" s="6">
        <f t="shared" si="3"/>
        <v>910000</v>
      </c>
    </row>
    <row r="537">
      <c r="A537" s="3">
        <v>65203.0</v>
      </c>
      <c r="B537" s="3" t="s">
        <v>499</v>
      </c>
      <c r="C537" s="3" t="s">
        <v>18</v>
      </c>
      <c r="D537" s="4" t="str">
        <f t="shared" si="1"/>
        <v>Mr.</v>
      </c>
      <c r="E537" s="3" t="str">
        <f t="shared" si="4"/>
        <v>Mr. Shivansh Naidu</v>
      </c>
      <c r="F537" s="3" t="str">
        <f>IFERROR(__xludf.DUMMYFUNCTION("SPLIT(B537,"" "")"),"Shivansh")</f>
        <v>Shivansh</v>
      </c>
      <c r="G537" s="3" t="str">
        <f>IFERROR(__xludf.DUMMYFUNCTION("""COMPUTED_VALUE"""),"Naidu")</f>
        <v>Naidu</v>
      </c>
      <c r="H537" s="3" t="s">
        <v>19</v>
      </c>
      <c r="I537" s="3">
        <v>2026.0</v>
      </c>
      <c r="J537" s="3">
        <f t="shared" si="2"/>
        <v>5000</v>
      </c>
      <c r="K537" s="3" t="s">
        <v>26</v>
      </c>
      <c r="L537" s="3">
        <v>6432.0</v>
      </c>
      <c r="M537" s="3" t="s">
        <v>21</v>
      </c>
      <c r="N537" s="3">
        <v>14.0</v>
      </c>
      <c r="O537" s="3" t="s">
        <v>41</v>
      </c>
      <c r="P537" s="3" t="s">
        <v>28</v>
      </c>
      <c r="Q537" s="6">
        <f t="shared" si="3"/>
        <v>400000</v>
      </c>
    </row>
    <row r="538">
      <c r="A538" s="3">
        <v>65204.0</v>
      </c>
      <c r="B538" s="3" t="s">
        <v>500</v>
      </c>
      <c r="C538" s="3" t="s">
        <v>35</v>
      </c>
      <c r="D538" s="4" t="str">
        <f t="shared" si="1"/>
        <v>Ms.</v>
      </c>
      <c r="E538" s="3" t="str">
        <f t="shared" si="4"/>
        <v>Ms. Siya Naidu</v>
      </c>
      <c r="F538" s="3" t="str">
        <f>IFERROR(__xludf.DUMMYFUNCTION("SPLIT(B538,"" "")"),"Siya")</f>
        <v>Siya</v>
      </c>
      <c r="G538" s="3" t="str">
        <f>IFERROR(__xludf.DUMMYFUNCTION("""COMPUTED_VALUE"""),"Naidu")</f>
        <v>Naidu</v>
      </c>
      <c r="H538" s="3" t="s">
        <v>19</v>
      </c>
      <c r="I538" s="3">
        <v>2023.0</v>
      </c>
      <c r="J538" s="3">
        <f t="shared" si="2"/>
        <v>5000</v>
      </c>
      <c r="K538" s="3" t="s">
        <v>20</v>
      </c>
      <c r="L538" s="3">
        <v>0.0</v>
      </c>
      <c r="M538" s="3" t="s">
        <v>30</v>
      </c>
      <c r="N538" s="3">
        <v>49.0</v>
      </c>
      <c r="O538" s="3" t="s">
        <v>22</v>
      </c>
      <c r="P538" s="3" t="s">
        <v>23</v>
      </c>
      <c r="Q538" s="6">
        <f t="shared" si="3"/>
        <v>430000</v>
      </c>
    </row>
    <row r="539">
      <c r="A539" s="3">
        <v>65205.0</v>
      </c>
      <c r="B539" s="3" t="s">
        <v>501</v>
      </c>
      <c r="C539" s="3" t="s">
        <v>18</v>
      </c>
      <c r="D539" s="4" t="str">
        <f t="shared" si="1"/>
        <v>Mr.</v>
      </c>
      <c r="E539" s="3" t="str">
        <f t="shared" si="4"/>
        <v>Mr. Vivaan Chowdhury</v>
      </c>
      <c r="F539" s="3" t="str">
        <f>IFERROR(__xludf.DUMMYFUNCTION("SPLIT(B539,"" "")"),"Vivaan")</f>
        <v>Vivaan</v>
      </c>
      <c r="G539" s="3" t="str">
        <f>IFERROR(__xludf.DUMMYFUNCTION("""COMPUTED_VALUE"""),"Chowdhury")</f>
        <v>Chowdhury</v>
      </c>
      <c r="H539" s="3" t="s">
        <v>25</v>
      </c>
      <c r="I539" s="3">
        <v>2024.0</v>
      </c>
      <c r="J539" s="3">
        <f t="shared" si="2"/>
        <v>10000</v>
      </c>
      <c r="K539" s="3" t="s">
        <v>26</v>
      </c>
      <c r="L539" s="10">
        <v>4449.0</v>
      </c>
      <c r="M539" s="3" t="s">
        <v>30</v>
      </c>
      <c r="N539" s="3">
        <v>59.0</v>
      </c>
      <c r="O539" s="3" t="s">
        <v>22</v>
      </c>
      <c r="P539" s="3" t="s">
        <v>78</v>
      </c>
      <c r="Q539" s="6">
        <f t="shared" si="3"/>
        <v>255000</v>
      </c>
    </row>
    <row r="540">
      <c r="A540" s="3">
        <v>65206.0</v>
      </c>
      <c r="B540" s="3" t="s">
        <v>502</v>
      </c>
      <c r="C540" s="3" t="s">
        <v>35</v>
      </c>
      <c r="D540" s="4" t="str">
        <f t="shared" si="1"/>
        <v>Ms.</v>
      </c>
      <c r="E540" s="3" t="str">
        <f t="shared" si="4"/>
        <v>Ms. Avni Joshi</v>
      </c>
      <c r="F540" s="3" t="str">
        <f>IFERROR(__xludf.DUMMYFUNCTION("SPLIT(B540,"" "")"),"Avni")</f>
        <v>Avni</v>
      </c>
      <c r="G540" s="3" t="str">
        <f>IFERROR(__xludf.DUMMYFUNCTION("""COMPUTED_VALUE"""),"Joshi")</f>
        <v>Joshi</v>
      </c>
      <c r="H540" s="3" t="s">
        <v>25</v>
      </c>
      <c r="I540" s="3">
        <v>2023.0</v>
      </c>
      <c r="J540" s="3">
        <f t="shared" si="2"/>
        <v>10000</v>
      </c>
      <c r="K540" s="3" t="s">
        <v>20</v>
      </c>
      <c r="L540" s="3">
        <v>0.0</v>
      </c>
      <c r="M540" s="3" t="s">
        <v>21</v>
      </c>
      <c r="N540" s="3">
        <f>RANDBETWEEN(0,10)</f>
        <v>5</v>
      </c>
      <c r="O540" s="3" t="s">
        <v>22</v>
      </c>
      <c r="P540" s="3" t="s">
        <v>31</v>
      </c>
      <c r="Q540" s="6">
        <f t="shared" si="3"/>
        <v>910000</v>
      </c>
    </row>
    <row r="541">
      <c r="A541" s="3">
        <v>65207.0</v>
      </c>
      <c r="B541" s="3" t="s">
        <v>503</v>
      </c>
      <c r="C541" s="3" t="s">
        <v>35</v>
      </c>
      <c r="D541" s="4" t="str">
        <f t="shared" si="1"/>
        <v>Ms.</v>
      </c>
      <c r="E541" s="3" t="str">
        <f t="shared" si="4"/>
        <v>Ms. Anvi Rao</v>
      </c>
      <c r="F541" s="3" t="str">
        <f>IFERROR(__xludf.DUMMYFUNCTION("SPLIT(B541,"" "")"),"Anvi")</f>
        <v>Anvi</v>
      </c>
      <c r="G541" s="3" t="str">
        <f>IFERROR(__xludf.DUMMYFUNCTION("""COMPUTED_VALUE"""),"Rao")</f>
        <v>Rao</v>
      </c>
      <c r="H541" s="3" t="s">
        <v>33</v>
      </c>
      <c r="I541" s="3">
        <v>2020.0</v>
      </c>
      <c r="J541" s="3">
        <f t="shared" si="2"/>
        <v>10000</v>
      </c>
      <c r="K541" s="3" t="s">
        <v>20</v>
      </c>
      <c r="L541" s="3">
        <v>0.0</v>
      </c>
      <c r="M541" s="3" t="s">
        <v>21</v>
      </c>
      <c r="N541" s="3">
        <v>3.0</v>
      </c>
      <c r="O541" s="3" t="s">
        <v>22</v>
      </c>
      <c r="P541" s="3" t="s">
        <v>28</v>
      </c>
      <c r="Q541" s="6">
        <f t="shared" si="3"/>
        <v>400000</v>
      </c>
    </row>
    <row r="542">
      <c r="A542" s="3">
        <v>65208.0</v>
      </c>
      <c r="B542" s="3" t="s">
        <v>504</v>
      </c>
      <c r="C542" s="3" t="s">
        <v>18</v>
      </c>
      <c r="D542" s="4" t="str">
        <f t="shared" si="1"/>
        <v>Mr.</v>
      </c>
      <c r="E542" s="3" t="str">
        <f t="shared" si="4"/>
        <v>Mr. Reyansh Verma</v>
      </c>
      <c r="F542" s="3" t="str">
        <f>IFERROR(__xludf.DUMMYFUNCTION("SPLIT(B542,"" "")"),"Reyansh")</f>
        <v>Reyansh</v>
      </c>
      <c r="G542" s="3" t="str">
        <f>IFERROR(__xludf.DUMMYFUNCTION("""COMPUTED_VALUE"""),"Verma")</f>
        <v>Verma</v>
      </c>
      <c r="H542" s="3" t="s">
        <v>25</v>
      </c>
      <c r="I542" s="3">
        <v>2025.0</v>
      </c>
      <c r="J542" s="3">
        <f t="shared" si="2"/>
        <v>10000</v>
      </c>
      <c r="K542" s="3" t="s">
        <v>20</v>
      </c>
      <c r="L542" s="3">
        <v>0.0</v>
      </c>
      <c r="M542" s="3" t="s">
        <v>21</v>
      </c>
      <c r="N542" s="3">
        <v>69.0</v>
      </c>
      <c r="O542" s="3" t="s">
        <v>41</v>
      </c>
      <c r="P542" s="3" t="s">
        <v>28</v>
      </c>
      <c r="Q542" s="6">
        <f t="shared" si="3"/>
        <v>400000</v>
      </c>
    </row>
    <row r="543">
      <c r="A543" s="3">
        <v>65209.0</v>
      </c>
      <c r="B543" s="3" t="s">
        <v>505</v>
      </c>
      <c r="C543" s="3" t="s">
        <v>18</v>
      </c>
      <c r="D543" s="4" t="str">
        <f t="shared" si="1"/>
        <v>Mr.</v>
      </c>
      <c r="E543" s="3" t="str">
        <f t="shared" si="4"/>
        <v>Mr. Reyansh Desai</v>
      </c>
      <c r="F543" s="3" t="str">
        <f>IFERROR(__xludf.DUMMYFUNCTION("SPLIT(B543,"" "")"),"Reyansh")</f>
        <v>Reyansh</v>
      </c>
      <c r="G543" s="3" t="str">
        <f>IFERROR(__xludf.DUMMYFUNCTION("""COMPUTED_VALUE"""),"Desai")</f>
        <v>Desai</v>
      </c>
      <c r="H543" s="3" t="s">
        <v>33</v>
      </c>
      <c r="I543" s="3">
        <v>2027.0</v>
      </c>
      <c r="J543" s="3">
        <f t="shared" si="2"/>
        <v>10000</v>
      </c>
      <c r="K543" s="3" t="s">
        <v>20</v>
      </c>
      <c r="L543" s="3">
        <v>0.0</v>
      </c>
      <c r="M543" s="3" t="s">
        <v>21</v>
      </c>
      <c r="N543" s="3">
        <v>35.0</v>
      </c>
      <c r="O543" s="3" t="s">
        <v>22</v>
      </c>
      <c r="P543" s="3" t="s">
        <v>31</v>
      </c>
      <c r="Q543" s="6">
        <f t="shared" si="3"/>
        <v>910000</v>
      </c>
    </row>
    <row r="544">
      <c r="A544" s="3">
        <v>65210.0</v>
      </c>
      <c r="B544" s="3" t="s">
        <v>506</v>
      </c>
      <c r="C544" s="3" t="s">
        <v>18</v>
      </c>
      <c r="D544" s="4" t="str">
        <f t="shared" si="1"/>
        <v>Mr.</v>
      </c>
      <c r="E544" s="3" t="str">
        <f t="shared" si="4"/>
        <v>Mr. Rishi Kapoor</v>
      </c>
      <c r="F544" s="3" t="str">
        <f>IFERROR(__xludf.DUMMYFUNCTION("SPLIT(B544,"" "")"),"Rishi")</f>
        <v>Rishi</v>
      </c>
      <c r="G544" s="3" t="str">
        <f>IFERROR(__xludf.DUMMYFUNCTION("""COMPUTED_VALUE"""),"Kapoor")</f>
        <v>Kapoor</v>
      </c>
      <c r="H544" s="3" t="s">
        <v>33</v>
      </c>
      <c r="I544" s="3">
        <v>2003.0</v>
      </c>
      <c r="J544" s="3">
        <f t="shared" si="2"/>
        <v>10000</v>
      </c>
      <c r="K544" s="3" t="s">
        <v>26</v>
      </c>
      <c r="L544" s="3">
        <v>10685.0</v>
      </c>
      <c r="M544" s="3" t="s">
        <v>21</v>
      </c>
      <c r="N544" s="3">
        <v>16.0</v>
      </c>
      <c r="O544" s="3" t="s">
        <v>22</v>
      </c>
      <c r="P544" s="3" t="s">
        <v>31</v>
      </c>
      <c r="Q544" s="6">
        <f t="shared" si="3"/>
        <v>910000</v>
      </c>
    </row>
    <row r="545">
      <c r="A545" s="3">
        <v>65213.0</v>
      </c>
      <c r="B545" s="3" t="s">
        <v>316</v>
      </c>
      <c r="C545" s="3" t="s">
        <v>35</v>
      </c>
      <c r="D545" s="4" t="str">
        <f t="shared" si="1"/>
        <v>Ms.</v>
      </c>
      <c r="E545" s="3" t="str">
        <f t="shared" si="4"/>
        <v>Ms. Siya Kapoor</v>
      </c>
      <c r="F545" s="3" t="str">
        <f>IFERROR(__xludf.DUMMYFUNCTION("SPLIT(B545,"" "")"),"Siya")</f>
        <v>Siya</v>
      </c>
      <c r="G545" s="3" t="str">
        <f>IFERROR(__xludf.DUMMYFUNCTION("""COMPUTED_VALUE"""),"Kapoor")</f>
        <v>Kapoor</v>
      </c>
      <c r="H545" s="3" t="s">
        <v>33</v>
      </c>
      <c r="I545" s="3">
        <v>2021.0</v>
      </c>
      <c r="J545" s="3">
        <f t="shared" si="2"/>
        <v>10000</v>
      </c>
      <c r="K545" s="3" t="s">
        <v>20</v>
      </c>
      <c r="L545" s="3">
        <v>0.0</v>
      </c>
      <c r="M545" s="3" t="s">
        <v>21</v>
      </c>
      <c r="N545" s="3">
        <f>RANDBETWEEN(0,10)</f>
        <v>8</v>
      </c>
      <c r="O545" s="3" t="s">
        <v>22</v>
      </c>
      <c r="P545" s="3" t="s">
        <v>31</v>
      </c>
      <c r="Q545" s="6">
        <f t="shared" si="3"/>
        <v>910000</v>
      </c>
    </row>
    <row r="546">
      <c r="A546" s="3">
        <v>65214.0</v>
      </c>
      <c r="B546" s="3" t="s">
        <v>507</v>
      </c>
      <c r="C546" s="3" t="s">
        <v>18</v>
      </c>
      <c r="D546" s="4" t="str">
        <f t="shared" si="1"/>
        <v>Mr.</v>
      </c>
      <c r="E546" s="3" t="str">
        <f t="shared" si="4"/>
        <v>Mr. Shaurya Kapoor</v>
      </c>
      <c r="F546" s="3" t="str">
        <f>IFERROR(__xludf.DUMMYFUNCTION("SPLIT(B546,"" "")"),"Shaurya")</f>
        <v>Shaurya</v>
      </c>
      <c r="G546" s="3" t="str">
        <f>IFERROR(__xludf.DUMMYFUNCTION("""COMPUTED_VALUE"""),"Kapoor")</f>
        <v>Kapoor</v>
      </c>
      <c r="H546" s="3" t="s">
        <v>25</v>
      </c>
      <c r="I546" s="3">
        <v>2021.0</v>
      </c>
      <c r="J546" s="3">
        <f t="shared" si="2"/>
        <v>10000</v>
      </c>
      <c r="K546" s="3" t="s">
        <v>20</v>
      </c>
      <c r="L546" s="3">
        <v>0.0</v>
      </c>
      <c r="M546" s="3" t="s">
        <v>21</v>
      </c>
      <c r="N546" s="3">
        <v>67.0</v>
      </c>
      <c r="O546" s="3" t="s">
        <v>22</v>
      </c>
      <c r="P546" s="3" t="s">
        <v>78</v>
      </c>
      <c r="Q546" s="6">
        <f t="shared" si="3"/>
        <v>255000</v>
      </c>
    </row>
    <row r="547">
      <c r="A547" s="3">
        <v>65215.0</v>
      </c>
      <c r="B547" s="3" t="s">
        <v>508</v>
      </c>
      <c r="C547" s="3" t="s">
        <v>18</v>
      </c>
      <c r="D547" s="4" t="str">
        <f t="shared" si="1"/>
        <v>Mr.</v>
      </c>
      <c r="E547" s="3" t="str">
        <f t="shared" si="4"/>
        <v>Mr. Kabir Kapoor</v>
      </c>
      <c r="F547" s="3" t="str">
        <f>IFERROR(__xludf.DUMMYFUNCTION("SPLIT(B547,"" "")"),"Kabir")</f>
        <v>Kabir</v>
      </c>
      <c r="G547" s="3" t="str">
        <f>IFERROR(__xludf.DUMMYFUNCTION("""COMPUTED_VALUE"""),"Kapoor")</f>
        <v>Kapoor</v>
      </c>
      <c r="H547" s="3" t="s">
        <v>25</v>
      </c>
      <c r="I547" s="3">
        <v>2023.0</v>
      </c>
      <c r="J547" s="3">
        <f t="shared" si="2"/>
        <v>10000</v>
      </c>
      <c r="K547" s="3" t="s">
        <v>20</v>
      </c>
      <c r="L547" s="3">
        <v>0.0</v>
      </c>
      <c r="M547" s="3" t="s">
        <v>30</v>
      </c>
      <c r="N547" s="3">
        <v>66.0</v>
      </c>
      <c r="O547" s="3" t="s">
        <v>22</v>
      </c>
      <c r="P547" s="3" t="s">
        <v>23</v>
      </c>
      <c r="Q547" s="6">
        <f t="shared" si="3"/>
        <v>430000</v>
      </c>
    </row>
    <row r="548">
      <c r="A548" s="3">
        <v>65216.0</v>
      </c>
      <c r="B548" s="3" t="s">
        <v>509</v>
      </c>
      <c r="C548" s="3" t="s">
        <v>35</v>
      </c>
      <c r="D548" s="4" t="str">
        <f t="shared" si="1"/>
        <v>Ms.</v>
      </c>
      <c r="E548" s="3" t="str">
        <f t="shared" si="4"/>
        <v>Ms. Charvi Jain</v>
      </c>
      <c r="F548" s="3" t="str">
        <f>IFERROR(__xludf.DUMMYFUNCTION("SPLIT(B548,"" "")"),"Charvi")</f>
        <v>Charvi</v>
      </c>
      <c r="G548" s="3" t="str">
        <f>IFERROR(__xludf.DUMMYFUNCTION("""COMPUTED_VALUE"""),"Jain")</f>
        <v>Jain</v>
      </c>
      <c r="H548" s="3" t="s">
        <v>25</v>
      </c>
      <c r="I548" s="3">
        <v>2022.0</v>
      </c>
      <c r="J548" s="3">
        <f t="shared" si="2"/>
        <v>10000</v>
      </c>
      <c r="K548" s="3" t="s">
        <v>26</v>
      </c>
      <c r="L548" s="3">
        <v>1013.0</v>
      </c>
      <c r="M548" s="3" t="s">
        <v>21</v>
      </c>
      <c r="N548" s="3">
        <v>72.0</v>
      </c>
      <c r="O548" s="3" t="s">
        <v>22</v>
      </c>
      <c r="P548" s="3" t="s">
        <v>78</v>
      </c>
      <c r="Q548" s="6">
        <f t="shared" si="3"/>
        <v>255000</v>
      </c>
    </row>
    <row r="549">
      <c r="A549" s="3">
        <v>65217.0</v>
      </c>
      <c r="B549" s="3" t="s">
        <v>510</v>
      </c>
      <c r="C549" s="3" t="s">
        <v>18</v>
      </c>
      <c r="D549" s="4" t="str">
        <f t="shared" si="1"/>
        <v>Mr.</v>
      </c>
      <c r="E549" s="3" t="str">
        <f t="shared" si="4"/>
        <v>Mr. Vihaan Mehta</v>
      </c>
      <c r="F549" s="3" t="str">
        <f>IFERROR(__xludf.DUMMYFUNCTION("SPLIT(B549,"" "")"),"Vihaan")</f>
        <v>Vihaan</v>
      </c>
      <c r="G549" s="3" t="str">
        <f>IFERROR(__xludf.DUMMYFUNCTION("""COMPUTED_VALUE"""),"Mehta")</f>
        <v>Mehta</v>
      </c>
      <c r="H549" s="3" t="s">
        <v>25</v>
      </c>
      <c r="I549" s="3">
        <v>2027.0</v>
      </c>
      <c r="J549" s="3">
        <f t="shared" si="2"/>
        <v>10000</v>
      </c>
      <c r="K549" s="3" t="s">
        <v>20</v>
      </c>
      <c r="L549" s="3">
        <v>0.0</v>
      </c>
      <c r="M549" s="3" t="s">
        <v>21</v>
      </c>
      <c r="N549" s="3">
        <v>16.0</v>
      </c>
      <c r="O549" s="3" t="s">
        <v>22</v>
      </c>
      <c r="P549" s="3" t="s">
        <v>38</v>
      </c>
      <c r="Q549" s="6">
        <f t="shared" si="3"/>
        <v>635000</v>
      </c>
    </row>
    <row r="550">
      <c r="A550" s="3">
        <v>65218.0</v>
      </c>
      <c r="B550" s="3" t="s">
        <v>511</v>
      </c>
      <c r="C550" s="3" t="s">
        <v>18</v>
      </c>
      <c r="D550" s="4" t="str">
        <f t="shared" si="1"/>
        <v>Mr.</v>
      </c>
      <c r="E550" s="3" t="str">
        <f t="shared" si="4"/>
        <v>Mr. Sai Das</v>
      </c>
      <c r="F550" s="3" t="str">
        <f>IFERROR(__xludf.DUMMYFUNCTION("SPLIT(B550,"" "")"),"Sai")</f>
        <v>Sai</v>
      </c>
      <c r="G550" s="3" t="str">
        <f>IFERROR(__xludf.DUMMYFUNCTION("""COMPUTED_VALUE"""),"Das")</f>
        <v>Das</v>
      </c>
      <c r="H550" s="3" t="s">
        <v>46</v>
      </c>
      <c r="I550" s="3">
        <v>2022.0</v>
      </c>
      <c r="J550" s="3">
        <f t="shared" si="2"/>
        <v>5000</v>
      </c>
      <c r="K550" s="3" t="s">
        <v>20</v>
      </c>
      <c r="L550" s="3">
        <v>212.0</v>
      </c>
      <c r="M550" s="3" t="s">
        <v>30</v>
      </c>
      <c r="N550" s="3">
        <v>59.0</v>
      </c>
      <c r="O550" s="3" t="s">
        <v>22</v>
      </c>
      <c r="P550" s="3" t="s">
        <v>38</v>
      </c>
      <c r="Q550" s="6">
        <f t="shared" si="3"/>
        <v>635000</v>
      </c>
    </row>
    <row r="551">
      <c r="A551" s="3">
        <v>65219.0</v>
      </c>
      <c r="B551" s="3" t="s">
        <v>512</v>
      </c>
      <c r="C551" s="3" t="s">
        <v>35</v>
      </c>
      <c r="D551" s="4" t="str">
        <f t="shared" si="1"/>
        <v>Ms.</v>
      </c>
      <c r="E551" s="3" t="str">
        <f t="shared" si="4"/>
        <v>Ms. Inaaya Prasad</v>
      </c>
      <c r="F551" s="3" t="str">
        <f>IFERROR(__xludf.DUMMYFUNCTION("SPLIT(B551,"" "")"),"Inaaya")</f>
        <v>Inaaya</v>
      </c>
      <c r="G551" s="3" t="str">
        <f>IFERROR(__xludf.DUMMYFUNCTION("""COMPUTED_VALUE"""),"Prasad")</f>
        <v>Prasad</v>
      </c>
      <c r="H551" s="3" t="s">
        <v>46</v>
      </c>
      <c r="I551" s="3">
        <v>2021.0</v>
      </c>
      <c r="J551" s="3">
        <f t="shared" si="2"/>
        <v>5000</v>
      </c>
      <c r="K551" s="3" t="s">
        <v>20</v>
      </c>
      <c r="L551" s="3">
        <v>0.0</v>
      </c>
      <c r="M551" s="3" t="s">
        <v>21</v>
      </c>
      <c r="N551" s="3">
        <v>6.0</v>
      </c>
      <c r="O551" s="3" t="s">
        <v>22</v>
      </c>
      <c r="P551" s="3" t="s">
        <v>38</v>
      </c>
      <c r="Q551" s="6">
        <f t="shared" si="3"/>
        <v>635000</v>
      </c>
    </row>
    <row r="552">
      <c r="A552" s="3">
        <v>65220.0</v>
      </c>
      <c r="B552" s="3" t="s">
        <v>256</v>
      </c>
      <c r="C552" s="3" t="s">
        <v>18</v>
      </c>
      <c r="D552" s="4" t="str">
        <f t="shared" si="1"/>
        <v>Mr.</v>
      </c>
      <c r="E552" s="3" t="str">
        <f t="shared" si="4"/>
        <v>Mr. Atharv Iyer</v>
      </c>
      <c r="F552" s="3" t="str">
        <f>IFERROR(__xludf.DUMMYFUNCTION("SPLIT(B552,"" "")"),"Atharv")</f>
        <v>Atharv</v>
      </c>
      <c r="G552" s="3" t="str">
        <f>IFERROR(__xludf.DUMMYFUNCTION("""COMPUTED_VALUE"""),"Iyer")</f>
        <v>Iyer</v>
      </c>
      <c r="H552" s="3" t="s">
        <v>25</v>
      </c>
      <c r="I552" s="3">
        <v>2025.0</v>
      </c>
      <c r="J552" s="3">
        <f t="shared" si="2"/>
        <v>10000</v>
      </c>
      <c r="K552" s="3" t="s">
        <v>20</v>
      </c>
      <c r="L552" s="3">
        <v>395.0</v>
      </c>
      <c r="M552" s="3" t="s">
        <v>21</v>
      </c>
      <c r="N552" s="3">
        <f>RANDBETWEEN(0,10)</f>
        <v>3</v>
      </c>
      <c r="O552" s="3" t="s">
        <v>41</v>
      </c>
      <c r="P552" s="3" t="s">
        <v>78</v>
      </c>
      <c r="Q552" s="6">
        <f t="shared" si="3"/>
        <v>255000</v>
      </c>
    </row>
    <row r="553">
      <c r="A553" s="3">
        <v>65222.0</v>
      </c>
      <c r="B553" s="3" t="s">
        <v>513</v>
      </c>
      <c r="C553" s="3" t="s">
        <v>18</v>
      </c>
      <c r="D553" s="4" t="str">
        <f t="shared" si="1"/>
        <v>Mr.</v>
      </c>
      <c r="E553" s="3" t="str">
        <f t="shared" si="4"/>
        <v>Mr. Dhanush Bhat</v>
      </c>
      <c r="F553" s="3" t="str">
        <f>IFERROR(__xludf.DUMMYFUNCTION("SPLIT(B553,"" "")"),"Dhanush")</f>
        <v>Dhanush</v>
      </c>
      <c r="G553" s="3" t="str">
        <f>IFERROR(__xludf.DUMMYFUNCTION("""COMPUTED_VALUE"""),"Bhat")</f>
        <v>Bhat</v>
      </c>
      <c r="H553" s="3" t="s">
        <v>33</v>
      </c>
      <c r="I553" s="3">
        <v>2022.0</v>
      </c>
      <c r="J553" s="3">
        <f t="shared" si="2"/>
        <v>10000</v>
      </c>
      <c r="K553" s="3" t="s">
        <v>20</v>
      </c>
      <c r="L553" s="3">
        <v>225.0</v>
      </c>
      <c r="M553" s="3" t="s">
        <v>21</v>
      </c>
      <c r="N553" s="3">
        <v>31.0</v>
      </c>
      <c r="O553" s="3" t="s">
        <v>41</v>
      </c>
      <c r="P553" s="3" t="s">
        <v>23</v>
      </c>
      <c r="Q553" s="6">
        <f t="shared" si="3"/>
        <v>430000</v>
      </c>
    </row>
    <row r="554">
      <c r="A554" s="3">
        <v>65223.0</v>
      </c>
      <c r="B554" s="3" t="s">
        <v>514</v>
      </c>
      <c r="C554" s="3" t="s">
        <v>35</v>
      </c>
      <c r="D554" s="4" t="str">
        <f t="shared" si="1"/>
        <v>Ms.</v>
      </c>
      <c r="E554" s="3" t="str">
        <f t="shared" si="4"/>
        <v>Ms. Myra Sharma</v>
      </c>
      <c r="F554" s="3" t="str">
        <f>IFERROR(__xludf.DUMMYFUNCTION("SPLIT(B554,"" "")"),"Myra")</f>
        <v>Myra</v>
      </c>
      <c r="G554" s="3" t="str">
        <f>IFERROR(__xludf.DUMMYFUNCTION("""COMPUTED_VALUE"""),"Sharma")</f>
        <v>Sharma</v>
      </c>
      <c r="H554" s="3" t="s">
        <v>19</v>
      </c>
      <c r="I554" s="3">
        <v>2026.0</v>
      </c>
      <c r="J554" s="3">
        <f t="shared" si="2"/>
        <v>5000</v>
      </c>
      <c r="K554" s="3" t="s">
        <v>26</v>
      </c>
      <c r="L554" s="3">
        <v>9734.0</v>
      </c>
      <c r="M554" s="3" t="s">
        <v>21</v>
      </c>
      <c r="N554" s="3">
        <v>40.0</v>
      </c>
      <c r="O554" s="3" t="s">
        <v>22</v>
      </c>
      <c r="P554" s="3" t="s">
        <v>38</v>
      </c>
      <c r="Q554" s="6">
        <f t="shared" si="3"/>
        <v>635000</v>
      </c>
    </row>
    <row r="555">
      <c r="A555" s="3">
        <v>65225.0</v>
      </c>
      <c r="B555" s="3" t="s">
        <v>515</v>
      </c>
      <c r="C555" s="3" t="s">
        <v>18</v>
      </c>
      <c r="D555" s="4" t="str">
        <f t="shared" si="1"/>
        <v>Mr.</v>
      </c>
      <c r="E555" s="3" t="str">
        <f t="shared" si="4"/>
        <v>Mr. Vihaan Prasad</v>
      </c>
      <c r="F555" s="3" t="str">
        <f>IFERROR(__xludf.DUMMYFUNCTION("SPLIT(B555,"" "")"),"Vihaan")</f>
        <v>Vihaan</v>
      </c>
      <c r="G555" s="3" t="str">
        <f>IFERROR(__xludf.DUMMYFUNCTION("""COMPUTED_VALUE"""),"Prasad")</f>
        <v>Prasad</v>
      </c>
      <c r="H555" s="3" t="s">
        <v>25</v>
      </c>
      <c r="I555" s="3">
        <v>2028.0</v>
      </c>
      <c r="J555" s="3">
        <f t="shared" si="2"/>
        <v>10000</v>
      </c>
      <c r="K555" s="3" t="s">
        <v>20</v>
      </c>
      <c r="L555" s="3">
        <v>0.0</v>
      </c>
      <c r="M555" s="3" t="s">
        <v>21</v>
      </c>
      <c r="N555" s="3">
        <f>RANDBETWEEN(0,10)</f>
        <v>7</v>
      </c>
      <c r="O555" s="3" t="s">
        <v>22</v>
      </c>
      <c r="P555" s="3" t="s">
        <v>31</v>
      </c>
      <c r="Q555" s="6">
        <f t="shared" si="3"/>
        <v>910000</v>
      </c>
    </row>
    <row r="556">
      <c r="A556" s="3">
        <v>65226.0</v>
      </c>
      <c r="B556" s="3" t="s">
        <v>516</v>
      </c>
      <c r="C556" s="3" t="s">
        <v>18</v>
      </c>
      <c r="D556" s="4" t="str">
        <f t="shared" si="1"/>
        <v>Mr.</v>
      </c>
      <c r="E556" s="3" t="str">
        <f t="shared" si="4"/>
        <v>Mr. Vivaan Sinha</v>
      </c>
      <c r="F556" s="3" t="str">
        <f>IFERROR(__xludf.DUMMYFUNCTION("SPLIT(B556,"" "")"),"Vivaan")</f>
        <v>Vivaan</v>
      </c>
      <c r="G556" s="3" t="str">
        <f>IFERROR(__xludf.DUMMYFUNCTION("""COMPUTED_VALUE"""),"Sinha")</f>
        <v>Sinha</v>
      </c>
      <c r="H556" s="3" t="s">
        <v>25</v>
      </c>
      <c r="I556" s="3">
        <v>2026.0</v>
      </c>
      <c r="J556" s="3">
        <f t="shared" si="2"/>
        <v>10000</v>
      </c>
      <c r="K556" s="3" t="s">
        <v>20</v>
      </c>
      <c r="L556" s="3">
        <v>0.0</v>
      </c>
      <c r="M556" s="3" t="s">
        <v>21</v>
      </c>
      <c r="N556" s="3">
        <v>54.0</v>
      </c>
      <c r="O556" s="3" t="s">
        <v>41</v>
      </c>
      <c r="P556" s="3" t="s">
        <v>23</v>
      </c>
      <c r="Q556" s="6">
        <f t="shared" si="3"/>
        <v>430000</v>
      </c>
    </row>
    <row r="557">
      <c r="A557" s="3">
        <v>65227.0</v>
      </c>
      <c r="B557" s="3" t="s">
        <v>517</v>
      </c>
      <c r="C557" s="3" t="s">
        <v>35</v>
      </c>
      <c r="D557" s="4" t="str">
        <f t="shared" si="1"/>
        <v>Ms.</v>
      </c>
      <c r="E557" s="3" t="str">
        <f t="shared" si="4"/>
        <v>Ms. Siya Verma</v>
      </c>
      <c r="F557" s="3" t="str">
        <f>IFERROR(__xludf.DUMMYFUNCTION("SPLIT(B557,"" "")"),"Siya")</f>
        <v>Siya</v>
      </c>
      <c r="G557" s="3" t="str">
        <f>IFERROR(__xludf.DUMMYFUNCTION("""COMPUTED_VALUE"""),"Verma")</f>
        <v>Verma</v>
      </c>
      <c r="H557" s="3" t="s">
        <v>19</v>
      </c>
      <c r="I557" s="3">
        <v>2026.0</v>
      </c>
      <c r="J557" s="3">
        <f t="shared" si="2"/>
        <v>5000</v>
      </c>
      <c r="K557" s="3" t="s">
        <v>20</v>
      </c>
      <c r="L557" s="3">
        <v>213.0</v>
      </c>
      <c r="M557" s="3" t="s">
        <v>21</v>
      </c>
      <c r="N557" s="3">
        <f>RANDBETWEEN(0,10)</f>
        <v>8</v>
      </c>
      <c r="O557" s="3" t="s">
        <v>41</v>
      </c>
      <c r="P557" s="3" t="s">
        <v>38</v>
      </c>
      <c r="Q557" s="6">
        <f t="shared" si="3"/>
        <v>635000</v>
      </c>
    </row>
    <row r="558">
      <c r="A558" s="3">
        <v>65228.0</v>
      </c>
      <c r="B558" s="3" t="s">
        <v>518</v>
      </c>
      <c r="C558" s="3" t="s">
        <v>18</v>
      </c>
      <c r="D558" s="4" t="str">
        <f t="shared" si="1"/>
        <v>Mr.</v>
      </c>
      <c r="E558" s="3" t="str">
        <f t="shared" si="4"/>
        <v>Mr. Om Malik</v>
      </c>
      <c r="F558" s="3" t="str">
        <f>IFERROR(__xludf.DUMMYFUNCTION("SPLIT(B558,"" "")"),"Om")</f>
        <v>Om</v>
      </c>
      <c r="G558" s="3" t="str">
        <f>IFERROR(__xludf.DUMMYFUNCTION("""COMPUTED_VALUE"""),"Malik")</f>
        <v>Malik</v>
      </c>
      <c r="H558" s="3" t="s">
        <v>19</v>
      </c>
      <c r="I558" s="3">
        <v>2024.0</v>
      </c>
      <c r="J558" s="3">
        <f t="shared" si="2"/>
        <v>5000</v>
      </c>
      <c r="K558" s="3" t="s">
        <v>20</v>
      </c>
      <c r="L558" s="3">
        <v>0.0</v>
      </c>
      <c r="M558" s="3" t="s">
        <v>21</v>
      </c>
      <c r="N558" s="3">
        <v>54.0</v>
      </c>
      <c r="O558" s="3" t="s">
        <v>41</v>
      </c>
      <c r="P558" s="3" t="s">
        <v>23</v>
      </c>
      <c r="Q558" s="6">
        <f t="shared" si="3"/>
        <v>430000</v>
      </c>
    </row>
    <row r="559">
      <c r="A559" s="3">
        <v>65229.0</v>
      </c>
      <c r="B559" s="3" t="s">
        <v>519</v>
      </c>
      <c r="C559" s="3" t="s">
        <v>18</v>
      </c>
      <c r="D559" s="4" t="str">
        <f t="shared" si="1"/>
        <v>Mr.</v>
      </c>
      <c r="E559" s="3" t="str">
        <f t="shared" si="4"/>
        <v>Mr. Laksh Chopra</v>
      </c>
      <c r="F559" s="3" t="str">
        <f>IFERROR(__xludf.DUMMYFUNCTION("SPLIT(B559,"" "")"),"Laksh")</f>
        <v>Laksh</v>
      </c>
      <c r="G559" s="3" t="str">
        <f>IFERROR(__xludf.DUMMYFUNCTION("""COMPUTED_VALUE"""),"Chopra")</f>
        <v>Chopra</v>
      </c>
      <c r="H559" s="3" t="s">
        <v>25</v>
      </c>
      <c r="I559" s="3">
        <v>2018.0</v>
      </c>
      <c r="J559" s="3">
        <f t="shared" si="2"/>
        <v>10000</v>
      </c>
      <c r="K559" s="3" t="s">
        <v>26</v>
      </c>
      <c r="L559" s="3">
        <v>17070.0</v>
      </c>
      <c r="M559" s="3" t="s">
        <v>30</v>
      </c>
      <c r="N559" s="3">
        <f>RANDBETWEEN(0,10)</f>
        <v>8</v>
      </c>
      <c r="O559" s="3" t="s">
        <v>22</v>
      </c>
      <c r="P559" s="3" t="s">
        <v>31</v>
      </c>
      <c r="Q559" s="6">
        <f t="shared" si="3"/>
        <v>910000</v>
      </c>
    </row>
    <row r="560">
      <c r="A560" s="3">
        <v>65230.0</v>
      </c>
      <c r="B560" s="3" t="s">
        <v>376</v>
      </c>
      <c r="C560" s="3" t="s">
        <v>18</v>
      </c>
      <c r="D560" s="4" t="str">
        <f t="shared" si="1"/>
        <v>Mr.</v>
      </c>
      <c r="E560" s="3" t="str">
        <f t="shared" si="4"/>
        <v>Mr. Siddharth Thakur</v>
      </c>
      <c r="F560" s="3" t="str">
        <f>IFERROR(__xludf.DUMMYFUNCTION("SPLIT(B560,"" "")"),"Siddharth")</f>
        <v>Siddharth</v>
      </c>
      <c r="G560" s="3" t="str">
        <f>IFERROR(__xludf.DUMMYFUNCTION("""COMPUTED_VALUE"""),"Thakur")</f>
        <v>Thakur</v>
      </c>
      <c r="H560" s="3" t="s">
        <v>33</v>
      </c>
      <c r="I560" s="3">
        <v>2022.0</v>
      </c>
      <c r="J560" s="3">
        <f t="shared" si="2"/>
        <v>10000</v>
      </c>
      <c r="K560" s="3" t="s">
        <v>26</v>
      </c>
      <c r="L560" s="3">
        <v>16924.0</v>
      </c>
      <c r="M560" s="3" t="s">
        <v>21</v>
      </c>
      <c r="N560" s="3">
        <v>33.0</v>
      </c>
      <c r="O560" s="3" t="s">
        <v>22</v>
      </c>
      <c r="P560" s="3" t="s">
        <v>38</v>
      </c>
      <c r="Q560" s="6">
        <f t="shared" si="3"/>
        <v>635000</v>
      </c>
    </row>
    <row r="561">
      <c r="A561" s="3">
        <v>65231.0</v>
      </c>
      <c r="B561" s="3" t="s">
        <v>520</v>
      </c>
      <c r="C561" s="3" t="s">
        <v>18</v>
      </c>
      <c r="D561" s="4" t="str">
        <f t="shared" si="1"/>
        <v>Mr.</v>
      </c>
      <c r="E561" s="3" t="str">
        <f t="shared" si="4"/>
        <v>Mr. Rishi Thakur</v>
      </c>
      <c r="F561" s="3" t="str">
        <f>IFERROR(__xludf.DUMMYFUNCTION("SPLIT(B561,"" "")"),"Rishi")</f>
        <v>Rishi</v>
      </c>
      <c r="G561" s="3" t="str">
        <f>IFERROR(__xludf.DUMMYFUNCTION("""COMPUTED_VALUE"""),"Thakur")</f>
        <v>Thakur</v>
      </c>
      <c r="H561" s="3" t="s">
        <v>25</v>
      </c>
      <c r="I561" s="3">
        <v>2023.0</v>
      </c>
      <c r="J561" s="3">
        <f t="shared" si="2"/>
        <v>10000</v>
      </c>
      <c r="K561" s="3" t="s">
        <v>20</v>
      </c>
      <c r="L561" s="3">
        <v>0.0</v>
      </c>
      <c r="M561" s="3" t="s">
        <v>21</v>
      </c>
      <c r="N561" s="3">
        <f>RANDBETWEEN(0,10)</f>
        <v>4</v>
      </c>
      <c r="O561" s="3" t="s">
        <v>22</v>
      </c>
      <c r="P561" s="3" t="s">
        <v>23</v>
      </c>
      <c r="Q561" s="6">
        <f t="shared" si="3"/>
        <v>430000</v>
      </c>
    </row>
    <row r="562">
      <c r="A562" s="3">
        <v>65232.0</v>
      </c>
      <c r="B562" s="3" t="s">
        <v>521</v>
      </c>
      <c r="C562" s="3" t="s">
        <v>18</v>
      </c>
      <c r="D562" s="4" t="str">
        <f t="shared" si="1"/>
        <v>Mr.</v>
      </c>
      <c r="E562" s="3" t="str">
        <f t="shared" si="4"/>
        <v>Mr. Parth Bhat</v>
      </c>
      <c r="F562" s="3" t="str">
        <f>IFERROR(__xludf.DUMMYFUNCTION("SPLIT(B562,"" "")"),"Parth")</f>
        <v>Parth</v>
      </c>
      <c r="G562" s="3" t="str">
        <f>IFERROR(__xludf.DUMMYFUNCTION("""COMPUTED_VALUE"""),"Bhat")</f>
        <v>Bhat</v>
      </c>
      <c r="H562" s="3" t="s">
        <v>33</v>
      </c>
      <c r="I562" s="3">
        <v>2024.0</v>
      </c>
      <c r="J562" s="3">
        <f t="shared" si="2"/>
        <v>10000</v>
      </c>
      <c r="K562" s="3" t="s">
        <v>26</v>
      </c>
      <c r="L562" s="3">
        <v>15067.0</v>
      </c>
      <c r="M562" s="3" t="s">
        <v>21</v>
      </c>
      <c r="N562" s="3">
        <v>14.0</v>
      </c>
      <c r="O562" s="3" t="s">
        <v>22</v>
      </c>
      <c r="P562" s="3" t="s">
        <v>31</v>
      </c>
      <c r="Q562" s="6">
        <f t="shared" si="3"/>
        <v>910000</v>
      </c>
    </row>
    <row r="563">
      <c r="A563" s="3">
        <v>65233.0</v>
      </c>
      <c r="B563" s="3" t="s">
        <v>522</v>
      </c>
      <c r="C563" s="3" t="s">
        <v>35</v>
      </c>
      <c r="D563" s="4" t="str">
        <f t="shared" si="1"/>
        <v>Ms.</v>
      </c>
      <c r="E563" s="3" t="str">
        <f t="shared" si="4"/>
        <v>Ms. Lavanya Dutta</v>
      </c>
      <c r="F563" s="3" t="str">
        <f>IFERROR(__xludf.DUMMYFUNCTION("SPLIT(B563,"" "")"),"Lavanya")</f>
        <v>Lavanya</v>
      </c>
      <c r="G563" s="3" t="str">
        <f>IFERROR(__xludf.DUMMYFUNCTION("""COMPUTED_VALUE"""),"Dutta")</f>
        <v>Dutta</v>
      </c>
      <c r="H563" s="3" t="s">
        <v>25</v>
      </c>
      <c r="I563" s="3">
        <v>2021.0</v>
      </c>
      <c r="J563" s="3">
        <f t="shared" si="2"/>
        <v>10000</v>
      </c>
      <c r="K563" s="3" t="s">
        <v>20</v>
      </c>
      <c r="L563" s="10">
        <v>3680.0</v>
      </c>
      <c r="M563" s="3" t="s">
        <v>30</v>
      </c>
      <c r="N563" s="3">
        <v>35.0</v>
      </c>
      <c r="O563" s="3" t="s">
        <v>22</v>
      </c>
      <c r="P563" s="3" t="s">
        <v>38</v>
      </c>
      <c r="Q563" s="6">
        <f t="shared" si="3"/>
        <v>635000</v>
      </c>
    </row>
    <row r="564">
      <c r="A564" s="3">
        <v>65234.0</v>
      </c>
      <c r="B564" s="3" t="s">
        <v>523</v>
      </c>
      <c r="C564" s="3" t="s">
        <v>35</v>
      </c>
      <c r="D564" s="4" t="str">
        <f t="shared" si="1"/>
        <v>Ms.</v>
      </c>
      <c r="E564" s="3" t="str">
        <f t="shared" si="4"/>
        <v>Ms. Aadhya Desai</v>
      </c>
      <c r="F564" s="3" t="str">
        <f>IFERROR(__xludf.DUMMYFUNCTION("SPLIT(B564,"" "")"),"Aadhya")</f>
        <v>Aadhya</v>
      </c>
      <c r="G564" s="3" t="str">
        <f>IFERROR(__xludf.DUMMYFUNCTION("""COMPUTED_VALUE"""),"Desai")</f>
        <v>Desai</v>
      </c>
      <c r="H564" s="3" t="s">
        <v>46</v>
      </c>
      <c r="I564" s="3">
        <v>2025.0</v>
      </c>
      <c r="J564" s="3">
        <f t="shared" si="2"/>
        <v>5000</v>
      </c>
      <c r="K564" s="3" t="s">
        <v>26</v>
      </c>
      <c r="L564" s="3">
        <v>24809.0</v>
      </c>
      <c r="M564" s="3" t="s">
        <v>30</v>
      </c>
      <c r="N564" s="3">
        <f t="shared" ref="N564:N565" si="32">RANDBETWEEN(0,10)</f>
        <v>0</v>
      </c>
      <c r="O564" s="3" t="s">
        <v>41</v>
      </c>
      <c r="P564" s="3" t="s">
        <v>31</v>
      </c>
      <c r="Q564" s="6">
        <f t="shared" si="3"/>
        <v>910000</v>
      </c>
    </row>
    <row r="565">
      <c r="A565" s="3">
        <v>65235.0</v>
      </c>
      <c r="B565" s="3" t="s">
        <v>524</v>
      </c>
      <c r="C565" s="3" t="s">
        <v>18</v>
      </c>
      <c r="D565" s="4" t="str">
        <f t="shared" si="1"/>
        <v>Mr.</v>
      </c>
      <c r="E565" s="3" t="str">
        <f t="shared" si="4"/>
        <v>Mr. Siddharth Bhat</v>
      </c>
      <c r="F565" s="3" t="str">
        <f>IFERROR(__xludf.DUMMYFUNCTION("SPLIT(B565,"" "")"),"Siddharth")</f>
        <v>Siddharth</v>
      </c>
      <c r="G565" s="3" t="str">
        <f>IFERROR(__xludf.DUMMYFUNCTION("""COMPUTED_VALUE"""),"Bhat")</f>
        <v>Bhat</v>
      </c>
      <c r="H565" s="3" t="s">
        <v>19</v>
      </c>
      <c r="I565" s="3">
        <v>2026.0</v>
      </c>
      <c r="J565" s="3">
        <f t="shared" si="2"/>
        <v>5000</v>
      </c>
      <c r="K565" s="3" t="s">
        <v>26</v>
      </c>
      <c r="L565" s="3">
        <v>9495.0</v>
      </c>
      <c r="M565" s="3" t="s">
        <v>21</v>
      </c>
      <c r="N565" s="3">
        <f t="shared" si="32"/>
        <v>4</v>
      </c>
      <c r="O565" s="3" t="s">
        <v>22</v>
      </c>
      <c r="P565" s="3" t="s">
        <v>31</v>
      </c>
      <c r="Q565" s="6">
        <f t="shared" si="3"/>
        <v>910000</v>
      </c>
    </row>
    <row r="566">
      <c r="A566" s="3">
        <v>65236.0</v>
      </c>
      <c r="B566" s="3" t="s">
        <v>525</v>
      </c>
      <c r="C566" s="3" t="s">
        <v>35</v>
      </c>
      <c r="D566" s="4" t="str">
        <f t="shared" si="1"/>
        <v>Ms.</v>
      </c>
      <c r="E566" s="3" t="str">
        <f t="shared" si="4"/>
        <v>Ms. Aarohi Iyer</v>
      </c>
      <c r="F566" s="3" t="str">
        <f>IFERROR(__xludf.DUMMYFUNCTION("SPLIT(B566,"" "")"),"Aarohi")</f>
        <v>Aarohi</v>
      </c>
      <c r="G566" s="3" t="str">
        <f>IFERROR(__xludf.DUMMYFUNCTION("""COMPUTED_VALUE"""),"Iyer")</f>
        <v>Iyer</v>
      </c>
      <c r="H566" s="3" t="s">
        <v>33</v>
      </c>
      <c r="I566" s="3">
        <v>2023.0</v>
      </c>
      <c r="J566" s="3">
        <f t="shared" si="2"/>
        <v>10000</v>
      </c>
      <c r="K566" s="3" t="s">
        <v>26</v>
      </c>
      <c r="L566" s="3">
        <v>4212.0</v>
      </c>
      <c r="M566" s="3" t="s">
        <v>30</v>
      </c>
      <c r="N566" s="3">
        <v>33.0</v>
      </c>
      <c r="O566" s="3" t="s">
        <v>22</v>
      </c>
      <c r="P566" s="3" t="s">
        <v>23</v>
      </c>
      <c r="Q566" s="6">
        <f t="shared" si="3"/>
        <v>430000</v>
      </c>
    </row>
    <row r="567">
      <c r="A567" s="3">
        <v>65237.0</v>
      </c>
      <c r="B567" s="3" t="s">
        <v>513</v>
      </c>
      <c r="C567" s="3" t="s">
        <v>18</v>
      </c>
      <c r="D567" s="4" t="str">
        <f t="shared" si="1"/>
        <v>Mr.</v>
      </c>
      <c r="E567" s="3" t="str">
        <f t="shared" si="4"/>
        <v>Mr. Dhanush Bhat</v>
      </c>
      <c r="F567" s="3" t="str">
        <f>IFERROR(__xludf.DUMMYFUNCTION("SPLIT(B567,"" "")"),"Dhanush")</f>
        <v>Dhanush</v>
      </c>
      <c r="G567" s="3" t="str">
        <f>IFERROR(__xludf.DUMMYFUNCTION("""COMPUTED_VALUE"""),"Bhat")</f>
        <v>Bhat</v>
      </c>
      <c r="H567" s="3" t="s">
        <v>25</v>
      </c>
      <c r="I567" s="3">
        <v>2026.0</v>
      </c>
      <c r="J567" s="3">
        <f t="shared" si="2"/>
        <v>10000</v>
      </c>
      <c r="K567" s="3" t="s">
        <v>20</v>
      </c>
      <c r="L567" s="3">
        <v>0.0</v>
      </c>
      <c r="M567" s="3" t="s">
        <v>21</v>
      </c>
      <c r="N567" s="3">
        <v>1.0</v>
      </c>
      <c r="O567" s="3" t="s">
        <v>22</v>
      </c>
      <c r="P567" s="3" t="s">
        <v>23</v>
      </c>
      <c r="Q567" s="6">
        <f t="shared" si="3"/>
        <v>430000</v>
      </c>
    </row>
    <row r="568">
      <c r="A568" s="3">
        <v>65238.0</v>
      </c>
      <c r="B568" s="3" t="s">
        <v>234</v>
      </c>
      <c r="C568" s="3" t="s">
        <v>35</v>
      </c>
      <c r="D568" s="4" t="str">
        <f t="shared" si="1"/>
        <v>Ms.</v>
      </c>
      <c r="E568" s="3" t="str">
        <f t="shared" si="4"/>
        <v>Ms. Tara Chopra</v>
      </c>
      <c r="F568" s="3" t="str">
        <f>IFERROR(__xludf.DUMMYFUNCTION("SPLIT(B568,"" "")"),"Tara")</f>
        <v>Tara</v>
      </c>
      <c r="G568" s="3" t="str">
        <f>IFERROR(__xludf.DUMMYFUNCTION("""COMPUTED_VALUE"""),"Chopra")</f>
        <v>Chopra</v>
      </c>
      <c r="H568" s="3" t="s">
        <v>46</v>
      </c>
      <c r="I568" s="3">
        <v>2026.0</v>
      </c>
      <c r="J568" s="3">
        <f t="shared" si="2"/>
        <v>5000</v>
      </c>
      <c r="K568" s="3" t="s">
        <v>20</v>
      </c>
      <c r="L568" s="3">
        <v>225.0</v>
      </c>
      <c r="M568" s="3" t="s">
        <v>21</v>
      </c>
      <c r="N568" s="3">
        <v>1.0</v>
      </c>
      <c r="O568" s="3" t="s">
        <v>41</v>
      </c>
      <c r="P568" s="3" t="s">
        <v>31</v>
      </c>
      <c r="Q568" s="6">
        <f t="shared" si="3"/>
        <v>910000</v>
      </c>
    </row>
    <row r="569">
      <c r="A569" s="3">
        <v>65239.0</v>
      </c>
      <c r="B569" s="3" t="s">
        <v>240</v>
      </c>
      <c r="C569" s="3" t="s">
        <v>35</v>
      </c>
      <c r="D569" s="4" t="str">
        <f t="shared" si="1"/>
        <v>Ms.</v>
      </c>
      <c r="E569" s="3" t="str">
        <f t="shared" si="4"/>
        <v>Ms. Aaradhya Chowdhury</v>
      </c>
      <c r="F569" s="3" t="str">
        <f>IFERROR(__xludf.DUMMYFUNCTION("SPLIT(B569,"" "")"),"Aaradhya")</f>
        <v>Aaradhya</v>
      </c>
      <c r="G569" s="3" t="str">
        <f>IFERROR(__xludf.DUMMYFUNCTION("""COMPUTED_VALUE"""),"Chowdhury")</f>
        <v>Chowdhury</v>
      </c>
      <c r="H569" s="3" t="s">
        <v>25</v>
      </c>
      <c r="I569" s="3">
        <v>2019.0</v>
      </c>
      <c r="J569" s="3">
        <f t="shared" si="2"/>
        <v>10000</v>
      </c>
      <c r="K569" s="3" t="s">
        <v>26</v>
      </c>
      <c r="L569" s="3">
        <v>17595.0</v>
      </c>
      <c r="M569" s="3" t="s">
        <v>21</v>
      </c>
      <c r="N569" s="3">
        <v>72.0</v>
      </c>
      <c r="O569" s="3" t="s">
        <v>22</v>
      </c>
      <c r="P569" s="3" t="s">
        <v>31</v>
      </c>
      <c r="Q569" s="6">
        <f t="shared" si="3"/>
        <v>910000</v>
      </c>
    </row>
    <row r="570">
      <c r="A570" s="3">
        <v>65240.0</v>
      </c>
      <c r="B570" s="3" t="s">
        <v>526</v>
      </c>
      <c r="C570" s="3" t="s">
        <v>18</v>
      </c>
      <c r="D570" s="4" t="str">
        <f t="shared" si="1"/>
        <v>Mr.</v>
      </c>
      <c r="E570" s="3" t="str">
        <f t="shared" si="4"/>
        <v>Mr. Om Sinha</v>
      </c>
      <c r="F570" s="3" t="str">
        <f>IFERROR(__xludf.DUMMYFUNCTION("SPLIT(B570,"" "")"),"Om")</f>
        <v>Om</v>
      </c>
      <c r="G570" s="3" t="str">
        <f>IFERROR(__xludf.DUMMYFUNCTION("""COMPUTED_VALUE"""),"Sinha")</f>
        <v>Sinha</v>
      </c>
      <c r="H570" s="3" t="s">
        <v>19</v>
      </c>
      <c r="I570" s="3">
        <v>2022.0</v>
      </c>
      <c r="J570" s="3">
        <f t="shared" si="2"/>
        <v>5000</v>
      </c>
      <c r="K570" s="3" t="s">
        <v>20</v>
      </c>
      <c r="L570" s="3">
        <v>0.0</v>
      </c>
      <c r="M570" s="3" t="s">
        <v>21</v>
      </c>
      <c r="N570" s="3">
        <v>36.0</v>
      </c>
      <c r="O570" s="3" t="s">
        <v>22</v>
      </c>
      <c r="P570" s="3" t="s">
        <v>38</v>
      </c>
      <c r="Q570" s="6">
        <f t="shared" si="3"/>
        <v>635000</v>
      </c>
    </row>
    <row r="571">
      <c r="A571" s="3">
        <v>65241.0</v>
      </c>
      <c r="B571" s="3" t="s">
        <v>527</v>
      </c>
      <c r="C571" s="3" t="s">
        <v>18</v>
      </c>
      <c r="D571" s="4" t="str">
        <f t="shared" si="1"/>
        <v>Mr.</v>
      </c>
      <c r="E571" s="3" t="str">
        <f t="shared" si="4"/>
        <v>Mr. Arjun Nair</v>
      </c>
      <c r="F571" s="3" t="str">
        <f>IFERROR(__xludf.DUMMYFUNCTION("SPLIT(B571,"" "")"),"Arjun")</f>
        <v>Arjun</v>
      </c>
      <c r="G571" s="3" t="str">
        <f>IFERROR(__xludf.DUMMYFUNCTION("""COMPUTED_VALUE"""),"Nair")</f>
        <v>Nair</v>
      </c>
      <c r="H571" s="3" t="s">
        <v>33</v>
      </c>
      <c r="I571" s="3">
        <v>2021.0</v>
      </c>
      <c r="J571" s="3">
        <f t="shared" si="2"/>
        <v>10000</v>
      </c>
      <c r="K571" s="3" t="s">
        <v>20</v>
      </c>
      <c r="L571" s="3">
        <v>0.0</v>
      </c>
      <c r="M571" s="3" t="s">
        <v>21</v>
      </c>
      <c r="N571" s="3">
        <v>20.0</v>
      </c>
      <c r="O571" s="3" t="s">
        <v>22</v>
      </c>
      <c r="P571" s="3" t="s">
        <v>31</v>
      </c>
      <c r="Q571" s="6">
        <f t="shared" si="3"/>
        <v>910000</v>
      </c>
    </row>
    <row r="572">
      <c r="A572" s="3">
        <v>65242.0</v>
      </c>
      <c r="B572" s="3" t="s">
        <v>528</v>
      </c>
      <c r="C572" s="3" t="s">
        <v>18</v>
      </c>
      <c r="D572" s="4" t="str">
        <f t="shared" si="1"/>
        <v>Mr.</v>
      </c>
      <c r="E572" s="3" t="str">
        <f t="shared" si="4"/>
        <v>Mr. Rudra Nair</v>
      </c>
      <c r="F572" s="3" t="str">
        <f>IFERROR(__xludf.DUMMYFUNCTION("SPLIT(B572,"" "")"),"Rudra")</f>
        <v>Rudra</v>
      </c>
      <c r="G572" s="3" t="str">
        <f>IFERROR(__xludf.DUMMYFUNCTION("""COMPUTED_VALUE"""),"Nair")</f>
        <v>Nair</v>
      </c>
      <c r="H572" s="3" t="s">
        <v>25</v>
      </c>
      <c r="I572" s="3">
        <v>2021.0</v>
      </c>
      <c r="J572" s="3">
        <f t="shared" si="2"/>
        <v>10000</v>
      </c>
      <c r="K572" s="3" t="s">
        <v>26</v>
      </c>
      <c r="L572" s="3">
        <v>8561.0</v>
      </c>
      <c r="M572" s="3" t="s">
        <v>30</v>
      </c>
      <c r="N572" s="3">
        <v>29.0</v>
      </c>
      <c r="O572" s="3" t="s">
        <v>22</v>
      </c>
      <c r="P572" s="3" t="s">
        <v>38</v>
      </c>
      <c r="Q572" s="6">
        <f t="shared" si="3"/>
        <v>635000</v>
      </c>
    </row>
    <row r="573">
      <c r="A573" s="3">
        <v>65244.0</v>
      </c>
      <c r="B573" s="3" t="s">
        <v>529</v>
      </c>
      <c r="C573" s="3" t="s">
        <v>35</v>
      </c>
      <c r="D573" s="4" t="str">
        <f t="shared" si="1"/>
        <v>Ms.</v>
      </c>
      <c r="E573" s="3" t="str">
        <f t="shared" si="4"/>
        <v>Ms. Ira Sharma</v>
      </c>
      <c r="F573" s="3" t="str">
        <f>IFERROR(__xludf.DUMMYFUNCTION("SPLIT(B573,"" "")"),"Ira")</f>
        <v>Ira</v>
      </c>
      <c r="G573" s="3" t="str">
        <f>IFERROR(__xludf.DUMMYFUNCTION("""COMPUTED_VALUE"""),"Sharma")</f>
        <v>Sharma</v>
      </c>
      <c r="H573" s="3" t="s">
        <v>33</v>
      </c>
      <c r="I573" s="3">
        <v>2023.0</v>
      </c>
      <c r="J573" s="3">
        <f t="shared" si="2"/>
        <v>10000</v>
      </c>
      <c r="K573" s="3" t="s">
        <v>20</v>
      </c>
      <c r="L573" s="10">
        <v>12072.0</v>
      </c>
      <c r="M573" s="3" t="s">
        <v>30</v>
      </c>
      <c r="N573" s="3">
        <v>61.0</v>
      </c>
      <c r="O573" s="3" t="s">
        <v>22</v>
      </c>
      <c r="P573" s="3" t="s">
        <v>38</v>
      </c>
      <c r="Q573" s="6">
        <f t="shared" si="3"/>
        <v>635000</v>
      </c>
    </row>
    <row r="574">
      <c r="A574" s="3">
        <v>65245.0</v>
      </c>
      <c r="B574" s="3" t="s">
        <v>530</v>
      </c>
      <c r="C574" s="3" t="s">
        <v>18</v>
      </c>
      <c r="D574" s="4" t="str">
        <f t="shared" si="1"/>
        <v>Mr.</v>
      </c>
      <c r="E574" s="3" t="str">
        <f t="shared" si="4"/>
        <v>Mr. Vihaan Bhatt</v>
      </c>
      <c r="F574" s="3" t="str">
        <f>IFERROR(__xludf.DUMMYFUNCTION("SPLIT(B574,"" "")"),"Vihaan")</f>
        <v>Vihaan</v>
      </c>
      <c r="G574" s="3" t="str">
        <f>IFERROR(__xludf.DUMMYFUNCTION("""COMPUTED_VALUE"""),"Bhatt")</f>
        <v>Bhatt</v>
      </c>
      <c r="H574" s="3" t="s">
        <v>33</v>
      </c>
      <c r="I574" s="3">
        <v>2024.0</v>
      </c>
      <c r="J574" s="3">
        <f t="shared" si="2"/>
        <v>10000</v>
      </c>
      <c r="K574" s="3" t="s">
        <v>26</v>
      </c>
      <c r="L574" s="3">
        <v>6995.0</v>
      </c>
      <c r="M574" s="3" t="s">
        <v>21</v>
      </c>
      <c r="N574" s="3">
        <v>35.0</v>
      </c>
      <c r="O574" s="3" t="s">
        <v>22</v>
      </c>
      <c r="P574" s="3" t="s">
        <v>38</v>
      </c>
      <c r="Q574" s="6">
        <f t="shared" si="3"/>
        <v>635000</v>
      </c>
    </row>
    <row r="575">
      <c r="A575" s="3">
        <v>65246.0</v>
      </c>
      <c r="B575" s="3" t="s">
        <v>145</v>
      </c>
      <c r="C575" s="3" t="s">
        <v>35</v>
      </c>
      <c r="D575" s="4" t="str">
        <f t="shared" si="1"/>
        <v>Ms.</v>
      </c>
      <c r="E575" s="3" t="str">
        <f t="shared" si="4"/>
        <v>Ms. Saanvi Kumar</v>
      </c>
      <c r="F575" s="3" t="str">
        <f>IFERROR(__xludf.DUMMYFUNCTION("SPLIT(B575,"" "")"),"Saanvi")</f>
        <v>Saanvi</v>
      </c>
      <c r="G575" s="3" t="str">
        <f>IFERROR(__xludf.DUMMYFUNCTION("""COMPUTED_VALUE"""),"Kumar")</f>
        <v>Kumar</v>
      </c>
      <c r="H575" s="3" t="s">
        <v>19</v>
      </c>
      <c r="I575" s="3">
        <v>2024.0</v>
      </c>
      <c r="J575" s="3">
        <f t="shared" si="2"/>
        <v>5000</v>
      </c>
      <c r="K575" s="3" t="s">
        <v>26</v>
      </c>
      <c r="L575" s="3">
        <v>16576.0</v>
      </c>
      <c r="M575" s="3" t="s">
        <v>21</v>
      </c>
      <c r="N575" s="3">
        <v>57.0</v>
      </c>
      <c r="O575" s="3" t="s">
        <v>22</v>
      </c>
      <c r="P575" s="3" t="s">
        <v>31</v>
      </c>
      <c r="Q575" s="6">
        <f t="shared" si="3"/>
        <v>910000</v>
      </c>
    </row>
    <row r="576">
      <c r="A576" s="3">
        <v>65251.0</v>
      </c>
      <c r="B576" s="3" t="s">
        <v>531</v>
      </c>
      <c r="C576" s="3" t="s">
        <v>18</v>
      </c>
      <c r="D576" s="4" t="str">
        <f t="shared" si="1"/>
        <v>Mr.</v>
      </c>
      <c r="E576" s="3" t="str">
        <f t="shared" si="4"/>
        <v>Mr. Raghav Dutta</v>
      </c>
      <c r="F576" s="3" t="str">
        <f>IFERROR(__xludf.DUMMYFUNCTION("SPLIT(B576,"" "")"),"Raghav")</f>
        <v>Raghav</v>
      </c>
      <c r="G576" s="3" t="str">
        <f>IFERROR(__xludf.DUMMYFUNCTION("""COMPUTED_VALUE"""),"Dutta")</f>
        <v>Dutta</v>
      </c>
      <c r="H576" s="3" t="s">
        <v>19</v>
      </c>
      <c r="I576" s="3">
        <v>2026.0</v>
      </c>
      <c r="J576" s="3">
        <f t="shared" si="2"/>
        <v>5000</v>
      </c>
      <c r="K576" s="3" t="s">
        <v>20</v>
      </c>
      <c r="L576" s="3">
        <v>403.0</v>
      </c>
      <c r="M576" s="3" t="s">
        <v>21</v>
      </c>
      <c r="N576" s="3">
        <f>RANDBETWEEN(0,10)</f>
        <v>7</v>
      </c>
      <c r="O576" s="3" t="s">
        <v>41</v>
      </c>
      <c r="P576" s="3" t="s">
        <v>28</v>
      </c>
      <c r="Q576" s="6">
        <f t="shared" si="3"/>
        <v>400000</v>
      </c>
    </row>
    <row r="577">
      <c r="A577" s="3">
        <v>65252.0</v>
      </c>
      <c r="B577" s="3" t="s">
        <v>532</v>
      </c>
      <c r="C577" s="3" t="s">
        <v>18</v>
      </c>
      <c r="D577" s="4" t="str">
        <f t="shared" si="1"/>
        <v>Mr.</v>
      </c>
      <c r="E577" s="3" t="str">
        <f t="shared" si="4"/>
        <v>Mr. Aarav Patel</v>
      </c>
      <c r="F577" s="3" t="str">
        <f>IFERROR(__xludf.DUMMYFUNCTION("SPLIT(B577,"" "")"),"Aarav")</f>
        <v>Aarav</v>
      </c>
      <c r="G577" s="3" t="str">
        <f>IFERROR(__xludf.DUMMYFUNCTION("""COMPUTED_VALUE"""),"Patel")</f>
        <v>Patel</v>
      </c>
      <c r="H577" s="3" t="s">
        <v>33</v>
      </c>
      <c r="I577" s="3">
        <v>2024.0</v>
      </c>
      <c r="J577" s="3">
        <f t="shared" si="2"/>
        <v>10000</v>
      </c>
      <c r="K577" s="3" t="s">
        <v>26</v>
      </c>
      <c r="L577" s="10">
        <v>29673.0</v>
      </c>
      <c r="M577" s="3" t="s">
        <v>30</v>
      </c>
      <c r="N577" s="3">
        <v>47.0</v>
      </c>
      <c r="O577" s="3" t="s">
        <v>22</v>
      </c>
      <c r="P577" s="3" t="s">
        <v>38</v>
      </c>
      <c r="Q577" s="6">
        <f t="shared" si="3"/>
        <v>635000</v>
      </c>
    </row>
    <row r="578">
      <c r="A578" s="3">
        <v>65253.0</v>
      </c>
      <c r="B578" s="3" t="s">
        <v>433</v>
      </c>
      <c r="C578" s="3" t="s">
        <v>35</v>
      </c>
      <c r="D578" s="4" t="str">
        <f t="shared" si="1"/>
        <v>Ms.</v>
      </c>
      <c r="E578" s="3" t="str">
        <f t="shared" si="4"/>
        <v>Ms. Kyra Chopra</v>
      </c>
      <c r="F578" s="3" t="str">
        <f>IFERROR(__xludf.DUMMYFUNCTION("SPLIT(B578,"" "")"),"Kyra")</f>
        <v>Kyra</v>
      </c>
      <c r="G578" s="3" t="str">
        <f>IFERROR(__xludf.DUMMYFUNCTION("""COMPUTED_VALUE"""),"Chopra")</f>
        <v>Chopra</v>
      </c>
      <c r="H578" s="3" t="s">
        <v>46</v>
      </c>
      <c r="I578" s="3">
        <v>2025.0</v>
      </c>
      <c r="J578" s="3">
        <f t="shared" si="2"/>
        <v>5000</v>
      </c>
      <c r="K578" s="3" t="s">
        <v>26</v>
      </c>
      <c r="L578" s="3">
        <v>6976.0</v>
      </c>
      <c r="M578" s="3" t="s">
        <v>21</v>
      </c>
      <c r="N578" s="3">
        <v>68.0</v>
      </c>
      <c r="O578" s="3" t="s">
        <v>41</v>
      </c>
      <c r="P578" s="3" t="s">
        <v>28</v>
      </c>
      <c r="Q578" s="6">
        <f t="shared" si="3"/>
        <v>400000</v>
      </c>
    </row>
    <row r="579">
      <c r="A579" s="3">
        <v>65254.0</v>
      </c>
      <c r="B579" s="3" t="s">
        <v>533</v>
      </c>
      <c r="C579" s="3" t="s">
        <v>18</v>
      </c>
      <c r="D579" s="4" t="str">
        <f t="shared" si="1"/>
        <v>Mr.</v>
      </c>
      <c r="E579" s="3" t="str">
        <f t="shared" si="4"/>
        <v>Mr. Arnav Singh</v>
      </c>
      <c r="F579" s="3" t="str">
        <f>IFERROR(__xludf.DUMMYFUNCTION("SPLIT(B579,"" "")"),"Arnav")</f>
        <v>Arnav</v>
      </c>
      <c r="G579" s="3" t="str">
        <f>IFERROR(__xludf.DUMMYFUNCTION("""COMPUTED_VALUE"""),"Singh")</f>
        <v>Singh</v>
      </c>
      <c r="H579" s="3" t="s">
        <v>19</v>
      </c>
      <c r="I579" s="3">
        <v>2024.0</v>
      </c>
      <c r="J579" s="3">
        <f t="shared" si="2"/>
        <v>5000</v>
      </c>
      <c r="K579" s="3" t="s">
        <v>20</v>
      </c>
      <c r="L579" s="3">
        <v>0.0</v>
      </c>
      <c r="M579" s="3" t="s">
        <v>21</v>
      </c>
      <c r="N579" s="3">
        <f>RANDBETWEEN(0,10)</f>
        <v>9</v>
      </c>
      <c r="O579" s="3" t="s">
        <v>22</v>
      </c>
      <c r="P579" s="3" t="s">
        <v>78</v>
      </c>
      <c r="Q579" s="6">
        <f t="shared" si="3"/>
        <v>255000</v>
      </c>
    </row>
    <row r="580">
      <c r="A580" s="3">
        <v>65259.0</v>
      </c>
      <c r="B580" s="3" t="s">
        <v>86</v>
      </c>
      <c r="C580" s="3" t="s">
        <v>18</v>
      </c>
      <c r="D580" s="4" t="str">
        <f t="shared" si="1"/>
        <v>Mr.</v>
      </c>
      <c r="E580" s="3" t="str">
        <f t="shared" si="4"/>
        <v>Mr. Harsh Desai</v>
      </c>
      <c r="F580" s="3" t="str">
        <f>IFERROR(__xludf.DUMMYFUNCTION("SPLIT(B580,"" "")"),"Harsh")</f>
        <v>Harsh</v>
      </c>
      <c r="G580" s="3" t="str">
        <f>IFERROR(__xludf.DUMMYFUNCTION("""COMPUTED_VALUE"""),"Desai")</f>
        <v>Desai</v>
      </c>
      <c r="H580" s="3" t="s">
        <v>25</v>
      </c>
      <c r="I580" s="3">
        <v>2025.0</v>
      </c>
      <c r="J580" s="3">
        <f t="shared" si="2"/>
        <v>10000</v>
      </c>
      <c r="K580" s="3" t="s">
        <v>20</v>
      </c>
      <c r="L580" s="10">
        <v>2044.0</v>
      </c>
      <c r="M580" s="3" t="s">
        <v>30</v>
      </c>
      <c r="N580" s="3">
        <v>59.0</v>
      </c>
      <c r="O580" s="3" t="s">
        <v>22</v>
      </c>
      <c r="P580" s="3" t="s">
        <v>23</v>
      </c>
      <c r="Q580" s="6">
        <f t="shared" si="3"/>
        <v>430000</v>
      </c>
    </row>
    <row r="581">
      <c r="A581" s="3">
        <v>65260.0</v>
      </c>
      <c r="B581" s="3" t="s">
        <v>534</v>
      </c>
      <c r="C581" s="3" t="s">
        <v>18</v>
      </c>
      <c r="D581" s="4" t="str">
        <f t="shared" si="1"/>
        <v>Mr.</v>
      </c>
      <c r="E581" s="3" t="str">
        <f t="shared" si="4"/>
        <v>Mr. Ishaan Reddy</v>
      </c>
      <c r="F581" s="3" t="str">
        <f>IFERROR(__xludf.DUMMYFUNCTION("SPLIT(B581,"" "")"),"Ishaan")</f>
        <v>Ishaan</v>
      </c>
      <c r="G581" s="3" t="str">
        <f>IFERROR(__xludf.DUMMYFUNCTION("""COMPUTED_VALUE"""),"Reddy")</f>
        <v>Reddy</v>
      </c>
      <c r="H581" s="3" t="s">
        <v>25</v>
      </c>
      <c r="I581" s="3">
        <v>2022.0</v>
      </c>
      <c r="J581" s="3">
        <f t="shared" si="2"/>
        <v>10000</v>
      </c>
      <c r="K581" s="3" t="s">
        <v>20</v>
      </c>
      <c r="L581" s="3">
        <v>0.0</v>
      </c>
      <c r="M581" s="3" t="s">
        <v>21</v>
      </c>
      <c r="N581" s="3">
        <v>4.0</v>
      </c>
      <c r="O581" s="3" t="s">
        <v>22</v>
      </c>
      <c r="P581" s="3" t="s">
        <v>23</v>
      </c>
      <c r="Q581" s="6">
        <f t="shared" si="3"/>
        <v>430000</v>
      </c>
    </row>
    <row r="582">
      <c r="A582" s="3">
        <v>65261.0</v>
      </c>
      <c r="B582" s="3" t="s">
        <v>299</v>
      </c>
      <c r="C582" s="3" t="s">
        <v>35</v>
      </c>
      <c r="D582" s="4" t="str">
        <f t="shared" si="1"/>
        <v>Ms.</v>
      </c>
      <c r="E582" s="3" t="str">
        <f t="shared" si="4"/>
        <v>Ms. Aadhya Pillai</v>
      </c>
      <c r="F582" s="3" t="str">
        <f>IFERROR(__xludf.DUMMYFUNCTION("SPLIT(B582,"" "")"),"Aadhya")</f>
        <v>Aadhya</v>
      </c>
      <c r="G582" s="3" t="str">
        <f>IFERROR(__xludf.DUMMYFUNCTION("""COMPUTED_VALUE"""),"Pillai")</f>
        <v>Pillai</v>
      </c>
      <c r="H582" s="3" t="s">
        <v>25</v>
      </c>
      <c r="I582" s="3">
        <v>2016.0</v>
      </c>
      <c r="J582" s="3">
        <f t="shared" si="2"/>
        <v>10000</v>
      </c>
      <c r="K582" s="3" t="s">
        <v>20</v>
      </c>
      <c r="L582" s="3">
        <v>0.0</v>
      </c>
      <c r="M582" s="3" t="s">
        <v>21</v>
      </c>
      <c r="N582" s="3">
        <v>38.0</v>
      </c>
      <c r="O582" s="3" t="s">
        <v>22</v>
      </c>
      <c r="P582" s="3" t="s">
        <v>31</v>
      </c>
      <c r="Q582" s="6">
        <f t="shared" si="3"/>
        <v>910000</v>
      </c>
    </row>
    <row r="583">
      <c r="A583" s="3">
        <v>65262.0</v>
      </c>
      <c r="B583" s="3" t="s">
        <v>535</v>
      </c>
      <c r="C583" s="3" t="s">
        <v>18</v>
      </c>
      <c r="D583" s="4" t="str">
        <f t="shared" si="1"/>
        <v>Mr.</v>
      </c>
      <c r="E583" s="3" t="str">
        <f t="shared" si="4"/>
        <v>Mr. Kabir Desai</v>
      </c>
      <c r="F583" s="3" t="str">
        <f>IFERROR(__xludf.DUMMYFUNCTION("SPLIT(B583,"" "")"),"Kabir")</f>
        <v>Kabir</v>
      </c>
      <c r="G583" s="3" t="str">
        <f>IFERROR(__xludf.DUMMYFUNCTION("""COMPUTED_VALUE"""),"Desai")</f>
        <v>Desai</v>
      </c>
      <c r="H583" s="3" t="s">
        <v>25</v>
      </c>
      <c r="I583" s="3">
        <v>2022.0</v>
      </c>
      <c r="J583" s="3">
        <f t="shared" si="2"/>
        <v>10000</v>
      </c>
      <c r="K583" s="3" t="s">
        <v>26</v>
      </c>
      <c r="L583" s="3">
        <v>23456.0</v>
      </c>
      <c r="M583" s="3" t="s">
        <v>21</v>
      </c>
      <c r="N583" s="3">
        <f>RANDBETWEEN(0,10)</f>
        <v>6</v>
      </c>
      <c r="O583" s="3" t="s">
        <v>22</v>
      </c>
      <c r="P583" s="3" t="s">
        <v>38</v>
      </c>
      <c r="Q583" s="6">
        <f t="shared" si="3"/>
        <v>635000</v>
      </c>
    </row>
    <row r="584">
      <c r="A584" s="3">
        <v>65264.0</v>
      </c>
      <c r="B584" s="3" t="s">
        <v>536</v>
      </c>
      <c r="C584" s="3" t="s">
        <v>35</v>
      </c>
      <c r="D584" s="4" t="str">
        <f t="shared" si="1"/>
        <v>Ms.</v>
      </c>
      <c r="E584" s="3" t="str">
        <f t="shared" si="4"/>
        <v>Ms. Anvi Patel</v>
      </c>
      <c r="F584" s="3" t="str">
        <f>IFERROR(__xludf.DUMMYFUNCTION("SPLIT(B584,"" "")"),"Anvi")</f>
        <v>Anvi</v>
      </c>
      <c r="G584" s="3" t="str">
        <f>IFERROR(__xludf.DUMMYFUNCTION("""COMPUTED_VALUE"""),"Patel")</f>
        <v>Patel</v>
      </c>
      <c r="H584" s="3" t="s">
        <v>46</v>
      </c>
      <c r="I584" s="3">
        <v>2025.0</v>
      </c>
      <c r="J584" s="3">
        <f t="shared" si="2"/>
        <v>5000</v>
      </c>
      <c r="K584" s="3" t="s">
        <v>20</v>
      </c>
      <c r="L584" s="10">
        <v>4032.0</v>
      </c>
      <c r="M584" s="3" t="s">
        <v>30</v>
      </c>
      <c r="N584" s="3">
        <v>29.0</v>
      </c>
      <c r="O584" s="3" t="s">
        <v>22</v>
      </c>
      <c r="P584" s="3" t="s">
        <v>31</v>
      </c>
      <c r="Q584" s="6">
        <f t="shared" si="3"/>
        <v>910000</v>
      </c>
    </row>
    <row r="585">
      <c r="A585" s="3">
        <v>65265.0</v>
      </c>
      <c r="B585" s="3" t="s">
        <v>537</v>
      </c>
      <c r="C585" s="3" t="s">
        <v>18</v>
      </c>
      <c r="D585" s="4" t="str">
        <f t="shared" si="1"/>
        <v>Mr.</v>
      </c>
      <c r="E585" s="3" t="str">
        <f t="shared" si="4"/>
        <v>Mr. Ishaan Pillai</v>
      </c>
      <c r="F585" s="3" t="str">
        <f>IFERROR(__xludf.DUMMYFUNCTION("SPLIT(B585,"" "")"),"Ishaan")</f>
        <v>Ishaan</v>
      </c>
      <c r="G585" s="3" t="str">
        <f>IFERROR(__xludf.DUMMYFUNCTION("""COMPUTED_VALUE"""),"Pillai")</f>
        <v>Pillai</v>
      </c>
      <c r="H585" s="3" t="s">
        <v>33</v>
      </c>
      <c r="I585" s="3">
        <v>2028.0</v>
      </c>
      <c r="J585" s="3">
        <f t="shared" si="2"/>
        <v>10000</v>
      </c>
      <c r="K585" s="3" t="s">
        <v>20</v>
      </c>
      <c r="L585" s="3">
        <v>0.0</v>
      </c>
      <c r="M585" s="3" t="s">
        <v>21</v>
      </c>
      <c r="N585" s="3">
        <v>44.0</v>
      </c>
      <c r="O585" s="3" t="s">
        <v>22</v>
      </c>
      <c r="P585" s="3" t="s">
        <v>78</v>
      </c>
      <c r="Q585" s="6">
        <f t="shared" si="3"/>
        <v>255000</v>
      </c>
    </row>
    <row r="586">
      <c r="A586" s="3">
        <v>65266.0</v>
      </c>
      <c r="B586" s="3" t="s">
        <v>538</v>
      </c>
      <c r="C586" s="3" t="s">
        <v>35</v>
      </c>
      <c r="D586" s="4" t="str">
        <f t="shared" si="1"/>
        <v>Ms.</v>
      </c>
      <c r="E586" s="3" t="str">
        <f t="shared" si="4"/>
        <v>Ms. Siya Gupta</v>
      </c>
      <c r="F586" s="3" t="str">
        <f>IFERROR(__xludf.DUMMYFUNCTION("SPLIT(B586,"" "")"),"Siya")</f>
        <v>Siya</v>
      </c>
      <c r="G586" s="3" t="str">
        <f>IFERROR(__xludf.DUMMYFUNCTION("""COMPUTED_VALUE"""),"Gupta")</f>
        <v>Gupta</v>
      </c>
      <c r="H586" s="3" t="s">
        <v>19</v>
      </c>
      <c r="I586" s="3">
        <v>2024.0</v>
      </c>
      <c r="J586" s="3">
        <f t="shared" si="2"/>
        <v>5000</v>
      </c>
      <c r="K586" s="3" t="s">
        <v>20</v>
      </c>
      <c r="L586" s="10">
        <v>8850.0</v>
      </c>
      <c r="M586" s="3" t="s">
        <v>30</v>
      </c>
      <c r="N586" s="3">
        <v>33.0</v>
      </c>
      <c r="O586" s="3" t="s">
        <v>22</v>
      </c>
      <c r="P586" s="3" t="s">
        <v>78</v>
      </c>
      <c r="Q586" s="6">
        <f t="shared" si="3"/>
        <v>255000</v>
      </c>
    </row>
    <row r="587">
      <c r="A587" s="3">
        <v>65267.0</v>
      </c>
      <c r="B587" s="3" t="s">
        <v>539</v>
      </c>
      <c r="C587" s="3" t="s">
        <v>35</v>
      </c>
      <c r="D587" s="4" t="str">
        <f t="shared" si="1"/>
        <v>Ms.</v>
      </c>
      <c r="E587" s="3" t="str">
        <f t="shared" si="4"/>
        <v>Ms. Kyra Prasad</v>
      </c>
      <c r="F587" s="3" t="str">
        <f>IFERROR(__xludf.DUMMYFUNCTION("SPLIT(B587,"" "")"),"Kyra")</f>
        <v>Kyra</v>
      </c>
      <c r="G587" s="3" t="str">
        <f>IFERROR(__xludf.DUMMYFUNCTION("""COMPUTED_VALUE"""),"Prasad")</f>
        <v>Prasad</v>
      </c>
      <c r="H587" s="3" t="s">
        <v>46</v>
      </c>
      <c r="I587" s="3">
        <v>2026.0</v>
      </c>
      <c r="J587" s="3">
        <f t="shared" si="2"/>
        <v>5000</v>
      </c>
      <c r="K587" s="3" t="s">
        <v>26</v>
      </c>
      <c r="L587" s="3">
        <v>9935.0</v>
      </c>
      <c r="M587" s="3" t="s">
        <v>21</v>
      </c>
      <c r="N587" s="3">
        <v>24.0</v>
      </c>
      <c r="O587" s="3" t="s">
        <v>22</v>
      </c>
      <c r="P587" s="3" t="s">
        <v>31</v>
      </c>
      <c r="Q587" s="6">
        <f t="shared" si="3"/>
        <v>910000</v>
      </c>
    </row>
    <row r="588">
      <c r="A588" s="3">
        <v>65268.0</v>
      </c>
      <c r="B588" s="3" t="s">
        <v>540</v>
      </c>
      <c r="C588" s="3" t="s">
        <v>18</v>
      </c>
      <c r="D588" s="4" t="str">
        <f t="shared" si="1"/>
        <v>Mr.</v>
      </c>
      <c r="E588" s="3" t="str">
        <f t="shared" si="4"/>
        <v>Mr. Shaurya Agarwal</v>
      </c>
      <c r="F588" s="3" t="str">
        <f>IFERROR(__xludf.DUMMYFUNCTION("SPLIT(B588,"" "")"),"Shaurya")</f>
        <v>Shaurya</v>
      </c>
      <c r="G588" s="3" t="str">
        <f>IFERROR(__xludf.DUMMYFUNCTION("""COMPUTED_VALUE"""),"Agarwal")</f>
        <v>Agarwal</v>
      </c>
      <c r="H588" s="3" t="s">
        <v>19</v>
      </c>
      <c r="I588" s="3">
        <v>2020.0</v>
      </c>
      <c r="J588" s="3">
        <f t="shared" si="2"/>
        <v>5000</v>
      </c>
      <c r="K588" s="3" t="s">
        <v>20</v>
      </c>
      <c r="L588" s="3">
        <v>0.0</v>
      </c>
      <c r="M588" s="3" t="s">
        <v>21</v>
      </c>
      <c r="N588" s="3">
        <f>RANDBETWEEN(0,10)</f>
        <v>7</v>
      </c>
      <c r="O588" s="3" t="s">
        <v>22</v>
      </c>
      <c r="P588" s="3" t="s">
        <v>78</v>
      </c>
      <c r="Q588" s="6">
        <f t="shared" si="3"/>
        <v>255000</v>
      </c>
    </row>
    <row r="589">
      <c r="A589" s="3">
        <v>65269.0</v>
      </c>
      <c r="B589" s="3" t="s">
        <v>541</v>
      </c>
      <c r="C589" s="3" t="s">
        <v>18</v>
      </c>
      <c r="D589" s="4" t="str">
        <f t="shared" si="1"/>
        <v>Mr.</v>
      </c>
      <c r="E589" s="3" t="str">
        <f t="shared" si="4"/>
        <v>Mr. Atharv Nair</v>
      </c>
      <c r="F589" s="3" t="str">
        <f>IFERROR(__xludf.DUMMYFUNCTION("SPLIT(B589,"" "")"),"Atharv")</f>
        <v>Atharv</v>
      </c>
      <c r="G589" s="3" t="str">
        <f>IFERROR(__xludf.DUMMYFUNCTION("""COMPUTED_VALUE"""),"Nair")</f>
        <v>Nair</v>
      </c>
      <c r="H589" s="3" t="s">
        <v>46</v>
      </c>
      <c r="I589" s="3">
        <v>2026.0</v>
      </c>
      <c r="J589" s="3">
        <f t="shared" si="2"/>
        <v>5000</v>
      </c>
      <c r="K589" s="3" t="s">
        <v>20</v>
      </c>
      <c r="L589" s="10">
        <v>1630.0</v>
      </c>
      <c r="M589" s="3" t="s">
        <v>21</v>
      </c>
      <c r="N589" s="3">
        <v>76.0</v>
      </c>
      <c r="O589" s="3" t="s">
        <v>41</v>
      </c>
      <c r="P589" s="3" t="s">
        <v>31</v>
      </c>
      <c r="Q589" s="6">
        <f t="shared" si="3"/>
        <v>910000</v>
      </c>
    </row>
    <row r="590">
      <c r="A590" s="3">
        <v>65270.0</v>
      </c>
      <c r="B590" s="3" t="s">
        <v>542</v>
      </c>
      <c r="C590" s="3" t="s">
        <v>18</v>
      </c>
      <c r="D590" s="4" t="str">
        <f t="shared" si="1"/>
        <v>Mr.</v>
      </c>
      <c r="E590" s="3" t="str">
        <f t="shared" si="4"/>
        <v>Mr. Aaryan Rao</v>
      </c>
      <c r="F590" s="3" t="str">
        <f>IFERROR(__xludf.DUMMYFUNCTION("SPLIT(B590,"" "")"),"Aaryan")</f>
        <v>Aaryan</v>
      </c>
      <c r="G590" s="3" t="str">
        <f>IFERROR(__xludf.DUMMYFUNCTION("""COMPUTED_VALUE"""),"Rao")</f>
        <v>Rao</v>
      </c>
      <c r="H590" s="3" t="s">
        <v>33</v>
      </c>
      <c r="I590" s="3">
        <v>2024.0</v>
      </c>
      <c r="J590" s="3">
        <f t="shared" si="2"/>
        <v>10000</v>
      </c>
      <c r="K590" s="3" t="s">
        <v>26</v>
      </c>
      <c r="L590" s="3">
        <v>3976.0</v>
      </c>
      <c r="M590" s="3" t="s">
        <v>21</v>
      </c>
      <c r="N590" s="3">
        <v>18.0</v>
      </c>
      <c r="O590" s="3" t="s">
        <v>41</v>
      </c>
      <c r="P590" s="3" t="s">
        <v>31</v>
      </c>
      <c r="Q590" s="6">
        <f t="shared" si="3"/>
        <v>910000</v>
      </c>
    </row>
    <row r="591">
      <c r="A591" s="3">
        <v>65271.0</v>
      </c>
      <c r="B591" s="3" t="s">
        <v>543</v>
      </c>
      <c r="C591" s="3" t="s">
        <v>35</v>
      </c>
      <c r="D591" s="4" t="str">
        <f t="shared" si="1"/>
        <v>Ms.</v>
      </c>
      <c r="E591" s="3" t="str">
        <f t="shared" si="4"/>
        <v>Ms. Naira Mehta</v>
      </c>
      <c r="F591" s="3" t="str">
        <f>IFERROR(__xludf.DUMMYFUNCTION("SPLIT(B591,"" "")"),"Naira")</f>
        <v>Naira</v>
      </c>
      <c r="G591" s="3" t="str">
        <f>IFERROR(__xludf.DUMMYFUNCTION("""COMPUTED_VALUE"""),"Mehta")</f>
        <v>Mehta</v>
      </c>
      <c r="H591" s="3" t="s">
        <v>25</v>
      </c>
      <c r="I591" s="3">
        <v>2014.0</v>
      </c>
      <c r="J591" s="3">
        <f t="shared" si="2"/>
        <v>10000</v>
      </c>
      <c r="K591" s="3" t="s">
        <v>26</v>
      </c>
      <c r="L591" s="3">
        <v>23426.0</v>
      </c>
      <c r="M591" s="3" t="s">
        <v>21</v>
      </c>
      <c r="N591" s="3">
        <v>6.0</v>
      </c>
      <c r="O591" s="3" t="s">
        <v>22</v>
      </c>
      <c r="P591" s="3" t="s">
        <v>23</v>
      </c>
      <c r="Q591" s="6">
        <f t="shared" si="3"/>
        <v>430000</v>
      </c>
    </row>
    <row r="592">
      <c r="A592" s="3">
        <v>65272.0</v>
      </c>
      <c r="B592" s="3" t="s">
        <v>544</v>
      </c>
      <c r="C592" s="3" t="s">
        <v>18</v>
      </c>
      <c r="D592" s="4" t="str">
        <f t="shared" si="1"/>
        <v>Mr.</v>
      </c>
      <c r="E592" s="3" t="str">
        <f t="shared" si="4"/>
        <v>Mr. Yashvi Naidu</v>
      </c>
      <c r="F592" s="3" t="str">
        <f>IFERROR(__xludf.DUMMYFUNCTION("SPLIT(B592,"" "")"),"Yashvi")</f>
        <v>Yashvi</v>
      </c>
      <c r="G592" s="3" t="str">
        <f>IFERROR(__xludf.DUMMYFUNCTION("""COMPUTED_VALUE"""),"Naidu")</f>
        <v>Naidu</v>
      </c>
      <c r="H592" s="3" t="s">
        <v>33</v>
      </c>
      <c r="I592" s="3">
        <v>2022.0</v>
      </c>
      <c r="J592" s="3">
        <f t="shared" si="2"/>
        <v>10000</v>
      </c>
      <c r="K592" s="3" t="s">
        <v>20</v>
      </c>
      <c r="L592" s="3">
        <v>0.0</v>
      </c>
      <c r="M592" s="3" t="s">
        <v>21</v>
      </c>
      <c r="N592" s="3">
        <v>79.0</v>
      </c>
      <c r="O592" s="3" t="s">
        <v>22</v>
      </c>
      <c r="P592" s="3" t="s">
        <v>38</v>
      </c>
      <c r="Q592" s="6">
        <f t="shared" si="3"/>
        <v>635000</v>
      </c>
    </row>
    <row r="593">
      <c r="A593" s="3">
        <v>65274.0</v>
      </c>
      <c r="B593" s="3" t="s">
        <v>200</v>
      </c>
      <c r="C593" s="3" t="s">
        <v>35</v>
      </c>
      <c r="D593" s="4" t="str">
        <f t="shared" si="1"/>
        <v>Ms.</v>
      </c>
      <c r="E593" s="3" t="str">
        <f t="shared" si="4"/>
        <v>Ms. Kyra Malik</v>
      </c>
      <c r="F593" s="3" t="str">
        <f>IFERROR(__xludf.DUMMYFUNCTION("SPLIT(B593,"" "")"),"Kyra")</f>
        <v>Kyra</v>
      </c>
      <c r="G593" s="3" t="str">
        <f>IFERROR(__xludf.DUMMYFUNCTION("""COMPUTED_VALUE"""),"Malik")</f>
        <v>Malik</v>
      </c>
      <c r="H593" s="3" t="s">
        <v>46</v>
      </c>
      <c r="I593" s="3">
        <v>2021.0</v>
      </c>
      <c r="J593" s="3">
        <f t="shared" si="2"/>
        <v>5000</v>
      </c>
      <c r="K593" s="3" t="s">
        <v>26</v>
      </c>
      <c r="L593" s="10">
        <v>4690.0</v>
      </c>
      <c r="M593" s="3" t="s">
        <v>21</v>
      </c>
      <c r="N593" s="3">
        <f>RANDBETWEEN(0,10)</f>
        <v>10</v>
      </c>
      <c r="O593" s="3" t="s">
        <v>22</v>
      </c>
      <c r="P593" s="3" t="s">
        <v>23</v>
      </c>
      <c r="Q593" s="6">
        <f t="shared" si="3"/>
        <v>430000</v>
      </c>
    </row>
    <row r="594">
      <c r="A594" s="3">
        <v>65275.0</v>
      </c>
      <c r="B594" s="3" t="s">
        <v>545</v>
      </c>
      <c r="C594" s="3" t="s">
        <v>18</v>
      </c>
      <c r="D594" s="4" t="str">
        <f t="shared" si="1"/>
        <v>Mr.</v>
      </c>
      <c r="E594" s="3" t="str">
        <f t="shared" si="4"/>
        <v>Mr. Rishi Kulkarni</v>
      </c>
      <c r="F594" s="3" t="str">
        <f>IFERROR(__xludf.DUMMYFUNCTION("SPLIT(B594,"" "")"),"Rishi")</f>
        <v>Rishi</v>
      </c>
      <c r="G594" s="3" t="str">
        <f>IFERROR(__xludf.DUMMYFUNCTION("""COMPUTED_VALUE"""),"Kulkarni")</f>
        <v>Kulkarni</v>
      </c>
      <c r="H594" s="3" t="s">
        <v>25</v>
      </c>
      <c r="I594" s="3">
        <v>2026.0</v>
      </c>
      <c r="J594" s="3">
        <f t="shared" si="2"/>
        <v>10000</v>
      </c>
      <c r="K594" s="3" t="s">
        <v>20</v>
      </c>
      <c r="L594" s="3">
        <v>0.0</v>
      </c>
      <c r="M594" s="3" t="s">
        <v>21</v>
      </c>
      <c r="N594" s="3">
        <v>52.0</v>
      </c>
      <c r="O594" s="3" t="s">
        <v>22</v>
      </c>
      <c r="P594" s="3" t="s">
        <v>38</v>
      </c>
      <c r="Q594" s="6">
        <f t="shared" si="3"/>
        <v>635000</v>
      </c>
    </row>
    <row r="595">
      <c r="A595" s="3">
        <v>65276.0</v>
      </c>
      <c r="B595" s="3" t="s">
        <v>440</v>
      </c>
      <c r="C595" s="3" t="s">
        <v>18</v>
      </c>
      <c r="D595" s="4" t="str">
        <f t="shared" si="1"/>
        <v>Mr.</v>
      </c>
      <c r="E595" s="3" t="str">
        <f t="shared" si="4"/>
        <v>Mr. Kabir Rao</v>
      </c>
      <c r="F595" s="3" t="str">
        <f>IFERROR(__xludf.DUMMYFUNCTION("SPLIT(B595,"" "")"),"Kabir")</f>
        <v>Kabir</v>
      </c>
      <c r="G595" s="3" t="str">
        <f>IFERROR(__xludf.DUMMYFUNCTION("""COMPUTED_VALUE"""),"Rao")</f>
        <v>Rao</v>
      </c>
      <c r="H595" s="3" t="s">
        <v>46</v>
      </c>
      <c r="I595" s="3">
        <v>2024.0</v>
      </c>
      <c r="J595" s="3">
        <f t="shared" si="2"/>
        <v>5000</v>
      </c>
      <c r="K595" s="3" t="s">
        <v>20</v>
      </c>
      <c r="L595" s="3">
        <v>0.0</v>
      </c>
      <c r="M595" s="3" t="s">
        <v>21</v>
      </c>
      <c r="N595" s="3">
        <f>RANDBETWEEN(0,10)</f>
        <v>6</v>
      </c>
      <c r="O595" s="3" t="s">
        <v>22</v>
      </c>
      <c r="P595" s="3" t="s">
        <v>23</v>
      </c>
      <c r="Q595" s="6">
        <f t="shared" si="3"/>
        <v>430000</v>
      </c>
    </row>
    <row r="596">
      <c r="A596" s="3">
        <v>65277.0</v>
      </c>
      <c r="B596" s="3" t="s">
        <v>546</v>
      </c>
      <c r="C596" s="3" t="s">
        <v>18</v>
      </c>
      <c r="D596" s="4" t="str">
        <f t="shared" si="1"/>
        <v>Mr.</v>
      </c>
      <c r="E596" s="3" t="str">
        <f t="shared" si="4"/>
        <v>Mr. Dhanush Dutta</v>
      </c>
      <c r="F596" s="3" t="str">
        <f>IFERROR(__xludf.DUMMYFUNCTION("SPLIT(B596,"" "")"),"Dhanush")</f>
        <v>Dhanush</v>
      </c>
      <c r="G596" s="3" t="str">
        <f>IFERROR(__xludf.DUMMYFUNCTION("""COMPUTED_VALUE"""),"Dutta")</f>
        <v>Dutta</v>
      </c>
      <c r="H596" s="3" t="s">
        <v>25</v>
      </c>
      <c r="I596" s="3">
        <v>2025.0</v>
      </c>
      <c r="J596" s="3">
        <f t="shared" si="2"/>
        <v>10000</v>
      </c>
      <c r="K596" s="3" t="s">
        <v>20</v>
      </c>
      <c r="L596" s="3">
        <v>0.0</v>
      </c>
      <c r="M596" s="3" t="s">
        <v>21</v>
      </c>
      <c r="N596" s="3">
        <v>39.0</v>
      </c>
      <c r="O596" s="3" t="s">
        <v>22</v>
      </c>
      <c r="P596" s="3" t="s">
        <v>31</v>
      </c>
      <c r="Q596" s="6">
        <f t="shared" si="3"/>
        <v>910000</v>
      </c>
    </row>
    <row r="597">
      <c r="A597" s="3">
        <v>65278.0</v>
      </c>
      <c r="B597" s="3" t="s">
        <v>525</v>
      </c>
      <c r="C597" s="3" t="s">
        <v>35</v>
      </c>
      <c r="D597" s="4" t="str">
        <f t="shared" si="1"/>
        <v>Ms.</v>
      </c>
      <c r="E597" s="3" t="str">
        <f t="shared" si="4"/>
        <v>Ms. Aarohi Iyer</v>
      </c>
      <c r="F597" s="3" t="str">
        <f>IFERROR(__xludf.DUMMYFUNCTION("SPLIT(B597,"" "")"),"Aarohi")</f>
        <v>Aarohi</v>
      </c>
      <c r="G597" s="3" t="str">
        <f>IFERROR(__xludf.DUMMYFUNCTION("""COMPUTED_VALUE"""),"Iyer")</f>
        <v>Iyer</v>
      </c>
      <c r="H597" s="3" t="s">
        <v>46</v>
      </c>
      <c r="I597" s="3">
        <v>2018.0</v>
      </c>
      <c r="J597" s="3">
        <f t="shared" si="2"/>
        <v>5000</v>
      </c>
      <c r="K597" s="3" t="s">
        <v>20</v>
      </c>
      <c r="L597" s="3">
        <v>0.0</v>
      </c>
      <c r="M597" s="3" t="s">
        <v>21</v>
      </c>
      <c r="N597" s="3">
        <v>65.0</v>
      </c>
      <c r="O597" s="3" t="s">
        <v>22</v>
      </c>
      <c r="P597" s="3" t="s">
        <v>78</v>
      </c>
      <c r="Q597" s="6">
        <f t="shared" si="3"/>
        <v>255000</v>
      </c>
    </row>
    <row r="598">
      <c r="A598" s="3">
        <v>65280.0</v>
      </c>
      <c r="B598" s="3" t="s">
        <v>266</v>
      </c>
      <c r="C598" s="3" t="s">
        <v>18</v>
      </c>
      <c r="D598" s="4" t="str">
        <f t="shared" si="1"/>
        <v>Mr.</v>
      </c>
      <c r="E598" s="3" t="str">
        <f t="shared" si="4"/>
        <v>Mr. Yashvi Patel</v>
      </c>
      <c r="F598" s="3" t="str">
        <f>IFERROR(__xludf.DUMMYFUNCTION("SPLIT(B598,"" "")"),"Yashvi")</f>
        <v>Yashvi</v>
      </c>
      <c r="G598" s="3" t="str">
        <f>IFERROR(__xludf.DUMMYFUNCTION("""COMPUTED_VALUE"""),"Patel")</f>
        <v>Patel</v>
      </c>
      <c r="H598" s="3" t="s">
        <v>19</v>
      </c>
      <c r="I598" s="3">
        <v>2019.0</v>
      </c>
      <c r="J598" s="3">
        <f t="shared" si="2"/>
        <v>5000</v>
      </c>
      <c r="K598" s="3" t="s">
        <v>26</v>
      </c>
      <c r="L598" s="3">
        <v>11687.0</v>
      </c>
      <c r="M598" s="3" t="s">
        <v>21</v>
      </c>
      <c r="N598" s="3">
        <v>61.0</v>
      </c>
      <c r="O598" s="3" t="s">
        <v>22</v>
      </c>
      <c r="P598" s="3" t="s">
        <v>23</v>
      </c>
      <c r="Q598" s="6">
        <f t="shared" si="3"/>
        <v>430000</v>
      </c>
    </row>
    <row r="599">
      <c r="A599" s="3">
        <v>65281.0</v>
      </c>
      <c r="B599" s="3" t="s">
        <v>547</v>
      </c>
      <c r="C599" s="3" t="s">
        <v>35</v>
      </c>
      <c r="D599" s="4" t="str">
        <f t="shared" si="1"/>
        <v>Ms.</v>
      </c>
      <c r="E599" s="3" t="str">
        <f t="shared" si="4"/>
        <v>Ms. Eva Bhat</v>
      </c>
      <c r="F599" s="3" t="str">
        <f>IFERROR(__xludf.DUMMYFUNCTION("SPLIT(B599,"" "")"),"Eva")</f>
        <v>Eva</v>
      </c>
      <c r="G599" s="3" t="str">
        <f>IFERROR(__xludf.DUMMYFUNCTION("""COMPUTED_VALUE"""),"Bhat")</f>
        <v>Bhat</v>
      </c>
      <c r="H599" s="3" t="s">
        <v>33</v>
      </c>
      <c r="I599" s="3">
        <v>2025.0</v>
      </c>
      <c r="J599" s="3">
        <f t="shared" si="2"/>
        <v>10000</v>
      </c>
      <c r="K599" s="3" t="s">
        <v>26</v>
      </c>
      <c r="L599" s="3">
        <v>21794.0</v>
      </c>
      <c r="M599" s="3" t="s">
        <v>21</v>
      </c>
      <c r="N599" s="3">
        <f>RANDBETWEEN(0,10)</f>
        <v>7</v>
      </c>
      <c r="O599" s="3" t="s">
        <v>41</v>
      </c>
      <c r="P599" s="3" t="s">
        <v>31</v>
      </c>
      <c r="Q599" s="6">
        <f t="shared" si="3"/>
        <v>910000</v>
      </c>
    </row>
    <row r="600">
      <c r="A600" s="3">
        <v>65282.0</v>
      </c>
      <c r="B600" s="3" t="s">
        <v>548</v>
      </c>
      <c r="C600" s="3" t="s">
        <v>18</v>
      </c>
      <c r="D600" s="4" t="str">
        <f t="shared" si="1"/>
        <v>Mr.</v>
      </c>
      <c r="E600" s="3" t="str">
        <f t="shared" si="4"/>
        <v>Mr. Kabir Reddy</v>
      </c>
      <c r="F600" s="3" t="str">
        <f>IFERROR(__xludf.DUMMYFUNCTION("SPLIT(B600,"" "")"),"Kabir")</f>
        <v>Kabir</v>
      </c>
      <c r="G600" s="3" t="str">
        <f>IFERROR(__xludf.DUMMYFUNCTION("""COMPUTED_VALUE"""),"Reddy")</f>
        <v>Reddy</v>
      </c>
      <c r="H600" s="3" t="s">
        <v>25</v>
      </c>
      <c r="I600" s="3">
        <v>2022.0</v>
      </c>
      <c r="J600" s="3">
        <f t="shared" si="2"/>
        <v>10000</v>
      </c>
      <c r="K600" s="3" t="s">
        <v>26</v>
      </c>
      <c r="L600" s="3">
        <v>21081.0</v>
      </c>
      <c r="M600" s="3" t="s">
        <v>21</v>
      </c>
      <c r="N600" s="3">
        <v>76.0</v>
      </c>
      <c r="O600" s="3" t="s">
        <v>22</v>
      </c>
      <c r="P600" s="3" t="s">
        <v>31</v>
      </c>
      <c r="Q600" s="6">
        <f t="shared" si="3"/>
        <v>910000</v>
      </c>
    </row>
    <row r="601">
      <c r="A601" s="3">
        <v>65283.0</v>
      </c>
      <c r="B601" s="3" t="s">
        <v>549</v>
      </c>
      <c r="C601" s="3" t="s">
        <v>18</v>
      </c>
      <c r="D601" s="4" t="str">
        <f t="shared" si="1"/>
        <v>Mr.</v>
      </c>
      <c r="E601" s="3" t="str">
        <f t="shared" si="4"/>
        <v>Mr. Krishna Patel</v>
      </c>
      <c r="F601" s="3" t="str">
        <f>IFERROR(__xludf.DUMMYFUNCTION("SPLIT(B601,"" "")"),"Krishna")</f>
        <v>Krishna</v>
      </c>
      <c r="G601" s="3" t="str">
        <f>IFERROR(__xludf.DUMMYFUNCTION("""COMPUTED_VALUE"""),"Patel")</f>
        <v>Patel</v>
      </c>
      <c r="H601" s="3" t="s">
        <v>33</v>
      </c>
      <c r="I601" s="3">
        <v>2026.0</v>
      </c>
      <c r="J601" s="3">
        <f t="shared" si="2"/>
        <v>10000</v>
      </c>
      <c r="K601" s="3" t="s">
        <v>26</v>
      </c>
      <c r="L601" s="3">
        <v>16163.0</v>
      </c>
      <c r="M601" s="3" t="s">
        <v>21</v>
      </c>
      <c r="N601" s="3">
        <v>43.0</v>
      </c>
      <c r="O601" s="3" t="s">
        <v>22</v>
      </c>
      <c r="P601" s="3" t="s">
        <v>23</v>
      </c>
      <c r="Q601" s="6">
        <f t="shared" si="3"/>
        <v>430000</v>
      </c>
    </row>
    <row r="602">
      <c r="A602" s="3">
        <v>65284.0</v>
      </c>
      <c r="B602" s="3" t="s">
        <v>550</v>
      </c>
      <c r="C602" s="3" t="s">
        <v>35</v>
      </c>
      <c r="D602" s="4" t="str">
        <f t="shared" si="1"/>
        <v>Ms.</v>
      </c>
      <c r="E602" s="3" t="str">
        <f t="shared" si="4"/>
        <v>Ms. Ira Desai</v>
      </c>
      <c r="F602" s="3" t="str">
        <f>IFERROR(__xludf.DUMMYFUNCTION("SPLIT(B602,"" "")"),"Ira")</f>
        <v>Ira</v>
      </c>
      <c r="G602" s="3" t="str">
        <f>IFERROR(__xludf.DUMMYFUNCTION("""COMPUTED_VALUE"""),"Desai")</f>
        <v>Desai</v>
      </c>
      <c r="H602" s="3" t="s">
        <v>33</v>
      </c>
      <c r="I602" s="3">
        <v>2026.0</v>
      </c>
      <c r="J602" s="3">
        <f t="shared" si="2"/>
        <v>10000</v>
      </c>
      <c r="K602" s="3" t="s">
        <v>26</v>
      </c>
      <c r="L602" s="3">
        <v>18076.0</v>
      </c>
      <c r="M602" s="3" t="s">
        <v>21</v>
      </c>
      <c r="N602" s="3">
        <v>46.0</v>
      </c>
      <c r="O602" s="3" t="s">
        <v>22</v>
      </c>
      <c r="P602" s="3" t="s">
        <v>31</v>
      </c>
      <c r="Q602" s="6">
        <f t="shared" si="3"/>
        <v>910000</v>
      </c>
    </row>
    <row r="603">
      <c r="A603" s="3">
        <v>65285.0</v>
      </c>
      <c r="B603" s="3" t="s">
        <v>551</v>
      </c>
      <c r="C603" s="3" t="s">
        <v>18</v>
      </c>
      <c r="D603" s="4" t="str">
        <f t="shared" si="1"/>
        <v>Mr.</v>
      </c>
      <c r="E603" s="3" t="str">
        <f t="shared" si="4"/>
        <v>Mr. Krishna Jain</v>
      </c>
      <c r="F603" s="3" t="str">
        <f>IFERROR(__xludf.DUMMYFUNCTION("SPLIT(B603,"" "")"),"Krishna")</f>
        <v>Krishna</v>
      </c>
      <c r="G603" s="3" t="str">
        <f>IFERROR(__xludf.DUMMYFUNCTION("""COMPUTED_VALUE"""),"Jain")</f>
        <v>Jain</v>
      </c>
      <c r="H603" s="3" t="s">
        <v>25</v>
      </c>
      <c r="I603" s="3">
        <v>2025.0</v>
      </c>
      <c r="J603" s="3">
        <f t="shared" si="2"/>
        <v>10000</v>
      </c>
      <c r="K603" s="3" t="s">
        <v>20</v>
      </c>
      <c r="L603" s="3">
        <v>0.0</v>
      </c>
      <c r="M603" s="3" t="s">
        <v>21</v>
      </c>
      <c r="N603" s="3">
        <v>49.0</v>
      </c>
      <c r="O603" s="3" t="s">
        <v>22</v>
      </c>
      <c r="P603" s="3" t="s">
        <v>78</v>
      </c>
      <c r="Q603" s="6">
        <f t="shared" si="3"/>
        <v>255000</v>
      </c>
    </row>
    <row r="604">
      <c r="A604" s="3">
        <v>65287.0</v>
      </c>
      <c r="B604" s="3" t="s">
        <v>552</v>
      </c>
      <c r="C604" s="3" t="s">
        <v>18</v>
      </c>
      <c r="D604" s="4" t="str">
        <f t="shared" si="1"/>
        <v>Mr.</v>
      </c>
      <c r="E604" s="3" t="str">
        <f t="shared" si="4"/>
        <v>Mr. Krishna Agarwal</v>
      </c>
      <c r="F604" s="3" t="str">
        <f>IFERROR(__xludf.DUMMYFUNCTION("SPLIT(B604,"" "")"),"Krishna")</f>
        <v>Krishna</v>
      </c>
      <c r="G604" s="3" t="str">
        <f>IFERROR(__xludf.DUMMYFUNCTION("""COMPUTED_VALUE"""),"Agarwal")</f>
        <v>Agarwal</v>
      </c>
      <c r="H604" s="3" t="s">
        <v>19</v>
      </c>
      <c r="I604" s="3">
        <v>2028.0</v>
      </c>
      <c r="J604" s="3">
        <f t="shared" si="2"/>
        <v>5000</v>
      </c>
      <c r="K604" s="3" t="s">
        <v>20</v>
      </c>
      <c r="L604" s="3">
        <v>0.0</v>
      </c>
      <c r="M604" s="3" t="s">
        <v>21</v>
      </c>
      <c r="N604" s="3">
        <f>RANDBETWEEN(0,10)</f>
        <v>5</v>
      </c>
      <c r="O604" s="3" t="s">
        <v>41</v>
      </c>
      <c r="P604" s="3" t="s">
        <v>38</v>
      </c>
      <c r="Q604" s="6">
        <f t="shared" si="3"/>
        <v>635000</v>
      </c>
    </row>
    <row r="605">
      <c r="A605" s="3">
        <v>65288.0</v>
      </c>
      <c r="B605" s="3" t="s">
        <v>553</v>
      </c>
      <c r="C605" s="3" t="s">
        <v>35</v>
      </c>
      <c r="D605" s="4" t="str">
        <f t="shared" si="1"/>
        <v>Ms.</v>
      </c>
      <c r="E605" s="3" t="str">
        <f t="shared" si="4"/>
        <v>Ms. Mishka Rao</v>
      </c>
      <c r="F605" s="3" t="str">
        <f>IFERROR(__xludf.DUMMYFUNCTION("SPLIT(B605,"" "")"),"Mishka")</f>
        <v>Mishka</v>
      </c>
      <c r="G605" s="3" t="str">
        <f>IFERROR(__xludf.DUMMYFUNCTION("""COMPUTED_VALUE"""),"Rao")</f>
        <v>Rao</v>
      </c>
      <c r="H605" s="3" t="s">
        <v>25</v>
      </c>
      <c r="I605" s="3">
        <v>2024.0</v>
      </c>
      <c r="J605" s="3">
        <f t="shared" si="2"/>
        <v>10000</v>
      </c>
      <c r="K605" s="3" t="s">
        <v>20</v>
      </c>
      <c r="L605" s="3">
        <v>0.0</v>
      </c>
      <c r="M605" s="3" t="s">
        <v>21</v>
      </c>
      <c r="N605" s="3">
        <v>56.0</v>
      </c>
      <c r="O605" s="3" t="s">
        <v>22</v>
      </c>
      <c r="P605" s="3" t="s">
        <v>31</v>
      </c>
      <c r="Q605" s="6">
        <f t="shared" si="3"/>
        <v>910000</v>
      </c>
    </row>
    <row r="606">
      <c r="A606" s="3">
        <v>65294.0</v>
      </c>
      <c r="B606" s="3" t="s">
        <v>554</v>
      </c>
      <c r="C606" s="3" t="s">
        <v>35</v>
      </c>
      <c r="D606" s="4" t="str">
        <f t="shared" si="1"/>
        <v>Ms.</v>
      </c>
      <c r="E606" s="3" t="str">
        <f t="shared" si="4"/>
        <v>Ms. Avni Singh</v>
      </c>
      <c r="F606" s="3" t="str">
        <f>IFERROR(__xludf.DUMMYFUNCTION("SPLIT(B606,"" "")"),"Avni")</f>
        <v>Avni</v>
      </c>
      <c r="G606" s="3" t="str">
        <f>IFERROR(__xludf.DUMMYFUNCTION("""COMPUTED_VALUE"""),"Singh")</f>
        <v>Singh</v>
      </c>
      <c r="H606" s="3" t="s">
        <v>46</v>
      </c>
      <c r="I606" s="3">
        <v>2021.0</v>
      </c>
      <c r="J606" s="3">
        <f t="shared" si="2"/>
        <v>5000</v>
      </c>
      <c r="K606" s="3" t="s">
        <v>20</v>
      </c>
      <c r="L606" s="3">
        <v>0.0</v>
      </c>
      <c r="M606" s="3" t="s">
        <v>30</v>
      </c>
      <c r="N606" s="3">
        <f>RANDBETWEEN(0,10)</f>
        <v>5</v>
      </c>
      <c r="O606" s="3" t="s">
        <v>22</v>
      </c>
      <c r="P606" s="3" t="s">
        <v>78</v>
      </c>
      <c r="Q606" s="6">
        <f t="shared" si="3"/>
        <v>255000</v>
      </c>
    </row>
    <row r="607">
      <c r="A607" s="3">
        <v>65295.0</v>
      </c>
      <c r="B607" s="3" t="s">
        <v>555</v>
      </c>
      <c r="C607" s="3" t="s">
        <v>18</v>
      </c>
      <c r="D607" s="4" t="str">
        <f t="shared" si="1"/>
        <v>Mr.</v>
      </c>
      <c r="E607" s="3" t="str">
        <f t="shared" si="4"/>
        <v>Mr. Arjun Thakur</v>
      </c>
      <c r="F607" s="3" t="str">
        <f>IFERROR(__xludf.DUMMYFUNCTION("SPLIT(B607,"" "")"),"Arjun")</f>
        <v>Arjun</v>
      </c>
      <c r="G607" s="3" t="str">
        <f>IFERROR(__xludf.DUMMYFUNCTION("""COMPUTED_VALUE"""),"Thakur")</f>
        <v>Thakur</v>
      </c>
      <c r="H607" s="3" t="s">
        <v>33</v>
      </c>
      <c r="I607" s="3">
        <v>2025.0</v>
      </c>
      <c r="J607" s="3">
        <f t="shared" si="2"/>
        <v>10000</v>
      </c>
      <c r="K607" s="3" t="s">
        <v>20</v>
      </c>
      <c r="L607" s="3">
        <v>0.0</v>
      </c>
      <c r="M607" s="3" t="s">
        <v>21</v>
      </c>
      <c r="N607" s="3">
        <v>11.0</v>
      </c>
      <c r="O607" s="3" t="s">
        <v>41</v>
      </c>
      <c r="P607" s="3" t="s">
        <v>31</v>
      </c>
      <c r="Q607" s="6">
        <f t="shared" si="3"/>
        <v>910000</v>
      </c>
    </row>
    <row r="608">
      <c r="A608" s="3">
        <v>65296.0</v>
      </c>
      <c r="B608" s="3" t="s">
        <v>556</v>
      </c>
      <c r="C608" s="3" t="s">
        <v>35</v>
      </c>
      <c r="D608" s="4" t="str">
        <f t="shared" si="1"/>
        <v>Ms.</v>
      </c>
      <c r="E608" s="3" t="str">
        <f t="shared" si="4"/>
        <v>Ms. Shanaya Bhatt</v>
      </c>
      <c r="F608" s="3" t="str">
        <f>IFERROR(__xludf.DUMMYFUNCTION("SPLIT(B608,"" "")"),"Shanaya")</f>
        <v>Shanaya</v>
      </c>
      <c r="G608" s="3" t="str">
        <f>IFERROR(__xludf.DUMMYFUNCTION("""COMPUTED_VALUE"""),"Bhatt")</f>
        <v>Bhatt</v>
      </c>
      <c r="H608" s="3" t="s">
        <v>46</v>
      </c>
      <c r="I608" s="3">
        <v>2024.0</v>
      </c>
      <c r="J608" s="3">
        <f t="shared" si="2"/>
        <v>5000</v>
      </c>
      <c r="K608" s="3" t="s">
        <v>20</v>
      </c>
      <c r="L608" s="3">
        <v>0.0</v>
      </c>
      <c r="M608" s="3" t="s">
        <v>21</v>
      </c>
      <c r="N608" s="3">
        <v>64.0</v>
      </c>
      <c r="O608" s="3" t="s">
        <v>22</v>
      </c>
      <c r="P608" s="3" t="s">
        <v>31</v>
      </c>
      <c r="Q608" s="6">
        <f t="shared" si="3"/>
        <v>910000</v>
      </c>
    </row>
    <row r="609">
      <c r="A609" s="3">
        <v>65297.0</v>
      </c>
      <c r="B609" s="3" t="s">
        <v>557</v>
      </c>
      <c r="C609" s="3" t="s">
        <v>35</v>
      </c>
      <c r="D609" s="4" t="str">
        <f t="shared" si="1"/>
        <v>Ms.</v>
      </c>
      <c r="E609" s="3" t="str">
        <f t="shared" si="4"/>
        <v>Ms. Aaradhya Thakur</v>
      </c>
      <c r="F609" s="3" t="str">
        <f>IFERROR(__xludf.DUMMYFUNCTION("SPLIT(B609,"" "")"),"Aaradhya")</f>
        <v>Aaradhya</v>
      </c>
      <c r="G609" s="3" t="str">
        <f>IFERROR(__xludf.DUMMYFUNCTION("""COMPUTED_VALUE"""),"Thakur")</f>
        <v>Thakur</v>
      </c>
      <c r="H609" s="3" t="s">
        <v>25</v>
      </c>
      <c r="I609" s="3">
        <v>2025.0</v>
      </c>
      <c r="J609" s="3">
        <f t="shared" si="2"/>
        <v>10000</v>
      </c>
      <c r="K609" s="3" t="s">
        <v>26</v>
      </c>
      <c r="L609" s="3">
        <v>12804.0</v>
      </c>
      <c r="M609" s="3" t="s">
        <v>30</v>
      </c>
      <c r="N609" s="3">
        <v>13.0</v>
      </c>
      <c r="O609" s="3" t="s">
        <v>22</v>
      </c>
      <c r="P609" s="3" t="s">
        <v>38</v>
      </c>
      <c r="Q609" s="6">
        <f t="shared" si="3"/>
        <v>635000</v>
      </c>
    </row>
    <row r="610">
      <c r="A610" s="3">
        <v>65298.0</v>
      </c>
      <c r="B610" s="3" t="s">
        <v>184</v>
      </c>
      <c r="C610" s="3" t="s">
        <v>35</v>
      </c>
      <c r="D610" s="4" t="str">
        <f t="shared" si="1"/>
        <v>Ms.</v>
      </c>
      <c r="E610" s="3" t="str">
        <f t="shared" si="4"/>
        <v>Ms. Inaaya Reddy</v>
      </c>
      <c r="F610" s="3" t="str">
        <f>IFERROR(__xludf.DUMMYFUNCTION("SPLIT(B610,"" "")"),"Inaaya")</f>
        <v>Inaaya</v>
      </c>
      <c r="G610" s="3" t="str">
        <f>IFERROR(__xludf.DUMMYFUNCTION("""COMPUTED_VALUE"""),"Reddy")</f>
        <v>Reddy</v>
      </c>
      <c r="H610" s="3" t="s">
        <v>33</v>
      </c>
      <c r="I610" s="3">
        <v>2027.0</v>
      </c>
      <c r="J610" s="3">
        <f t="shared" si="2"/>
        <v>10000</v>
      </c>
      <c r="K610" s="3" t="s">
        <v>26</v>
      </c>
      <c r="L610" s="3">
        <v>2381.0</v>
      </c>
      <c r="M610" s="3" t="s">
        <v>21</v>
      </c>
      <c r="N610" s="3">
        <f>RANDBETWEEN(0,10)</f>
        <v>9</v>
      </c>
      <c r="O610" s="3" t="s">
        <v>22</v>
      </c>
      <c r="P610" s="3" t="s">
        <v>28</v>
      </c>
      <c r="Q610" s="6">
        <f t="shared" si="3"/>
        <v>400000</v>
      </c>
    </row>
    <row r="611">
      <c r="A611" s="3">
        <v>65299.0</v>
      </c>
      <c r="B611" s="3" t="s">
        <v>558</v>
      </c>
      <c r="C611" s="3" t="s">
        <v>18</v>
      </c>
      <c r="D611" s="4" t="str">
        <f t="shared" si="1"/>
        <v>Mr.</v>
      </c>
      <c r="E611" s="3" t="str">
        <f t="shared" si="4"/>
        <v>Mr. Aarav Kumar</v>
      </c>
      <c r="F611" s="3" t="str">
        <f>IFERROR(__xludf.DUMMYFUNCTION("SPLIT(B611,"" "")"),"Aarav")</f>
        <v>Aarav</v>
      </c>
      <c r="G611" s="3" t="str">
        <f>IFERROR(__xludf.DUMMYFUNCTION("""COMPUTED_VALUE"""),"Kumar")</f>
        <v>Kumar</v>
      </c>
      <c r="H611" s="3" t="s">
        <v>25</v>
      </c>
      <c r="I611" s="3">
        <v>2024.0</v>
      </c>
      <c r="J611" s="3">
        <f t="shared" si="2"/>
        <v>10000</v>
      </c>
      <c r="K611" s="3" t="s">
        <v>20</v>
      </c>
      <c r="L611" s="3">
        <v>0.0</v>
      </c>
      <c r="M611" s="3" t="s">
        <v>21</v>
      </c>
      <c r="N611" s="3">
        <v>53.0</v>
      </c>
      <c r="O611" s="3" t="s">
        <v>22</v>
      </c>
      <c r="P611" s="3" t="s">
        <v>28</v>
      </c>
      <c r="Q611" s="6">
        <f t="shared" si="3"/>
        <v>400000</v>
      </c>
    </row>
    <row r="612">
      <c r="A612" s="3">
        <v>65300.0</v>
      </c>
      <c r="B612" s="3" t="s">
        <v>155</v>
      </c>
      <c r="C612" s="3" t="s">
        <v>18</v>
      </c>
      <c r="D612" s="4" t="str">
        <f t="shared" si="1"/>
        <v>Mr.</v>
      </c>
      <c r="E612" s="3" t="str">
        <f t="shared" si="4"/>
        <v>Mr. Om Kulkarni</v>
      </c>
      <c r="F612" s="3" t="str">
        <f>IFERROR(__xludf.DUMMYFUNCTION("SPLIT(B612,"" "")"),"Om")</f>
        <v>Om</v>
      </c>
      <c r="G612" s="3" t="str">
        <f>IFERROR(__xludf.DUMMYFUNCTION("""COMPUTED_VALUE"""),"Kulkarni")</f>
        <v>Kulkarni</v>
      </c>
      <c r="H612" s="3" t="s">
        <v>19</v>
      </c>
      <c r="I612" s="3">
        <v>2024.0</v>
      </c>
      <c r="J612" s="3">
        <f t="shared" si="2"/>
        <v>5000</v>
      </c>
      <c r="K612" s="3" t="s">
        <v>26</v>
      </c>
      <c r="L612" s="3">
        <v>16040.0</v>
      </c>
      <c r="M612" s="3" t="s">
        <v>21</v>
      </c>
      <c r="N612" s="3">
        <v>36.0</v>
      </c>
      <c r="O612" s="3" t="s">
        <v>22</v>
      </c>
      <c r="P612" s="3" t="s">
        <v>78</v>
      </c>
      <c r="Q612" s="6">
        <f t="shared" si="3"/>
        <v>255000</v>
      </c>
    </row>
    <row r="613">
      <c r="A613" s="3">
        <v>65301.0</v>
      </c>
      <c r="B613" s="3" t="s">
        <v>559</v>
      </c>
      <c r="C613" s="3" t="s">
        <v>35</v>
      </c>
      <c r="D613" s="4" t="str">
        <f t="shared" si="1"/>
        <v>Ms.</v>
      </c>
      <c r="E613" s="3" t="str">
        <f t="shared" si="4"/>
        <v>Ms. Inaaya Rao</v>
      </c>
      <c r="F613" s="3" t="str">
        <f>IFERROR(__xludf.DUMMYFUNCTION("SPLIT(B613,"" "")"),"Inaaya")</f>
        <v>Inaaya</v>
      </c>
      <c r="G613" s="3" t="str">
        <f>IFERROR(__xludf.DUMMYFUNCTION("""COMPUTED_VALUE"""),"Rao")</f>
        <v>Rao</v>
      </c>
      <c r="H613" s="3" t="s">
        <v>19</v>
      </c>
      <c r="I613" s="3">
        <v>2025.0</v>
      </c>
      <c r="J613" s="3">
        <f t="shared" si="2"/>
        <v>5000</v>
      </c>
      <c r="K613" s="3" t="s">
        <v>20</v>
      </c>
      <c r="L613" s="3">
        <v>0.0</v>
      </c>
      <c r="M613" s="3" t="s">
        <v>21</v>
      </c>
      <c r="N613" s="3">
        <v>63.0</v>
      </c>
      <c r="O613" s="3" t="s">
        <v>41</v>
      </c>
      <c r="P613" s="3" t="s">
        <v>78</v>
      </c>
      <c r="Q613" s="6">
        <f t="shared" si="3"/>
        <v>255000</v>
      </c>
    </row>
    <row r="614">
      <c r="A614" s="3">
        <v>65304.0</v>
      </c>
      <c r="B614" s="3" t="s">
        <v>133</v>
      </c>
      <c r="C614" s="3" t="s">
        <v>35</v>
      </c>
      <c r="D614" s="4" t="str">
        <f t="shared" si="1"/>
        <v>Ms.</v>
      </c>
      <c r="E614" s="3" t="str">
        <f t="shared" si="4"/>
        <v>Ms. Ira Sinha</v>
      </c>
      <c r="F614" s="3" t="str">
        <f>IFERROR(__xludf.DUMMYFUNCTION("SPLIT(B614,"" "")"),"Ira")</f>
        <v>Ira</v>
      </c>
      <c r="G614" s="3" t="str">
        <f>IFERROR(__xludf.DUMMYFUNCTION("""COMPUTED_VALUE"""),"Sinha")</f>
        <v>Sinha</v>
      </c>
      <c r="H614" s="3" t="s">
        <v>33</v>
      </c>
      <c r="I614" s="3">
        <v>2024.0</v>
      </c>
      <c r="J614" s="3">
        <f t="shared" si="2"/>
        <v>10000</v>
      </c>
      <c r="K614" s="3" t="s">
        <v>20</v>
      </c>
      <c r="L614" s="3">
        <v>0.0</v>
      </c>
      <c r="M614" s="3" t="s">
        <v>21</v>
      </c>
      <c r="N614" s="3">
        <v>43.0</v>
      </c>
      <c r="O614" s="3" t="s">
        <v>22</v>
      </c>
      <c r="P614" s="3" t="s">
        <v>78</v>
      </c>
      <c r="Q614" s="6">
        <f t="shared" si="3"/>
        <v>255000</v>
      </c>
    </row>
    <row r="615">
      <c r="A615" s="3">
        <v>65305.0</v>
      </c>
      <c r="B615" s="3" t="s">
        <v>560</v>
      </c>
      <c r="C615" s="3" t="s">
        <v>35</v>
      </c>
      <c r="D615" s="4" t="str">
        <f t="shared" si="1"/>
        <v>Ms.</v>
      </c>
      <c r="E615" s="3" t="str">
        <f t="shared" si="4"/>
        <v>Ms. Myra Kumar</v>
      </c>
      <c r="F615" s="3" t="str">
        <f>IFERROR(__xludf.DUMMYFUNCTION("SPLIT(B615,"" "")"),"Myra")</f>
        <v>Myra</v>
      </c>
      <c r="G615" s="3" t="str">
        <f>IFERROR(__xludf.DUMMYFUNCTION("""COMPUTED_VALUE"""),"Kumar")</f>
        <v>Kumar</v>
      </c>
      <c r="H615" s="3" t="s">
        <v>25</v>
      </c>
      <c r="I615" s="3">
        <v>2022.0</v>
      </c>
      <c r="J615" s="3">
        <f t="shared" si="2"/>
        <v>10000</v>
      </c>
      <c r="K615" s="3" t="s">
        <v>20</v>
      </c>
      <c r="L615" s="3">
        <v>0.0</v>
      </c>
      <c r="M615" s="3" t="s">
        <v>21</v>
      </c>
      <c r="N615" s="3">
        <v>64.0</v>
      </c>
      <c r="O615" s="3" t="s">
        <v>22</v>
      </c>
      <c r="P615" s="3" t="s">
        <v>28</v>
      </c>
      <c r="Q615" s="6">
        <f t="shared" si="3"/>
        <v>400000</v>
      </c>
    </row>
    <row r="616">
      <c r="A616" s="3">
        <v>65306.0</v>
      </c>
      <c r="B616" s="3" t="s">
        <v>326</v>
      </c>
      <c r="C616" s="3" t="s">
        <v>35</v>
      </c>
      <c r="D616" s="4" t="str">
        <f t="shared" si="1"/>
        <v>Ms.</v>
      </c>
      <c r="E616" s="3" t="str">
        <f t="shared" si="4"/>
        <v>Ms. Mahira Sinha</v>
      </c>
      <c r="F616" s="3" t="str">
        <f>IFERROR(__xludf.DUMMYFUNCTION("SPLIT(B616,"" "")"),"Mahira")</f>
        <v>Mahira</v>
      </c>
      <c r="G616" s="3" t="str">
        <f>IFERROR(__xludf.DUMMYFUNCTION("""COMPUTED_VALUE"""),"Sinha")</f>
        <v>Sinha</v>
      </c>
      <c r="H616" s="3" t="s">
        <v>19</v>
      </c>
      <c r="I616" s="3">
        <v>2017.0</v>
      </c>
      <c r="J616" s="3">
        <f t="shared" si="2"/>
        <v>5000</v>
      </c>
      <c r="K616" s="3" t="s">
        <v>26</v>
      </c>
      <c r="L616" s="3">
        <v>3964.0</v>
      </c>
      <c r="M616" s="3" t="s">
        <v>21</v>
      </c>
      <c r="N616" s="3">
        <v>48.0</v>
      </c>
      <c r="O616" s="3" t="s">
        <v>22</v>
      </c>
      <c r="P616" s="3" t="s">
        <v>38</v>
      </c>
      <c r="Q616" s="6">
        <f t="shared" si="3"/>
        <v>635000</v>
      </c>
    </row>
    <row r="617">
      <c r="A617" s="3">
        <v>65307.0</v>
      </c>
      <c r="B617" s="3" t="s">
        <v>389</v>
      </c>
      <c r="C617" s="3" t="s">
        <v>35</v>
      </c>
      <c r="D617" s="4" t="str">
        <f t="shared" si="1"/>
        <v>Ms.</v>
      </c>
      <c r="E617" s="3" t="str">
        <f t="shared" si="4"/>
        <v>Ms. Saanvi Patel</v>
      </c>
      <c r="F617" s="3" t="str">
        <f>IFERROR(__xludf.DUMMYFUNCTION("SPLIT(B617,"" "")"),"Saanvi")</f>
        <v>Saanvi</v>
      </c>
      <c r="G617" s="3" t="str">
        <f>IFERROR(__xludf.DUMMYFUNCTION("""COMPUTED_VALUE"""),"Patel")</f>
        <v>Patel</v>
      </c>
      <c r="H617" s="3" t="s">
        <v>25</v>
      </c>
      <c r="I617" s="3">
        <v>2026.0</v>
      </c>
      <c r="J617" s="3">
        <f t="shared" si="2"/>
        <v>10000</v>
      </c>
      <c r="K617" s="3" t="s">
        <v>20</v>
      </c>
      <c r="L617" s="3">
        <v>419.0</v>
      </c>
      <c r="M617" s="3" t="s">
        <v>21</v>
      </c>
      <c r="N617" s="3">
        <v>19.0</v>
      </c>
      <c r="O617" s="3" t="s">
        <v>41</v>
      </c>
      <c r="P617" s="3" t="s">
        <v>31</v>
      </c>
      <c r="Q617" s="6">
        <f t="shared" si="3"/>
        <v>910000</v>
      </c>
    </row>
    <row r="618">
      <c r="A618" s="3">
        <v>65308.0</v>
      </c>
      <c r="B618" s="3" t="s">
        <v>561</v>
      </c>
      <c r="C618" s="3" t="s">
        <v>18</v>
      </c>
      <c r="D618" s="4" t="str">
        <f t="shared" si="1"/>
        <v>Mr.</v>
      </c>
      <c r="E618" s="3" t="str">
        <f t="shared" si="4"/>
        <v>Mr. Raghav Sinha</v>
      </c>
      <c r="F618" s="3" t="str">
        <f>IFERROR(__xludf.DUMMYFUNCTION("SPLIT(B618,"" "")"),"Raghav")</f>
        <v>Raghav</v>
      </c>
      <c r="G618" s="3" t="str">
        <f>IFERROR(__xludf.DUMMYFUNCTION("""COMPUTED_VALUE"""),"Sinha")</f>
        <v>Sinha</v>
      </c>
      <c r="H618" s="3" t="s">
        <v>33</v>
      </c>
      <c r="I618" s="3">
        <v>2019.0</v>
      </c>
      <c r="J618" s="3">
        <f t="shared" si="2"/>
        <v>10000</v>
      </c>
      <c r="K618" s="3" t="s">
        <v>20</v>
      </c>
      <c r="L618" s="10">
        <v>4124.0</v>
      </c>
      <c r="M618" s="3" t="s">
        <v>30</v>
      </c>
      <c r="N618" s="3">
        <v>77.0</v>
      </c>
      <c r="O618" s="3" t="s">
        <v>22</v>
      </c>
      <c r="P618" s="3" t="s">
        <v>38</v>
      </c>
      <c r="Q618" s="6">
        <f t="shared" si="3"/>
        <v>635000</v>
      </c>
    </row>
    <row r="619">
      <c r="A619" s="3">
        <v>65309.0</v>
      </c>
      <c r="B619" s="3" t="s">
        <v>98</v>
      </c>
      <c r="C619" s="3" t="s">
        <v>35</v>
      </c>
      <c r="D619" s="4" t="str">
        <f t="shared" si="1"/>
        <v>Ms.</v>
      </c>
      <c r="E619" s="3" t="str">
        <f t="shared" si="4"/>
        <v>Ms. Kyra Verma</v>
      </c>
      <c r="F619" s="3" t="str">
        <f>IFERROR(__xludf.DUMMYFUNCTION("SPLIT(B619,"" "")"),"Kyra")</f>
        <v>Kyra</v>
      </c>
      <c r="G619" s="3" t="str">
        <f>IFERROR(__xludf.DUMMYFUNCTION("""COMPUTED_VALUE"""),"Verma")</f>
        <v>Verma</v>
      </c>
      <c r="H619" s="3" t="s">
        <v>25</v>
      </c>
      <c r="I619" s="3">
        <v>2025.0</v>
      </c>
      <c r="J619" s="3">
        <f t="shared" si="2"/>
        <v>10000</v>
      </c>
      <c r="K619" s="3" t="s">
        <v>20</v>
      </c>
      <c r="L619" s="3">
        <v>0.0</v>
      </c>
      <c r="M619" s="3" t="s">
        <v>21</v>
      </c>
      <c r="N619" s="3">
        <v>22.0</v>
      </c>
      <c r="O619" s="3" t="s">
        <v>22</v>
      </c>
      <c r="P619" s="3" t="s">
        <v>78</v>
      </c>
      <c r="Q619" s="6">
        <f t="shared" si="3"/>
        <v>255000</v>
      </c>
    </row>
    <row r="620">
      <c r="A620" s="3">
        <v>65310.0</v>
      </c>
      <c r="B620" s="3" t="s">
        <v>562</v>
      </c>
      <c r="C620" s="3" t="s">
        <v>35</v>
      </c>
      <c r="D620" s="4" t="str">
        <f t="shared" si="1"/>
        <v>Ms.</v>
      </c>
      <c r="E620" s="3" t="str">
        <f t="shared" si="4"/>
        <v>Ms. Vanya Joshi</v>
      </c>
      <c r="F620" s="3" t="str">
        <f>IFERROR(__xludf.DUMMYFUNCTION("SPLIT(B620,"" "")"),"Vanya")</f>
        <v>Vanya</v>
      </c>
      <c r="G620" s="3" t="str">
        <f>IFERROR(__xludf.DUMMYFUNCTION("""COMPUTED_VALUE"""),"Joshi")</f>
        <v>Joshi</v>
      </c>
      <c r="H620" s="3" t="s">
        <v>25</v>
      </c>
      <c r="I620" s="3">
        <v>2012.0</v>
      </c>
      <c r="J620" s="3">
        <f t="shared" si="2"/>
        <v>10000</v>
      </c>
      <c r="K620" s="3" t="s">
        <v>20</v>
      </c>
      <c r="L620" s="3">
        <v>0.0</v>
      </c>
      <c r="M620" s="3" t="s">
        <v>21</v>
      </c>
      <c r="N620" s="3">
        <v>29.0</v>
      </c>
      <c r="O620" s="3" t="s">
        <v>22</v>
      </c>
      <c r="P620" s="3" t="s">
        <v>31</v>
      </c>
      <c r="Q620" s="6">
        <f t="shared" si="3"/>
        <v>910000</v>
      </c>
    </row>
    <row r="621">
      <c r="A621" s="3">
        <v>65311.0</v>
      </c>
      <c r="B621" s="3" t="s">
        <v>563</v>
      </c>
      <c r="C621" s="3" t="s">
        <v>18</v>
      </c>
      <c r="D621" s="4" t="str">
        <f t="shared" si="1"/>
        <v>Mr.</v>
      </c>
      <c r="E621" s="3" t="str">
        <f t="shared" si="4"/>
        <v>Mr. Reyansh Pillai</v>
      </c>
      <c r="F621" s="3" t="str">
        <f>IFERROR(__xludf.DUMMYFUNCTION("SPLIT(B621,"" "")"),"Reyansh")</f>
        <v>Reyansh</v>
      </c>
      <c r="G621" s="3" t="str">
        <f>IFERROR(__xludf.DUMMYFUNCTION("""COMPUTED_VALUE"""),"Pillai")</f>
        <v>Pillai</v>
      </c>
      <c r="H621" s="3" t="s">
        <v>19</v>
      </c>
      <c r="I621" s="3">
        <v>2024.0</v>
      </c>
      <c r="J621" s="3">
        <f t="shared" si="2"/>
        <v>5000</v>
      </c>
      <c r="K621" s="3" t="s">
        <v>20</v>
      </c>
      <c r="L621" s="3">
        <v>0.0</v>
      </c>
      <c r="M621" s="3" t="s">
        <v>21</v>
      </c>
      <c r="N621" s="3">
        <f>RANDBETWEEN(0,10)</f>
        <v>3</v>
      </c>
      <c r="O621" s="3" t="s">
        <v>22</v>
      </c>
      <c r="P621" s="3" t="s">
        <v>78</v>
      </c>
      <c r="Q621" s="6">
        <f t="shared" si="3"/>
        <v>255000</v>
      </c>
    </row>
    <row r="622">
      <c r="A622" s="3">
        <v>65312.0</v>
      </c>
      <c r="B622" s="3" t="s">
        <v>222</v>
      </c>
      <c r="C622" s="3" t="s">
        <v>35</v>
      </c>
      <c r="D622" s="4" t="str">
        <f t="shared" si="1"/>
        <v>Ms.</v>
      </c>
      <c r="E622" s="3" t="str">
        <f t="shared" si="4"/>
        <v>Ms. Diya Rao</v>
      </c>
      <c r="F622" s="3" t="str">
        <f>IFERROR(__xludf.DUMMYFUNCTION("SPLIT(B622,"" "")"),"Diya")</f>
        <v>Diya</v>
      </c>
      <c r="G622" s="3" t="str">
        <f>IFERROR(__xludf.DUMMYFUNCTION("""COMPUTED_VALUE"""),"Rao")</f>
        <v>Rao</v>
      </c>
      <c r="H622" s="3" t="s">
        <v>25</v>
      </c>
      <c r="I622" s="3">
        <v>2022.0</v>
      </c>
      <c r="J622" s="3">
        <f t="shared" si="2"/>
        <v>10000</v>
      </c>
      <c r="K622" s="3" t="s">
        <v>26</v>
      </c>
      <c r="L622" s="3">
        <v>8612.0</v>
      </c>
      <c r="M622" s="3" t="s">
        <v>21</v>
      </c>
      <c r="N622" s="3">
        <v>76.0</v>
      </c>
      <c r="O622" s="3" t="s">
        <v>22</v>
      </c>
      <c r="P622" s="3" t="s">
        <v>38</v>
      </c>
      <c r="Q622" s="6">
        <f t="shared" si="3"/>
        <v>635000</v>
      </c>
    </row>
    <row r="623">
      <c r="A623" s="3">
        <v>65313.0</v>
      </c>
      <c r="B623" s="3" t="s">
        <v>564</v>
      </c>
      <c r="C623" s="3" t="s">
        <v>18</v>
      </c>
      <c r="D623" s="4" t="str">
        <f t="shared" si="1"/>
        <v>Mr.</v>
      </c>
      <c r="E623" s="3" t="str">
        <f t="shared" si="4"/>
        <v>Mr. Siddharth Naidu</v>
      </c>
      <c r="F623" s="3" t="str">
        <f>IFERROR(__xludf.DUMMYFUNCTION("SPLIT(B623,"" "")"),"Siddharth")</f>
        <v>Siddharth</v>
      </c>
      <c r="G623" s="3" t="str">
        <f>IFERROR(__xludf.DUMMYFUNCTION("""COMPUTED_VALUE"""),"Naidu")</f>
        <v>Naidu</v>
      </c>
      <c r="H623" s="3" t="s">
        <v>33</v>
      </c>
      <c r="I623" s="3">
        <v>2016.0</v>
      </c>
      <c r="J623" s="3">
        <f t="shared" si="2"/>
        <v>10000</v>
      </c>
      <c r="K623" s="3" t="s">
        <v>26</v>
      </c>
      <c r="L623" s="3">
        <v>6537.0</v>
      </c>
      <c r="M623" s="3" t="s">
        <v>21</v>
      </c>
      <c r="N623" s="3">
        <v>79.0</v>
      </c>
      <c r="O623" s="3" t="s">
        <v>22</v>
      </c>
      <c r="P623" s="3" t="s">
        <v>78</v>
      </c>
      <c r="Q623" s="6">
        <f t="shared" si="3"/>
        <v>255000</v>
      </c>
    </row>
    <row r="624">
      <c r="A624" s="3">
        <v>65314.0</v>
      </c>
      <c r="B624" s="3" t="s">
        <v>565</v>
      </c>
      <c r="C624" s="3" t="s">
        <v>35</v>
      </c>
      <c r="D624" s="4" t="str">
        <f t="shared" si="1"/>
        <v>Ms.</v>
      </c>
      <c r="E624" s="3" t="str">
        <f t="shared" si="4"/>
        <v>Ms. Aaradhya Joshi</v>
      </c>
      <c r="F624" s="3" t="str">
        <f>IFERROR(__xludf.DUMMYFUNCTION("SPLIT(B624,"" "")"),"Aaradhya")</f>
        <v>Aaradhya</v>
      </c>
      <c r="G624" s="3" t="str">
        <f>IFERROR(__xludf.DUMMYFUNCTION("""COMPUTED_VALUE"""),"Joshi")</f>
        <v>Joshi</v>
      </c>
      <c r="H624" s="3" t="s">
        <v>25</v>
      </c>
      <c r="I624" s="3">
        <v>2025.0</v>
      </c>
      <c r="J624" s="3">
        <f t="shared" si="2"/>
        <v>10000</v>
      </c>
      <c r="K624" s="3" t="s">
        <v>20</v>
      </c>
      <c r="L624" s="3">
        <v>219.0</v>
      </c>
      <c r="M624" s="3" t="s">
        <v>21</v>
      </c>
      <c r="N624" s="3">
        <v>7.0</v>
      </c>
      <c r="O624" s="3" t="s">
        <v>41</v>
      </c>
      <c r="P624" s="3" t="s">
        <v>78</v>
      </c>
      <c r="Q624" s="6">
        <f t="shared" si="3"/>
        <v>255000</v>
      </c>
    </row>
    <row r="625">
      <c r="A625" s="3">
        <v>65315.0</v>
      </c>
      <c r="B625" s="3" t="s">
        <v>566</v>
      </c>
      <c r="C625" s="3" t="s">
        <v>18</v>
      </c>
      <c r="D625" s="4" t="str">
        <f t="shared" si="1"/>
        <v>Mr.</v>
      </c>
      <c r="E625" s="3" t="str">
        <f t="shared" si="4"/>
        <v>Mr. Vivaan Rao</v>
      </c>
      <c r="F625" s="3" t="str">
        <f>IFERROR(__xludf.DUMMYFUNCTION("SPLIT(B625,"" "")"),"Vivaan")</f>
        <v>Vivaan</v>
      </c>
      <c r="G625" s="3" t="str">
        <f>IFERROR(__xludf.DUMMYFUNCTION("""COMPUTED_VALUE"""),"Rao")</f>
        <v>Rao</v>
      </c>
      <c r="H625" s="3" t="s">
        <v>25</v>
      </c>
      <c r="I625" s="3">
        <v>2017.0</v>
      </c>
      <c r="J625" s="3">
        <f t="shared" si="2"/>
        <v>10000</v>
      </c>
      <c r="K625" s="3" t="s">
        <v>26</v>
      </c>
      <c r="L625" s="3">
        <v>16213.0</v>
      </c>
      <c r="M625" s="3" t="s">
        <v>21</v>
      </c>
      <c r="N625" s="3">
        <f>RANDBETWEEN(0,10)</f>
        <v>9</v>
      </c>
      <c r="O625" s="3" t="s">
        <v>22</v>
      </c>
      <c r="P625" s="3" t="s">
        <v>23</v>
      </c>
      <c r="Q625" s="6">
        <f t="shared" si="3"/>
        <v>430000</v>
      </c>
    </row>
    <row r="626">
      <c r="A626" s="3">
        <v>65316.0</v>
      </c>
      <c r="B626" s="3" t="s">
        <v>567</v>
      </c>
      <c r="C626" s="3" t="s">
        <v>35</v>
      </c>
      <c r="D626" s="4" t="str">
        <f t="shared" si="1"/>
        <v>Ms.</v>
      </c>
      <c r="E626" s="3" t="str">
        <f t="shared" si="4"/>
        <v>Ms. Vanya Kapoor</v>
      </c>
      <c r="F626" s="3" t="str">
        <f>IFERROR(__xludf.DUMMYFUNCTION("SPLIT(B626,"" "")"),"Vanya")</f>
        <v>Vanya</v>
      </c>
      <c r="G626" s="3" t="str">
        <f>IFERROR(__xludf.DUMMYFUNCTION("""COMPUTED_VALUE"""),"Kapoor")</f>
        <v>Kapoor</v>
      </c>
      <c r="H626" s="3" t="s">
        <v>19</v>
      </c>
      <c r="I626" s="3">
        <v>2025.0</v>
      </c>
      <c r="J626" s="3">
        <f t="shared" si="2"/>
        <v>5000</v>
      </c>
      <c r="K626" s="3" t="s">
        <v>20</v>
      </c>
      <c r="L626" s="3">
        <v>0.0</v>
      </c>
      <c r="M626" s="3" t="s">
        <v>21</v>
      </c>
      <c r="N626" s="3">
        <v>39.0</v>
      </c>
      <c r="O626" s="3" t="s">
        <v>41</v>
      </c>
      <c r="P626" s="3" t="s">
        <v>31</v>
      </c>
      <c r="Q626" s="6">
        <f t="shared" si="3"/>
        <v>910000</v>
      </c>
    </row>
    <row r="627">
      <c r="A627" s="3">
        <v>65317.0</v>
      </c>
      <c r="B627" s="3" t="s">
        <v>568</v>
      </c>
      <c r="C627" s="3" t="s">
        <v>35</v>
      </c>
      <c r="D627" s="4" t="str">
        <f t="shared" si="1"/>
        <v>Ms.</v>
      </c>
      <c r="E627" s="3" t="str">
        <f t="shared" si="4"/>
        <v>Ms. Sara Joshi</v>
      </c>
      <c r="F627" s="3" t="str">
        <f>IFERROR(__xludf.DUMMYFUNCTION("SPLIT(B627,"" "")"),"Sara")</f>
        <v>Sara</v>
      </c>
      <c r="G627" s="3" t="str">
        <f>IFERROR(__xludf.DUMMYFUNCTION("""COMPUTED_VALUE"""),"Joshi")</f>
        <v>Joshi</v>
      </c>
      <c r="H627" s="3" t="s">
        <v>19</v>
      </c>
      <c r="I627" s="3">
        <v>2020.0</v>
      </c>
      <c r="J627" s="3">
        <f t="shared" si="2"/>
        <v>5000</v>
      </c>
      <c r="K627" s="3" t="s">
        <v>20</v>
      </c>
      <c r="L627" s="3">
        <v>0.0</v>
      </c>
      <c r="M627" s="3" t="s">
        <v>21</v>
      </c>
      <c r="N627" s="3">
        <v>69.0</v>
      </c>
      <c r="O627" s="3" t="s">
        <v>22</v>
      </c>
      <c r="P627" s="3" t="s">
        <v>28</v>
      </c>
      <c r="Q627" s="6">
        <f t="shared" si="3"/>
        <v>400000</v>
      </c>
    </row>
    <row r="628">
      <c r="A628" s="3">
        <v>65318.0</v>
      </c>
      <c r="B628" s="3" t="s">
        <v>57</v>
      </c>
      <c r="C628" s="3" t="s">
        <v>18</v>
      </c>
      <c r="D628" s="4" t="str">
        <f t="shared" si="1"/>
        <v>Mr.</v>
      </c>
      <c r="E628" s="3" t="str">
        <f t="shared" si="4"/>
        <v>Mr. Vihaan Pillai</v>
      </c>
      <c r="F628" s="3" t="str">
        <f>IFERROR(__xludf.DUMMYFUNCTION("SPLIT(B628,"" "")"),"Vihaan")</f>
        <v>Vihaan</v>
      </c>
      <c r="G628" s="3" t="str">
        <f>IFERROR(__xludf.DUMMYFUNCTION("""COMPUTED_VALUE"""),"Pillai")</f>
        <v>Pillai</v>
      </c>
      <c r="H628" s="3" t="s">
        <v>46</v>
      </c>
      <c r="I628" s="3">
        <v>2023.0</v>
      </c>
      <c r="J628" s="3">
        <f t="shared" si="2"/>
        <v>5000</v>
      </c>
      <c r="K628" s="3" t="s">
        <v>20</v>
      </c>
      <c r="L628" s="3">
        <v>25.0</v>
      </c>
      <c r="M628" s="3" t="s">
        <v>21</v>
      </c>
      <c r="N628" s="3">
        <v>62.0</v>
      </c>
      <c r="O628" s="3" t="s">
        <v>22</v>
      </c>
      <c r="P628" s="3" t="s">
        <v>38</v>
      </c>
      <c r="Q628" s="6">
        <f t="shared" si="3"/>
        <v>635000</v>
      </c>
    </row>
    <row r="629">
      <c r="A629" s="3">
        <v>65319.0</v>
      </c>
      <c r="B629" s="3" t="s">
        <v>125</v>
      </c>
      <c r="C629" s="3" t="s">
        <v>18</v>
      </c>
      <c r="D629" s="4" t="str">
        <f t="shared" si="1"/>
        <v>Mr.</v>
      </c>
      <c r="E629" s="3" t="str">
        <f t="shared" si="4"/>
        <v>Mr. Raghav Patel</v>
      </c>
      <c r="F629" s="3" t="str">
        <f>IFERROR(__xludf.DUMMYFUNCTION("SPLIT(B629,"" "")"),"Raghav")</f>
        <v>Raghav</v>
      </c>
      <c r="G629" s="3" t="str">
        <f>IFERROR(__xludf.DUMMYFUNCTION("""COMPUTED_VALUE"""),"Patel")</f>
        <v>Patel</v>
      </c>
      <c r="H629" s="3" t="s">
        <v>19</v>
      </c>
      <c r="I629" s="3">
        <v>2024.0</v>
      </c>
      <c r="J629" s="3">
        <f t="shared" si="2"/>
        <v>5000</v>
      </c>
      <c r="K629" s="3" t="s">
        <v>20</v>
      </c>
      <c r="L629" s="3">
        <v>364.0</v>
      </c>
      <c r="M629" s="3" t="s">
        <v>21</v>
      </c>
      <c r="N629" s="3">
        <v>30.0</v>
      </c>
      <c r="O629" s="3" t="s">
        <v>41</v>
      </c>
      <c r="P629" s="3" t="s">
        <v>31</v>
      </c>
      <c r="Q629" s="6">
        <f t="shared" si="3"/>
        <v>910000</v>
      </c>
    </row>
    <row r="630">
      <c r="A630" s="3">
        <v>65320.0</v>
      </c>
      <c r="B630" s="3" t="s">
        <v>96</v>
      </c>
      <c r="C630" s="3" t="s">
        <v>18</v>
      </c>
      <c r="D630" s="4" t="str">
        <f t="shared" si="1"/>
        <v>Mr.</v>
      </c>
      <c r="E630" s="3" t="str">
        <f t="shared" si="4"/>
        <v>Mr. Atharv Prasad</v>
      </c>
      <c r="F630" s="3" t="str">
        <f>IFERROR(__xludf.DUMMYFUNCTION("SPLIT(B630,"" "")"),"Atharv")</f>
        <v>Atharv</v>
      </c>
      <c r="G630" s="3" t="str">
        <f>IFERROR(__xludf.DUMMYFUNCTION("""COMPUTED_VALUE"""),"Prasad")</f>
        <v>Prasad</v>
      </c>
      <c r="H630" s="3" t="s">
        <v>46</v>
      </c>
      <c r="I630" s="3">
        <v>2025.0</v>
      </c>
      <c r="J630" s="3">
        <f t="shared" si="2"/>
        <v>5000</v>
      </c>
      <c r="K630" s="3" t="s">
        <v>20</v>
      </c>
      <c r="L630" s="3">
        <v>0.0</v>
      </c>
      <c r="M630" s="3" t="s">
        <v>21</v>
      </c>
      <c r="N630" s="3">
        <v>77.0</v>
      </c>
      <c r="O630" s="3" t="s">
        <v>41</v>
      </c>
      <c r="P630" s="3" t="s">
        <v>31</v>
      </c>
      <c r="Q630" s="6">
        <f t="shared" si="3"/>
        <v>910000</v>
      </c>
    </row>
    <row r="631">
      <c r="A631" s="3">
        <v>65321.0</v>
      </c>
      <c r="B631" s="3" t="s">
        <v>569</v>
      </c>
      <c r="C631" s="3" t="s">
        <v>35</v>
      </c>
      <c r="D631" s="4" t="str">
        <f t="shared" si="1"/>
        <v>Ms.</v>
      </c>
      <c r="E631" s="3" t="str">
        <f t="shared" si="4"/>
        <v>Ms. Manya Mishra</v>
      </c>
      <c r="F631" s="3" t="str">
        <f>IFERROR(__xludf.DUMMYFUNCTION("SPLIT(B631,"" "")"),"Manya")</f>
        <v>Manya</v>
      </c>
      <c r="G631" s="3" t="str">
        <f>IFERROR(__xludf.DUMMYFUNCTION("""COMPUTED_VALUE"""),"Mishra")</f>
        <v>Mishra</v>
      </c>
      <c r="H631" s="3" t="s">
        <v>19</v>
      </c>
      <c r="I631" s="3">
        <v>2024.0</v>
      </c>
      <c r="J631" s="3">
        <f t="shared" si="2"/>
        <v>5000</v>
      </c>
      <c r="K631" s="3" t="s">
        <v>20</v>
      </c>
      <c r="L631" s="3">
        <v>0.0</v>
      </c>
      <c r="M631" s="3" t="s">
        <v>21</v>
      </c>
      <c r="N631" s="3">
        <f t="shared" ref="N631:N636" si="33">RANDBETWEEN(0,10)</f>
        <v>8</v>
      </c>
      <c r="O631" s="3" t="s">
        <v>22</v>
      </c>
      <c r="P631" s="3" t="s">
        <v>28</v>
      </c>
      <c r="Q631" s="6">
        <f t="shared" si="3"/>
        <v>400000</v>
      </c>
    </row>
    <row r="632">
      <c r="A632" s="3">
        <v>65322.0</v>
      </c>
      <c r="B632" s="3" t="s">
        <v>570</v>
      </c>
      <c r="C632" s="3" t="s">
        <v>35</v>
      </c>
      <c r="D632" s="4" t="str">
        <f t="shared" si="1"/>
        <v>Ms.</v>
      </c>
      <c r="E632" s="3" t="str">
        <f t="shared" si="4"/>
        <v>Ms. Vanya Verma</v>
      </c>
      <c r="F632" s="3" t="str">
        <f>IFERROR(__xludf.DUMMYFUNCTION("SPLIT(B632,"" "")"),"Vanya")</f>
        <v>Vanya</v>
      </c>
      <c r="G632" s="3" t="str">
        <f>IFERROR(__xludf.DUMMYFUNCTION("""COMPUTED_VALUE"""),"Verma")</f>
        <v>Verma</v>
      </c>
      <c r="H632" s="3" t="s">
        <v>46</v>
      </c>
      <c r="I632" s="3">
        <v>2024.0</v>
      </c>
      <c r="J632" s="3">
        <f t="shared" si="2"/>
        <v>5000</v>
      </c>
      <c r="K632" s="3" t="s">
        <v>20</v>
      </c>
      <c r="L632" s="3">
        <v>608.0</v>
      </c>
      <c r="M632" s="3" t="s">
        <v>30</v>
      </c>
      <c r="N632" s="3">
        <f t="shared" si="33"/>
        <v>2</v>
      </c>
      <c r="O632" s="3" t="s">
        <v>22</v>
      </c>
      <c r="P632" s="3" t="s">
        <v>31</v>
      </c>
      <c r="Q632" s="6">
        <f t="shared" si="3"/>
        <v>910000</v>
      </c>
    </row>
    <row r="633">
      <c r="A633" s="3">
        <v>65323.0</v>
      </c>
      <c r="B633" s="3" t="s">
        <v>158</v>
      </c>
      <c r="C633" s="3" t="s">
        <v>18</v>
      </c>
      <c r="D633" s="4" t="str">
        <f t="shared" si="1"/>
        <v>Mr.</v>
      </c>
      <c r="E633" s="3" t="str">
        <f t="shared" si="4"/>
        <v>Mr. Krishna Kapoor</v>
      </c>
      <c r="F633" s="3" t="str">
        <f>IFERROR(__xludf.DUMMYFUNCTION("SPLIT(B633,"" "")"),"Krishna")</f>
        <v>Krishna</v>
      </c>
      <c r="G633" s="3" t="str">
        <f>IFERROR(__xludf.DUMMYFUNCTION("""COMPUTED_VALUE"""),"Kapoor")</f>
        <v>Kapoor</v>
      </c>
      <c r="H633" s="3" t="s">
        <v>33</v>
      </c>
      <c r="I633" s="3">
        <v>2024.0</v>
      </c>
      <c r="J633" s="3">
        <f t="shared" si="2"/>
        <v>10000</v>
      </c>
      <c r="K633" s="3" t="s">
        <v>20</v>
      </c>
      <c r="L633" s="3">
        <v>0.0</v>
      </c>
      <c r="M633" s="3" t="s">
        <v>21</v>
      </c>
      <c r="N633" s="3">
        <f t="shared" si="33"/>
        <v>5</v>
      </c>
      <c r="O633" s="3" t="s">
        <v>22</v>
      </c>
      <c r="P633" s="3" t="s">
        <v>28</v>
      </c>
      <c r="Q633" s="6">
        <f t="shared" si="3"/>
        <v>400000</v>
      </c>
    </row>
    <row r="634">
      <c r="A634" s="3">
        <v>65324.0</v>
      </c>
      <c r="B634" s="3" t="s">
        <v>571</v>
      </c>
      <c r="C634" s="3" t="s">
        <v>35</v>
      </c>
      <c r="D634" s="4" t="str">
        <f t="shared" si="1"/>
        <v>Ms.</v>
      </c>
      <c r="E634" s="3" t="str">
        <f t="shared" si="4"/>
        <v>Ms. Riddhi Iyer</v>
      </c>
      <c r="F634" s="3" t="str">
        <f>IFERROR(__xludf.DUMMYFUNCTION("SPLIT(B634,"" "")"),"Riddhi")</f>
        <v>Riddhi</v>
      </c>
      <c r="G634" s="3" t="str">
        <f>IFERROR(__xludf.DUMMYFUNCTION("""COMPUTED_VALUE"""),"Iyer")</f>
        <v>Iyer</v>
      </c>
      <c r="H634" s="3" t="s">
        <v>25</v>
      </c>
      <c r="I634" s="3">
        <v>2020.0</v>
      </c>
      <c r="J634" s="3">
        <f t="shared" si="2"/>
        <v>10000</v>
      </c>
      <c r="K634" s="3" t="s">
        <v>20</v>
      </c>
      <c r="L634" s="3">
        <v>0.0</v>
      </c>
      <c r="M634" s="3" t="s">
        <v>21</v>
      </c>
      <c r="N634" s="3">
        <f t="shared" si="33"/>
        <v>8</v>
      </c>
      <c r="O634" s="3" t="s">
        <v>22</v>
      </c>
      <c r="P634" s="3" t="s">
        <v>38</v>
      </c>
      <c r="Q634" s="6">
        <f t="shared" si="3"/>
        <v>635000</v>
      </c>
    </row>
    <row r="635">
      <c r="A635" s="3">
        <v>65325.0</v>
      </c>
      <c r="B635" s="3" t="s">
        <v>572</v>
      </c>
      <c r="C635" s="3" t="s">
        <v>18</v>
      </c>
      <c r="D635" s="4" t="str">
        <f t="shared" si="1"/>
        <v>Mr.</v>
      </c>
      <c r="E635" s="3" t="str">
        <f t="shared" si="4"/>
        <v>Mr. Sai Mishra</v>
      </c>
      <c r="F635" s="3" t="str">
        <f>IFERROR(__xludf.DUMMYFUNCTION("SPLIT(B635,"" "")"),"Sai")</f>
        <v>Sai</v>
      </c>
      <c r="G635" s="3" t="str">
        <f>IFERROR(__xludf.DUMMYFUNCTION("""COMPUTED_VALUE"""),"Mishra")</f>
        <v>Mishra</v>
      </c>
      <c r="H635" s="3" t="s">
        <v>25</v>
      </c>
      <c r="I635" s="3">
        <v>2021.0</v>
      </c>
      <c r="J635" s="3">
        <f t="shared" si="2"/>
        <v>10000</v>
      </c>
      <c r="K635" s="3" t="s">
        <v>20</v>
      </c>
      <c r="L635" s="3">
        <v>0.0</v>
      </c>
      <c r="M635" s="3" t="s">
        <v>21</v>
      </c>
      <c r="N635" s="3">
        <f t="shared" si="33"/>
        <v>3</v>
      </c>
      <c r="O635" s="3" t="s">
        <v>22</v>
      </c>
      <c r="P635" s="3" t="s">
        <v>38</v>
      </c>
      <c r="Q635" s="6">
        <f t="shared" si="3"/>
        <v>635000</v>
      </c>
    </row>
    <row r="636">
      <c r="A636" s="3">
        <v>65326.0</v>
      </c>
      <c r="B636" s="3" t="s">
        <v>55</v>
      </c>
      <c r="C636" s="3" t="s">
        <v>18</v>
      </c>
      <c r="D636" s="4" t="str">
        <f t="shared" si="1"/>
        <v>Mr.</v>
      </c>
      <c r="E636" s="3" t="str">
        <f t="shared" si="4"/>
        <v>Mr. Sai Singh</v>
      </c>
      <c r="F636" s="3" t="str">
        <f>IFERROR(__xludf.DUMMYFUNCTION("SPLIT(B636,"" "")"),"Sai")</f>
        <v>Sai</v>
      </c>
      <c r="G636" s="3" t="str">
        <f>IFERROR(__xludf.DUMMYFUNCTION("""COMPUTED_VALUE"""),"Singh")</f>
        <v>Singh</v>
      </c>
      <c r="H636" s="3" t="s">
        <v>46</v>
      </c>
      <c r="I636" s="3">
        <v>2021.0</v>
      </c>
      <c r="J636" s="3">
        <f t="shared" si="2"/>
        <v>5000</v>
      </c>
      <c r="K636" s="3" t="s">
        <v>20</v>
      </c>
      <c r="L636" s="3">
        <v>0.0</v>
      </c>
      <c r="M636" s="3" t="s">
        <v>21</v>
      </c>
      <c r="N636" s="3">
        <f t="shared" si="33"/>
        <v>5</v>
      </c>
      <c r="O636" s="3" t="s">
        <v>22</v>
      </c>
      <c r="P636" s="3" t="s">
        <v>28</v>
      </c>
      <c r="Q636" s="6">
        <f t="shared" si="3"/>
        <v>400000</v>
      </c>
    </row>
    <row r="637">
      <c r="A637" s="3">
        <v>65327.0</v>
      </c>
      <c r="B637" s="3" t="s">
        <v>278</v>
      </c>
      <c r="C637" s="3" t="s">
        <v>18</v>
      </c>
      <c r="D637" s="4" t="str">
        <f t="shared" si="1"/>
        <v>Mr.</v>
      </c>
      <c r="E637" s="3" t="str">
        <f t="shared" si="4"/>
        <v>Mr. Samarth Kulkarni</v>
      </c>
      <c r="F637" s="3" t="str">
        <f>IFERROR(__xludf.DUMMYFUNCTION("SPLIT(B637,"" "")"),"Samarth")</f>
        <v>Samarth</v>
      </c>
      <c r="G637" s="3" t="str">
        <f>IFERROR(__xludf.DUMMYFUNCTION("""COMPUTED_VALUE"""),"Kulkarni")</f>
        <v>Kulkarni</v>
      </c>
      <c r="H637" s="3" t="s">
        <v>25</v>
      </c>
      <c r="I637" s="3">
        <v>2027.0</v>
      </c>
      <c r="J637" s="3">
        <f t="shared" si="2"/>
        <v>10000</v>
      </c>
      <c r="K637" s="3" t="s">
        <v>20</v>
      </c>
      <c r="L637" s="3">
        <v>0.0</v>
      </c>
      <c r="M637" s="3" t="s">
        <v>21</v>
      </c>
      <c r="N637" s="3">
        <v>46.0</v>
      </c>
      <c r="O637" s="3" t="s">
        <v>22</v>
      </c>
      <c r="P637" s="3" t="s">
        <v>28</v>
      </c>
      <c r="Q637" s="6">
        <f t="shared" si="3"/>
        <v>400000</v>
      </c>
    </row>
    <row r="638">
      <c r="A638" s="3">
        <v>65328.0</v>
      </c>
      <c r="B638" s="3" t="s">
        <v>573</v>
      </c>
      <c r="C638" s="3" t="s">
        <v>35</v>
      </c>
      <c r="D638" s="4" t="str">
        <f t="shared" si="1"/>
        <v>Ms.</v>
      </c>
      <c r="E638" s="3" t="str">
        <f t="shared" si="4"/>
        <v>Ms. Anvi Pillai</v>
      </c>
      <c r="F638" s="3" t="str">
        <f>IFERROR(__xludf.DUMMYFUNCTION("SPLIT(B638,"" "")"),"Anvi")</f>
        <v>Anvi</v>
      </c>
      <c r="G638" s="3" t="str">
        <f>IFERROR(__xludf.DUMMYFUNCTION("""COMPUTED_VALUE"""),"Pillai")</f>
        <v>Pillai</v>
      </c>
      <c r="H638" s="3" t="s">
        <v>33</v>
      </c>
      <c r="I638" s="3">
        <v>2026.0</v>
      </c>
      <c r="J638" s="3">
        <f t="shared" si="2"/>
        <v>10000</v>
      </c>
      <c r="K638" s="3" t="s">
        <v>20</v>
      </c>
      <c r="L638" s="3">
        <v>0.0</v>
      </c>
      <c r="M638" s="3" t="s">
        <v>21</v>
      </c>
      <c r="N638" s="3">
        <v>15.0</v>
      </c>
      <c r="O638" s="3" t="s">
        <v>22</v>
      </c>
      <c r="P638" s="3" t="s">
        <v>31</v>
      </c>
      <c r="Q638" s="6">
        <f t="shared" si="3"/>
        <v>910000</v>
      </c>
    </row>
    <row r="639">
      <c r="A639" s="3">
        <v>65329.0</v>
      </c>
      <c r="B639" s="3" t="s">
        <v>574</v>
      </c>
      <c r="C639" s="3" t="s">
        <v>35</v>
      </c>
      <c r="D639" s="4" t="str">
        <f t="shared" si="1"/>
        <v>Ms.</v>
      </c>
      <c r="E639" s="3" t="str">
        <f t="shared" si="4"/>
        <v>Ms. Manya Kumar</v>
      </c>
      <c r="F639" s="3" t="str">
        <f>IFERROR(__xludf.DUMMYFUNCTION("SPLIT(B639,"" "")"),"Manya")</f>
        <v>Manya</v>
      </c>
      <c r="G639" s="3" t="str">
        <f>IFERROR(__xludf.DUMMYFUNCTION("""COMPUTED_VALUE"""),"Kumar")</f>
        <v>Kumar</v>
      </c>
      <c r="H639" s="3" t="s">
        <v>46</v>
      </c>
      <c r="I639" s="3">
        <v>2022.0</v>
      </c>
      <c r="J639" s="3">
        <f t="shared" si="2"/>
        <v>5000</v>
      </c>
      <c r="K639" s="3" t="s">
        <v>26</v>
      </c>
      <c r="L639" s="3">
        <v>11595.0</v>
      </c>
      <c r="M639" s="3" t="s">
        <v>21</v>
      </c>
      <c r="N639" s="3">
        <f>RANDBETWEEN(0,10)</f>
        <v>3</v>
      </c>
      <c r="O639" s="3" t="s">
        <v>22</v>
      </c>
      <c r="P639" s="3" t="s">
        <v>31</v>
      </c>
      <c r="Q639" s="6">
        <f t="shared" si="3"/>
        <v>910000</v>
      </c>
    </row>
    <row r="640">
      <c r="A640" s="3">
        <v>65330.0</v>
      </c>
      <c r="B640" s="3" t="s">
        <v>348</v>
      </c>
      <c r="C640" s="3" t="s">
        <v>18</v>
      </c>
      <c r="D640" s="4" t="str">
        <f t="shared" si="1"/>
        <v>Mr.</v>
      </c>
      <c r="E640" s="3" t="str">
        <f t="shared" si="4"/>
        <v>Mr. Aryan Dutta</v>
      </c>
      <c r="F640" s="3" t="str">
        <f>IFERROR(__xludf.DUMMYFUNCTION("SPLIT(B640,"" "")"),"Aryan")</f>
        <v>Aryan</v>
      </c>
      <c r="G640" s="3" t="str">
        <f>IFERROR(__xludf.DUMMYFUNCTION("""COMPUTED_VALUE"""),"Dutta")</f>
        <v>Dutta</v>
      </c>
      <c r="H640" s="3" t="s">
        <v>33</v>
      </c>
      <c r="I640" s="3">
        <v>2022.0</v>
      </c>
      <c r="J640" s="3">
        <f t="shared" si="2"/>
        <v>10000</v>
      </c>
      <c r="K640" s="3" t="s">
        <v>26</v>
      </c>
      <c r="L640" s="3">
        <v>17956.0</v>
      </c>
      <c r="M640" s="3" t="s">
        <v>21</v>
      </c>
      <c r="N640" s="3">
        <v>20.0</v>
      </c>
      <c r="O640" s="3" t="s">
        <v>22</v>
      </c>
      <c r="P640" s="3" t="s">
        <v>23</v>
      </c>
      <c r="Q640" s="6">
        <f t="shared" si="3"/>
        <v>430000</v>
      </c>
    </row>
    <row r="641">
      <c r="A641" s="3">
        <v>65331.0</v>
      </c>
      <c r="B641" s="3" t="s">
        <v>575</v>
      </c>
      <c r="C641" s="3" t="s">
        <v>35</v>
      </c>
      <c r="D641" s="4" t="str">
        <f t="shared" si="1"/>
        <v>Ms.</v>
      </c>
      <c r="E641" s="3" t="str">
        <f t="shared" si="4"/>
        <v>Ms. Manya Naidu</v>
      </c>
      <c r="F641" s="3" t="str">
        <f>IFERROR(__xludf.DUMMYFUNCTION("SPLIT(B641,"" "")"),"Manya")</f>
        <v>Manya</v>
      </c>
      <c r="G641" s="3" t="str">
        <f>IFERROR(__xludf.DUMMYFUNCTION("""COMPUTED_VALUE"""),"Naidu")</f>
        <v>Naidu</v>
      </c>
      <c r="H641" s="3" t="s">
        <v>25</v>
      </c>
      <c r="I641" s="3">
        <v>2018.0</v>
      </c>
      <c r="J641" s="3">
        <f t="shared" si="2"/>
        <v>10000</v>
      </c>
      <c r="K641" s="3" t="s">
        <v>26</v>
      </c>
      <c r="L641" s="3">
        <v>24880.0</v>
      </c>
      <c r="M641" s="3" t="s">
        <v>21</v>
      </c>
      <c r="N641" s="3">
        <v>25.0</v>
      </c>
      <c r="O641" s="3" t="s">
        <v>22</v>
      </c>
      <c r="P641" s="3" t="s">
        <v>28</v>
      </c>
      <c r="Q641" s="6">
        <f t="shared" si="3"/>
        <v>400000</v>
      </c>
    </row>
    <row r="642">
      <c r="A642" s="3">
        <v>65332.0</v>
      </c>
      <c r="B642" s="3" t="s">
        <v>576</v>
      </c>
      <c r="C642" s="3" t="s">
        <v>35</v>
      </c>
      <c r="D642" s="4" t="str">
        <f t="shared" si="1"/>
        <v>Ms.</v>
      </c>
      <c r="E642" s="3" t="str">
        <f t="shared" si="4"/>
        <v>Ms. Tara Rao</v>
      </c>
      <c r="F642" s="3" t="str">
        <f>IFERROR(__xludf.DUMMYFUNCTION("SPLIT(B642,"" "")"),"Tara")</f>
        <v>Tara</v>
      </c>
      <c r="G642" s="3" t="str">
        <f>IFERROR(__xludf.DUMMYFUNCTION("""COMPUTED_VALUE"""),"Rao")</f>
        <v>Rao</v>
      </c>
      <c r="H642" s="3" t="s">
        <v>46</v>
      </c>
      <c r="I642" s="3">
        <v>2023.0</v>
      </c>
      <c r="J642" s="3">
        <f t="shared" si="2"/>
        <v>5000</v>
      </c>
      <c r="K642" s="3" t="s">
        <v>26</v>
      </c>
      <c r="L642" s="3">
        <v>15545.0</v>
      </c>
      <c r="M642" s="3" t="s">
        <v>21</v>
      </c>
      <c r="N642" s="3">
        <v>47.0</v>
      </c>
      <c r="O642" s="3" t="s">
        <v>22</v>
      </c>
      <c r="P642" s="3" t="s">
        <v>31</v>
      </c>
      <c r="Q642" s="6">
        <f t="shared" si="3"/>
        <v>910000</v>
      </c>
    </row>
    <row r="643">
      <c r="A643" s="3">
        <v>65334.0</v>
      </c>
      <c r="B643" s="3" t="s">
        <v>242</v>
      </c>
      <c r="C643" s="3" t="s">
        <v>35</v>
      </c>
      <c r="D643" s="4" t="str">
        <f t="shared" si="1"/>
        <v>Ms.</v>
      </c>
      <c r="E643" s="3" t="str">
        <f t="shared" si="4"/>
        <v>Ms. Shanaya Chowdhury</v>
      </c>
      <c r="F643" s="3" t="str">
        <f>IFERROR(__xludf.DUMMYFUNCTION("SPLIT(B643,"" "")"),"Shanaya")</f>
        <v>Shanaya</v>
      </c>
      <c r="G643" s="3" t="str">
        <f>IFERROR(__xludf.DUMMYFUNCTION("""COMPUTED_VALUE"""),"Chowdhury")</f>
        <v>Chowdhury</v>
      </c>
      <c r="H643" s="3" t="s">
        <v>33</v>
      </c>
      <c r="I643" s="3">
        <v>2025.0</v>
      </c>
      <c r="J643" s="3">
        <f t="shared" si="2"/>
        <v>10000</v>
      </c>
      <c r="K643" s="3" t="s">
        <v>20</v>
      </c>
      <c r="L643" s="3">
        <v>25.0</v>
      </c>
      <c r="M643" s="3" t="s">
        <v>21</v>
      </c>
      <c r="N643" s="3">
        <v>73.0</v>
      </c>
      <c r="O643" s="3" t="s">
        <v>41</v>
      </c>
      <c r="P643" s="3" t="s">
        <v>23</v>
      </c>
      <c r="Q643" s="6">
        <f t="shared" si="3"/>
        <v>430000</v>
      </c>
    </row>
    <row r="644">
      <c r="A644" s="3">
        <v>65338.0</v>
      </c>
      <c r="B644" s="3" t="s">
        <v>415</v>
      </c>
      <c r="C644" s="3" t="s">
        <v>18</v>
      </c>
      <c r="D644" s="4" t="str">
        <f t="shared" si="1"/>
        <v>Mr.</v>
      </c>
      <c r="E644" s="3" t="str">
        <f t="shared" si="4"/>
        <v>Mr. Laksh Agarwal</v>
      </c>
      <c r="F644" s="3" t="str">
        <f>IFERROR(__xludf.DUMMYFUNCTION("SPLIT(B644,"" "")"),"Laksh")</f>
        <v>Laksh</v>
      </c>
      <c r="G644" s="3" t="str">
        <f>IFERROR(__xludf.DUMMYFUNCTION("""COMPUTED_VALUE"""),"Agarwal")</f>
        <v>Agarwal</v>
      </c>
      <c r="H644" s="3" t="s">
        <v>25</v>
      </c>
      <c r="I644" s="3">
        <v>2026.0</v>
      </c>
      <c r="J644" s="3">
        <f t="shared" si="2"/>
        <v>10000</v>
      </c>
      <c r="K644" s="3" t="s">
        <v>20</v>
      </c>
      <c r="L644" s="3">
        <v>0.0</v>
      </c>
      <c r="M644" s="3" t="s">
        <v>21</v>
      </c>
      <c r="N644" s="3">
        <v>16.0</v>
      </c>
      <c r="O644" s="3" t="s">
        <v>22</v>
      </c>
      <c r="P644" s="3" t="s">
        <v>23</v>
      </c>
      <c r="Q644" s="6">
        <f t="shared" si="3"/>
        <v>430000</v>
      </c>
    </row>
    <row r="645">
      <c r="A645" s="3">
        <v>65339.0</v>
      </c>
      <c r="B645" s="3" t="s">
        <v>577</v>
      </c>
      <c r="C645" s="3" t="s">
        <v>18</v>
      </c>
      <c r="D645" s="4" t="str">
        <f t="shared" si="1"/>
        <v>Mr.</v>
      </c>
      <c r="E645" s="3" t="str">
        <f t="shared" si="4"/>
        <v>Mr. Arnav Das</v>
      </c>
      <c r="F645" s="3" t="str">
        <f>IFERROR(__xludf.DUMMYFUNCTION("SPLIT(B645,"" "")"),"Arnav")</f>
        <v>Arnav</v>
      </c>
      <c r="G645" s="3" t="str">
        <f>IFERROR(__xludf.DUMMYFUNCTION("""COMPUTED_VALUE"""),"Das")</f>
        <v>Das</v>
      </c>
      <c r="H645" s="3" t="s">
        <v>25</v>
      </c>
      <c r="I645" s="3">
        <v>2023.0</v>
      </c>
      <c r="J645" s="3">
        <f t="shared" si="2"/>
        <v>10000</v>
      </c>
      <c r="K645" s="3" t="s">
        <v>26</v>
      </c>
      <c r="L645" s="3">
        <v>15113.0</v>
      </c>
      <c r="M645" s="3" t="s">
        <v>21</v>
      </c>
      <c r="N645" s="3">
        <v>19.0</v>
      </c>
      <c r="O645" s="3" t="s">
        <v>22</v>
      </c>
      <c r="P645" s="3" t="s">
        <v>38</v>
      </c>
      <c r="Q645" s="6">
        <f t="shared" si="3"/>
        <v>635000</v>
      </c>
    </row>
    <row r="646">
      <c r="A646" s="3">
        <v>65340.0</v>
      </c>
      <c r="B646" s="3" t="s">
        <v>578</v>
      </c>
      <c r="C646" s="3" t="s">
        <v>18</v>
      </c>
      <c r="D646" s="4" t="str">
        <f t="shared" si="1"/>
        <v>Mr.</v>
      </c>
      <c r="E646" s="3" t="str">
        <f t="shared" si="4"/>
        <v>Mr. Dev Kumar</v>
      </c>
      <c r="F646" s="3" t="str">
        <f>IFERROR(__xludf.DUMMYFUNCTION("SPLIT(B646,"" "")"),"Dev")</f>
        <v>Dev</v>
      </c>
      <c r="G646" s="3" t="str">
        <f>IFERROR(__xludf.DUMMYFUNCTION("""COMPUTED_VALUE"""),"Kumar")</f>
        <v>Kumar</v>
      </c>
      <c r="H646" s="3" t="s">
        <v>25</v>
      </c>
      <c r="I646" s="3">
        <v>2025.0</v>
      </c>
      <c r="J646" s="3">
        <f t="shared" si="2"/>
        <v>10000</v>
      </c>
      <c r="K646" s="3" t="s">
        <v>26</v>
      </c>
      <c r="L646" s="3">
        <v>19309.0</v>
      </c>
      <c r="M646" s="3" t="s">
        <v>30</v>
      </c>
      <c r="N646" s="3">
        <v>62.0</v>
      </c>
      <c r="O646" s="3" t="s">
        <v>22</v>
      </c>
      <c r="P646" s="3" t="s">
        <v>31</v>
      </c>
      <c r="Q646" s="6">
        <f t="shared" si="3"/>
        <v>910000</v>
      </c>
    </row>
    <row r="647">
      <c r="A647" s="3">
        <v>65341.0</v>
      </c>
      <c r="B647" s="3" t="s">
        <v>579</v>
      </c>
      <c r="C647" s="3" t="s">
        <v>35</v>
      </c>
      <c r="D647" s="4" t="str">
        <f t="shared" si="1"/>
        <v>Ms.</v>
      </c>
      <c r="E647" s="3" t="str">
        <f t="shared" si="4"/>
        <v>Ms. Tara Joshi</v>
      </c>
      <c r="F647" s="3" t="str">
        <f>IFERROR(__xludf.DUMMYFUNCTION("SPLIT(B647,"" "")"),"Tara")</f>
        <v>Tara</v>
      </c>
      <c r="G647" s="3" t="str">
        <f>IFERROR(__xludf.DUMMYFUNCTION("""COMPUTED_VALUE"""),"Joshi")</f>
        <v>Joshi</v>
      </c>
      <c r="H647" s="3" t="s">
        <v>25</v>
      </c>
      <c r="I647" s="3">
        <v>2022.0</v>
      </c>
      <c r="J647" s="3">
        <f t="shared" si="2"/>
        <v>10000</v>
      </c>
      <c r="K647" s="3" t="s">
        <v>26</v>
      </c>
      <c r="L647" s="3">
        <v>16847.0</v>
      </c>
      <c r="M647" s="3" t="s">
        <v>21</v>
      </c>
      <c r="N647" s="3">
        <v>65.0</v>
      </c>
      <c r="O647" s="3" t="s">
        <v>22</v>
      </c>
      <c r="P647" s="3" t="s">
        <v>28</v>
      </c>
      <c r="Q647" s="6">
        <f t="shared" si="3"/>
        <v>400000</v>
      </c>
    </row>
    <row r="648">
      <c r="A648" s="3">
        <v>65344.0</v>
      </c>
      <c r="B648" s="3" t="s">
        <v>580</v>
      </c>
      <c r="C648" s="3" t="s">
        <v>18</v>
      </c>
      <c r="D648" s="4" t="str">
        <f t="shared" si="1"/>
        <v>Mr.</v>
      </c>
      <c r="E648" s="3" t="str">
        <f t="shared" si="4"/>
        <v>Mr. Ayaan Prasad</v>
      </c>
      <c r="F648" s="3" t="str">
        <f>IFERROR(__xludf.DUMMYFUNCTION("SPLIT(B648,"" "")"),"Ayaan")</f>
        <v>Ayaan</v>
      </c>
      <c r="G648" s="3" t="str">
        <f>IFERROR(__xludf.DUMMYFUNCTION("""COMPUTED_VALUE"""),"Prasad")</f>
        <v>Prasad</v>
      </c>
      <c r="H648" s="3" t="s">
        <v>46</v>
      </c>
      <c r="I648" s="3">
        <v>2025.0</v>
      </c>
      <c r="J648" s="3">
        <f t="shared" si="2"/>
        <v>5000</v>
      </c>
      <c r="K648" s="3" t="s">
        <v>26</v>
      </c>
      <c r="L648" s="3">
        <v>14246.0</v>
      </c>
      <c r="M648" s="3" t="s">
        <v>21</v>
      </c>
      <c r="N648" s="3">
        <v>4.0</v>
      </c>
      <c r="O648" s="3" t="s">
        <v>41</v>
      </c>
      <c r="P648" s="3" t="s">
        <v>23</v>
      </c>
      <c r="Q648" s="6">
        <f t="shared" si="3"/>
        <v>430000</v>
      </c>
    </row>
    <row r="649">
      <c r="A649" s="3">
        <v>65345.0</v>
      </c>
      <c r="B649" s="3" t="s">
        <v>563</v>
      </c>
      <c r="C649" s="3" t="s">
        <v>18</v>
      </c>
      <c r="D649" s="4" t="str">
        <f t="shared" si="1"/>
        <v>Mr.</v>
      </c>
      <c r="E649" s="3" t="str">
        <f t="shared" si="4"/>
        <v>Mr. Reyansh Pillai</v>
      </c>
      <c r="F649" s="3" t="str">
        <f>IFERROR(__xludf.DUMMYFUNCTION("SPLIT(B649,"" "")"),"Reyansh")</f>
        <v>Reyansh</v>
      </c>
      <c r="G649" s="3" t="str">
        <f>IFERROR(__xludf.DUMMYFUNCTION("""COMPUTED_VALUE"""),"Pillai")</f>
        <v>Pillai</v>
      </c>
      <c r="H649" s="3" t="s">
        <v>33</v>
      </c>
      <c r="I649" s="3">
        <v>2026.0</v>
      </c>
      <c r="J649" s="3">
        <f t="shared" si="2"/>
        <v>10000</v>
      </c>
      <c r="K649" s="3" t="s">
        <v>26</v>
      </c>
      <c r="L649" s="3">
        <v>6134.0</v>
      </c>
      <c r="M649" s="3" t="s">
        <v>21</v>
      </c>
      <c r="N649" s="3">
        <f>RANDBETWEEN(0,10)</f>
        <v>3</v>
      </c>
      <c r="O649" s="3" t="s">
        <v>22</v>
      </c>
      <c r="P649" s="3" t="s">
        <v>38</v>
      </c>
      <c r="Q649" s="6">
        <f t="shared" si="3"/>
        <v>635000</v>
      </c>
    </row>
    <row r="650">
      <c r="A650" s="3">
        <v>65346.0</v>
      </c>
      <c r="B650" s="3" t="s">
        <v>581</v>
      </c>
      <c r="C650" s="3" t="s">
        <v>18</v>
      </c>
      <c r="D650" s="4" t="str">
        <f t="shared" si="1"/>
        <v>Mr.</v>
      </c>
      <c r="E650" s="3" t="str">
        <f t="shared" si="4"/>
        <v>Mr. Rudra Patel</v>
      </c>
      <c r="F650" s="3" t="str">
        <f>IFERROR(__xludf.DUMMYFUNCTION("SPLIT(B650,"" "")"),"Rudra")</f>
        <v>Rudra</v>
      </c>
      <c r="G650" s="3" t="str">
        <f>IFERROR(__xludf.DUMMYFUNCTION("""COMPUTED_VALUE"""),"Patel")</f>
        <v>Patel</v>
      </c>
      <c r="H650" s="3" t="s">
        <v>25</v>
      </c>
      <c r="I650" s="3">
        <v>2027.0</v>
      </c>
      <c r="J650" s="3">
        <f t="shared" si="2"/>
        <v>10000</v>
      </c>
      <c r="K650" s="3" t="s">
        <v>26</v>
      </c>
      <c r="L650" s="3">
        <v>14417.0</v>
      </c>
      <c r="M650" s="3" t="s">
        <v>21</v>
      </c>
      <c r="N650" s="3">
        <v>25.0</v>
      </c>
      <c r="O650" s="3" t="s">
        <v>22</v>
      </c>
      <c r="P650" s="3" t="s">
        <v>78</v>
      </c>
      <c r="Q650" s="6">
        <f t="shared" si="3"/>
        <v>255000</v>
      </c>
    </row>
    <row r="651">
      <c r="A651" s="3">
        <v>65347.0</v>
      </c>
      <c r="B651" s="3" t="s">
        <v>582</v>
      </c>
      <c r="C651" s="3" t="s">
        <v>18</v>
      </c>
      <c r="D651" s="4" t="str">
        <f t="shared" si="1"/>
        <v>Mr.</v>
      </c>
      <c r="E651" s="3" t="str">
        <f t="shared" si="4"/>
        <v>Mr. Harsh Malik</v>
      </c>
      <c r="F651" s="3" t="str">
        <f>IFERROR(__xludf.DUMMYFUNCTION("SPLIT(B651,"" "")"),"Harsh")</f>
        <v>Harsh</v>
      </c>
      <c r="G651" s="3" t="str">
        <f>IFERROR(__xludf.DUMMYFUNCTION("""COMPUTED_VALUE"""),"Malik")</f>
        <v>Malik</v>
      </c>
      <c r="H651" s="3" t="s">
        <v>25</v>
      </c>
      <c r="I651" s="3">
        <v>2027.0</v>
      </c>
      <c r="J651" s="3">
        <f t="shared" si="2"/>
        <v>10000</v>
      </c>
      <c r="K651" s="3" t="s">
        <v>20</v>
      </c>
      <c r="L651" s="3">
        <v>0.0</v>
      </c>
      <c r="M651" s="3" t="s">
        <v>21</v>
      </c>
      <c r="N651" s="3">
        <v>32.0</v>
      </c>
      <c r="O651" s="3" t="s">
        <v>22</v>
      </c>
      <c r="P651" s="3" t="s">
        <v>28</v>
      </c>
      <c r="Q651" s="6">
        <f t="shared" si="3"/>
        <v>400000</v>
      </c>
    </row>
    <row r="652">
      <c r="A652" s="3">
        <v>65348.0</v>
      </c>
      <c r="B652" s="3" t="s">
        <v>583</v>
      </c>
      <c r="C652" s="3" t="s">
        <v>18</v>
      </c>
      <c r="D652" s="4" t="str">
        <f t="shared" si="1"/>
        <v>Mr.</v>
      </c>
      <c r="E652" s="3" t="str">
        <f t="shared" si="4"/>
        <v>Mr. Arjun Rao</v>
      </c>
      <c r="F652" s="3" t="str">
        <f>IFERROR(__xludf.DUMMYFUNCTION("SPLIT(B652,"" "")"),"Arjun")</f>
        <v>Arjun</v>
      </c>
      <c r="G652" s="3" t="str">
        <f>IFERROR(__xludf.DUMMYFUNCTION("""COMPUTED_VALUE"""),"Rao")</f>
        <v>Rao</v>
      </c>
      <c r="H652" s="3" t="s">
        <v>46</v>
      </c>
      <c r="I652" s="3">
        <v>2023.0</v>
      </c>
      <c r="J652" s="3">
        <f t="shared" si="2"/>
        <v>5000</v>
      </c>
      <c r="K652" s="3" t="s">
        <v>26</v>
      </c>
      <c r="L652" s="10">
        <v>4087.0</v>
      </c>
      <c r="M652" s="3" t="s">
        <v>21</v>
      </c>
      <c r="N652" s="3">
        <f>RANDBETWEEN(0,10)</f>
        <v>3</v>
      </c>
      <c r="O652" s="3" t="s">
        <v>22</v>
      </c>
      <c r="P652" s="3" t="s">
        <v>23</v>
      </c>
      <c r="Q652" s="6">
        <f t="shared" si="3"/>
        <v>430000</v>
      </c>
    </row>
    <row r="653">
      <c r="A653" s="3">
        <v>65350.0</v>
      </c>
      <c r="B653" s="3" t="s">
        <v>584</v>
      </c>
      <c r="C653" s="3" t="s">
        <v>18</v>
      </c>
      <c r="D653" s="4" t="str">
        <f t="shared" si="1"/>
        <v>Mr.</v>
      </c>
      <c r="E653" s="3" t="str">
        <f t="shared" si="4"/>
        <v>Mr. Atharv Sharma</v>
      </c>
      <c r="F653" s="3" t="str">
        <f>IFERROR(__xludf.DUMMYFUNCTION("SPLIT(B653,"" "")"),"Atharv")</f>
        <v>Atharv</v>
      </c>
      <c r="G653" s="3" t="str">
        <f>IFERROR(__xludf.DUMMYFUNCTION("""COMPUTED_VALUE"""),"Sharma")</f>
        <v>Sharma</v>
      </c>
      <c r="H653" s="3" t="s">
        <v>46</v>
      </c>
      <c r="I653" s="3">
        <v>2024.0</v>
      </c>
      <c r="J653" s="3">
        <f t="shared" si="2"/>
        <v>5000</v>
      </c>
      <c r="K653" s="3" t="s">
        <v>26</v>
      </c>
      <c r="L653" s="3">
        <v>23507.0</v>
      </c>
      <c r="M653" s="3" t="s">
        <v>21</v>
      </c>
      <c r="N653" s="3">
        <v>31.0</v>
      </c>
      <c r="O653" s="3" t="s">
        <v>22</v>
      </c>
      <c r="P653" s="3" t="s">
        <v>28</v>
      </c>
      <c r="Q653" s="6">
        <f t="shared" si="3"/>
        <v>400000</v>
      </c>
    </row>
    <row r="654">
      <c r="A654" s="3">
        <v>65351.0</v>
      </c>
      <c r="B654" s="3" t="s">
        <v>371</v>
      </c>
      <c r="C654" s="3" t="s">
        <v>35</v>
      </c>
      <c r="D654" s="4" t="str">
        <f t="shared" si="1"/>
        <v>Ms.</v>
      </c>
      <c r="E654" s="3" t="str">
        <f t="shared" si="4"/>
        <v>Ms. Navya Bhat</v>
      </c>
      <c r="F654" s="3" t="str">
        <f>IFERROR(__xludf.DUMMYFUNCTION("SPLIT(B654,"" "")"),"Navya")</f>
        <v>Navya</v>
      </c>
      <c r="G654" s="3" t="str">
        <f>IFERROR(__xludf.DUMMYFUNCTION("""COMPUTED_VALUE"""),"Bhat")</f>
        <v>Bhat</v>
      </c>
      <c r="H654" s="3" t="s">
        <v>25</v>
      </c>
      <c r="I654" s="3">
        <v>2025.0</v>
      </c>
      <c r="J654" s="3">
        <f t="shared" si="2"/>
        <v>10000</v>
      </c>
      <c r="K654" s="3" t="s">
        <v>26</v>
      </c>
      <c r="L654" s="3">
        <v>24041.0</v>
      </c>
      <c r="M654" s="3" t="s">
        <v>21</v>
      </c>
      <c r="N654" s="3">
        <v>62.0</v>
      </c>
      <c r="O654" s="3" t="s">
        <v>22</v>
      </c>
      <c r="P654" s="3" t="s">
        <v>31</v>
      </c>
      <c r="Q654" s="6">
        <f t="shared" si="3"/>
        <v>910000</v>
      </c>
    </row>
    <row r="655">
      <c r="A655" s="3">
        <v>65352.0</v>
      </c>
      <c r="B655" s="3" t="s">
        <v>585</v>
      </c>
      <c r="C655" s="3" t="s">
        <v>35</v>
      </c>
      <c r="D655" s="4" t="str">
        <f t="shared" si="1"/>
        <v>Ms.</v>
      </c>
      <c r="E655" s="3" t="str">
        <f t="shared" si="4"/>
        <v>Ms. Inaaya Pillai</v>
      </c>
      <c r="F655" s="3" t="str">
        <f>IFERROR(__xludf.DUMMYFUNCTION("SPLIT(B655,"" "")"),"Inaaya")</f>
        <v>Inaaya</v>
      </c>
      <c r="G655" s="3" t="str">
        <f>IFERROR(__xludf.DUMMYFUNCTION("""COMPUTED_VALUE"""),"Pillai")</f>
        <v>Pillai</v>
      </c>
      <c r="H655" s="3" t="s">
        <v>19</v>
      </c>
      <c r="I655" s="3">
        <v>2026.0</v>
      </c>
      <c r="J655" s="3">
        <f t="shared" si="2"/>
        <v>5000</v>
      </c>
      <c r="K655" s="3" t="s">
        <v>20</v>
      </c>
      <c r="L655" s="3">
        <v>225.0</v>
      </c>
      <c r="M655" s="3" t="s">
        <v>21</v>
      </c>
      <c r="N655" s="3">
        <v>2.0</v>
      </c>
      <c r="O655" s="3" t="s">
        <v>41</v>
      </c>
      <c r="P655" s="3" t="s">
        <v>28</v>
      </c>
      <c r="Q655" s="6">
        <f t="shared" si="3"/>
        <v>400000</v>
      </c>
    </row>
    <row r="656">
      <c r="A656" s="3">
        <v>65353.0</v>
      </c>
      <c r="B656" s="3" t="s">
        <v>586</v>
      </c>
      <c r="C656" s="3" t="s">
        <v>35</v>
      </c>
      <c r="D656" s="4" t="str">
        <f t="shared" si="1"/>
        <v>Ms.</v>
      </c>
      <c r="E656" s="3" t="str">
        <f t="shared" si="4"/>
        <v>Ms. Kashvi Sinha</v>
      </c>
      <c r="F656" s="3" t="str">
        <f>IFERROR(__xludf.DUMMYFUNCTION("SPLIT(B656,"" "")"),"Kashvi")</f>
        <v>Kashvi</v>
      </c>
      <c r="G656" s="3" t="str">
        <f>IFERROR(__xludf.DUMMYFUNCTION("""COMPUTED_VALUE"""),"Sinha")</f>
        <v>Sinha</v>
      </c>
      <c r="H656" s="3" t="s">
        <v>19</v>
      </c>
      <c r="I656" s="3">
        <v>2024.0</v>
      </c>
      <c r="J656" s="3">
        <f t="shared" si="2"/>
        <v>5000</v>
      </c>
      <c r="K656" s="3" t="s">
        <v>26</v>
      </c>
      <c r="L656" s="3">
        <v>23340.0</v>
      </c>
      <c r="M656" s="3" t="s">
        <v>21</v>
      </c>
      <c r="N656" s="3">
        <f>RANDBETWEEN(0,10)</f>
        <v>1</v>
      </c>
      <c r="O656" s="3" t="s">
        <v>41</v>
      </c>
      <c r="P656" s="3" t="s">
        <v>31</v>
      </c>
      <c r="Q656" s="6">
        <f t="shared" si="3"/>
        <v>910000</v>
      </c>
    </row>
    <row r="657">
      <c r="A657" s="3">
        <v>65354.0</v>
      </c>
      <c r="B657" s="3" t="s">
        <v>159</v>
      </c>
      <c r="C657" s="3" t="s">
        <v>35</v>
      </c>
      <c r="D657" s="4" t="str">
        <f t="shared" si="1"/>
        <v>Ms.</v>
      </c>
      <c r="E657" s="3" t="str">
        <f t="shared" si="4"/>
        <v>Ms. Kashvi Verma</v>
      </c>
      <c r="F657" s="3" t="str">
        <f>IFERROR(__xludf.DUMMYFUNCTION("SPLIT(B657,"" "")"),"Kashvi")</f>
        <v>Kashvi</v>
      </c>
      <c r="G657" s="3" t="str">
        <f>IFERROR(__xludf.DUMMYFUNCTION("""COMPUTED_VALUE"""),"Verma")</f>
        <v>Verma</v>
      </c>
      <c r="H657" s="3" t="s">
        <v>25</v>
      </c>
      <c r="I657" s="3">
        <v>2024.0</v>
      </c>
      <c r="J657" s="3">
        <f t="shared" si="2"/>
        <v>10000</v>
      </c>
      <c r="K657" s="3" t="s">
        <v>26</v>
      </c>
      <c r="L657" s="3">
        <v>707.0</v>
      </c>
      <c r="M657" s="3" t="s">
        <v>21</v>
      </c>
      <c r="N657" s="3">
        <v>1.0</v>
      </c>
      <c r="O657" s="3" t="s">
        <v>22</v>
      </c>
      <c r="P657" s="3" t="s">
        <v>31</v>
      </c>
      <c r="Q657" s="6">
        <f t="shared" si="3"/>
        <v>910000</v>
      </c>
    </row>
    <row r="658">
      <c r="A658" s="3">
        <v>65355.0</v>
      </c>
      <c r="B658" s="3" t="s">
        <v>587</v>
      </c>
      <c r="C658" s="3" t="s">
        <v>18</v>
      </c>
      <c r="D658" s="4" t="str">
        <f t="shared" si="1"/>
        <v>Mr.</v>
      </c>
      <c r="E658" s="3" t="str">
        <f t="shared" si="4"/>
        <v>Mr. Yashvi Kulkarni</v>
      </c>
      <c r="F658" s="3" t="str">
        <f>IFERROR(__xludf.DUMMYFUNCTION("SPLIT(B658,"" "")"),"Yashvi")</f>
        <v>Yashvi</v>
      </c>
      <c r="G658" s="3" t="str">
        <f>IFERROR(__xludf.DUMMYFUNCTION("""COMPUTED_VALUE"""),"Kulkarni")</f>
        <v>Kulkarni</v>
      </c>
      <c r="H658" s="3" t="s">
        <v>25</v>
      </c>
      <c r="I658" s="3">
        <v>2021.0</v>
      </c>
      <c r="J658" s="3">
        <f t="shared" si="2"/>
        <v>10000</v>
      </c>
      <c r="K658" s="3" t="s">
        <v>26</v>
      </c>
      <c r="L658" s="3">
        <v>20520.0</v>
      </c>
      <c r="M658" s="3" t="s">
        <v>30</v>
      </c>
      <c r="N658" s="3">
        <v>3.0</v>
      </c>
      <c r="O658" s="3" t="s">
        <v>22</v>
      </c>
      <c r="P658" s="3" t="s">
        <v>38</v>
      </c>
      <c r="Q658" s="6">
        <f t="shared" si="3"/>
        <v>635000</v>
      </c>
    </row>
    <row r="659">
      <c r="A659" s="3">
        <v>65356.0</v>
      </c>
      <c r="B659" s="3" t="s">
        <v>588</v>
      </c>
      <c r="C659" s="3" t="s">
        <v>35</v>
      </c>
      <c r="D659" s="4" t="str">
        <f t="shared" si="1"/>
        <v>Ms.</v>
      </c>
      <c r="E659" s="3" t="str">
        <f t="shared" si="4"/>
        <v>Ms. Siya Patel</v>
      </c>
      <c r="F659" s="3" t="str">
        <f>IFERROR(__xludf.DUMMYFUNCTION("SPLIT(B659,"" "")"),"Siya")</f>
        <v>Siya</v>
      </c>
      <c r="G659" s="3" t="str">
        <f>IFERROR(__xludf.DUMMYFUNCTION("""COMPUTED_VALUE"""),"Patel")</f>
        <v>Patel</v>
      </c>
      <c r="H659" s="3" t="s">
        <v>33</v>
      </c>
      <c r="I659" s="3">
        <v>2027.0</v>
      </c>
      <c r="J659" s="3">
        <f t="shared" si="2"/>
        <v>10000</v>
      </c>
      <c r="K659" s="3" t="s">
        <v>20</v>
      </c>
      <c r="L659" s="3">
        <v>0.0</v>
      </c>
      <c r="M659" s="3" t="s">
        <v>21</v>
      </c>
      <c r="N659" s="3">
        <v>5.0</v>
      </c>
      <c r="O659" s="3" t="s">
        <v>22</v>
      </c>
      <c r="P659" s="3" t="s">
        <v>38</v>
      </c>
      <c r="Q659" s="6">
        <f t="shared" si="3"/>
        <v>635000</v>
      </c>
    </row>
    <row r="660">
      <c r="A660" s="3">
        <v>65357.0</v>
      </c>
      <c r="B660" s="3" t="s">
        <v>589</v>
      </c>
      <c r="C660" s="3" t="s">
        <v>18</v>
      </c>
      <c r="D660" s="4" t="str">
        <f t="shared" si="1"/>
        <v>Mr.</v>
      </c>
      <c r="E660" s="3" t="str">
        <f t="shared" si="4"/>
        <v>Mr. Rishi Das</v>
      </c>
      <c r="F660" s="3" t="str">
        <f>IFERROR(__xludf.DUMMYFUNCTION("SPLIT(B660,"" "")"),"Rishi")</f>
        <v>Rishi</v>
      </c>
      <c r="G660" s="3" t="str">
        <f>IFERROR(__xludf.DUMMYFUNCTION("""COMPUTED_VALUE"""),"Das")</f>
        <v>Das</v>
      </c>
      <c r="H660" s="3" t="s">
        <v>25</v>
      </c>
      <c r="I660" s="3">
        <v>2024.0</v>
      </c>
      <c r="J660" s="3">
        <f t="shared" si="2"/>
        <v>10000</v>
      </c>
      <c r="K660" s="3" t="s">
        <v>20</v>
      </c>
      <c r="L660" s="3">
        <v>0.0</v>
      </c>
      <c r="M660" s="3" t="s">
        <v>21</v>
      </c>
      <c r="N660" s="3">
        <v>71.0</v>
      </c>
      <c r="O660" s="3" t="s">
        <v>22</v>
      </c>
      <c r="P660" s="3" t="s">
        <v>23</v>
      </c>
      <c r="Q660" s="6">
        <f t="shared" si="3"/>
        <v>430000</v>
      </c>
    </row>
    <row r="661">
      <c r="A661" s="3">
        <v>65358.0</v>
      </c>
      <c r="B661" s="3" t="s">
        <v>590</v>
      </c>
      <c r="C661" s="3" t="s">
        <v>18</v>
      </c>
      <c r="D661" s="4" t="str">
        <f t="shared" si="1"/>
        <v>Mr.</v>
      </c>
      <c r="E661" s="3" t="str">
        <f t="shared" si="4"/>
        <v>Mr. Rishi Dutta</v>
      </c>
      <c r="F661" s="3" t="str">
        <f>IFERROR(__xludf.DUMMYFUNCTION("SPLIT(B661,"" "")"),"Rishi")</f>
        <v>Rishi</v>
      </c>
      <c r="G661" s="3" t="str">
        <f>IFERROR(__xludf.DUMMYFUNCTION("""COMPUTED_VALUE"""),"Dutta")</f>
        <v>Dutta</v>
      </c>
      <c r="H661" s="3" t="s">
        <v>19</v>
      </c>
      <c r="I661" s="3">
        <v>2020.0</v>
      </c>
      <c r="J661" s="3">
        <f t="shared" si="2"/>
        <v>5000</v>
      </c>
      <c r="K661" s="3" t="s">
        <v>20</v>
      </c>
      <c r="L661" s="3">
        <v>0.0</v>
      </c>
      <c r="M661" s="3" t="s">
        <v>21</v>
      </c>
      <c r="N661" s="3">
        <v>5.0</v>
      </c>
      <c r="O661" s="3" t="s">
        <v>22</v>
      </c>
      <c r="P661" s="3" t="s">
        <v>31</v>
      </c>
      <c r="Q661" s="6">
        <f t="shared" si="3"/>
        <v>910000</v>
      </c>
    </row>
    <row r="662">
      <c r="A662" s="3">
        <v>65359.0</v>
      </c>
      <c r="B662" s="3" t="s">
        <v>591</v>
      </c>
      <c r="C662" s="3" t="s">
        <v>18</v>
      </c>
      <c r="D662" s="4" t="str">
        <f t="shared" si="1"/>
        <v>Mr.</v>
      </c>
      <c r="E662" s="3" t="str">
        <f t="shared" si="4"/>
        <v>Mr. Samarth Pillai</v>
      </c>
      <c r="F662" s="3" t="str">
        <f>IFERROR(__xludf.DUMMYFUNCTION("SPLIT(B662,"" "")"),"Samarth")</f>
        <v>Samarth</v>
      </c>
      <c r="G662" s="3" t="str">
        <f>IFERROR(__xludf.DUMMYFUNCTION("""COMPUTED_VALUE"""),"Pillai")</f>
        <v>Pillai</v>
      </c>
      <c r="H662" s="3" t="s">
        <v>19</v>
      </c>
      <c r="I662" s="3">
        <v>2027.0</v>
      </c>
      <c r="J662" s="3">
        <f t="shared" si="2"/>
        <v>5000</v>
      </c>
      <c r="K662" s="3" t="s">
        <v>20</v>
      </c>
      <c r="L662" s="3">
        <v>0.0</v>
      </c>
      <c r="M662" s="3" t="s">
        <v>21</v>
      </c>
      <c r="N662" s="3">
        <f>RANDBETWEEN(0,10)</f>
        <v>7</v>
      </c>
      <c r="O662" s="3" t="s">
        <v>41</v>
      </c>
      <c r="P662" s="3" t="s">
        <v>23</v>
      </c>
      <c r="Q662" s="6">
        <f t="shared" si="3"/>
        <v>430000</v>
      </c>
    </row>
    <row r="663">
      <c r="A663" s="3">
        <v>65360.0</v>
      </c>
      <c r="B663" s="3" t="s">
        <v>592</v>
      </c>
      <c r="C663" s="3" t="s">
        <v>18</v>
      </c>
      <c r="D663" s="4" t="str">
        <f t="shared" si="1"/>
        <v>Mr.</v>
      </c>
      <c r="E663" s="3" t="str">
        <f t="shared" si="4"/>
        <v>Mr. Ayaan Agarwal</v>
      </c>
      <c r="F663" s="3" t="str">
        <f>IFERROR(__xludf.DUMMYFUNCTION("SPLIT(B663,"" "")"),"Ayaan")</f>
        <v>Ayaan</v>
      </c>
      <c r="G663" s="3" t="str">
        <f>IFERROR(__xludf.DUMMYFUNCTION("""COMPUTED_VALUE"""),"Agarwal")</f>
        <v>Agarwal</v>
      </c>
      <c r="H663" s="3" t="s">
        <v>46</v>
      </c>
      <c r="I663" s="3">
        <v>2022.0</v>
      </c>
      <c r="J663" s="3">
        <f t="shared" si="2"/>
        <v>5000</v>
      </c>
      <c r="K663" s="3" t="s">
        <v>26</v>
      </c>
      <c r="L663" s="10">
        <v>4168.0</v>
      </c>
      <c r="M663" s="3" t="s">
        <v>21</v>
      </c>
      <c r="N663" s="3">
        <v>79.0</v>
      </c>
      <c r="O663" s="3" t="s">
        <v>22</v>
      </c>
      <c r="P663" s="3" t="s">
        <v>31</v>
      </c>
      <c r="Q663" s="6">
        <f t="shared" si="3"/>
        <v>910000</v>
      </c>
    </row>
    <row r="664">
      <c r="A664" s="3">
        <v>65361.0</v>
      </c>
      <c r="B664" s="3" t="s">
        <v>361</v>
      </c>
      <c r="C664" s="3" t="s">
        <v>35</v>
      </c>
      <c r="D664" s="4" t="str">
        <f t="shared" si="1"/>
        <v>Ms.</v>
      </c>
      <c r="E664" s="3" t="str">
        <f t="shared" si="4"/>
        <v>Ms. Mishka Nair</v>
      </c>
      <c r="F664" s="3" t="str">
        <f>IFERROR(__xludf.DUMMYFUNCTION("SPLIT(B664,"" "")"),"Mishka")</f>
        <v>Mishka</v>
      </c>
      <c r="G664" s="3" t="str">
        <f>IFERROR(__xludf.DUMMYFUNCTION("""COMPUTED_VALUE"""),"Nair")</f>
        <v>Nair</v>
      </c>
      <c r="H664" s="3" t="s">
        <v>46</v>
      </c>
      <c r="I664" s="3">
        <v>2025.0</v>
      </c>
      <c r="J664" s="3">
        <f t="shared" si="2"/>
        <v>5000</v>
      </c>
      <c r="K664" s="3" t="s">
        <v>26</v>
      </c>
      <c r="L664" s="3">
        <v>15053.0</v>
      </c>
      <c r="M664" s="3" t="s">
        <v>21</v>
      </c>
      <c r="N664" s="3">
        <v>5.0</v>
      </c>
      <c r="O664" s="3" t="s">
        <v>22</v>
      </c>
      <c r="P664" s="3" t="s">
        <v>31</v>
      </c>
      <c r="Q664" s="6">
        <f t="shared" si="3"/>
        <v>910000</v>
      </c>
    </row>
    <row r="665">
      <c r="A665" s="3">
        <v>65362.0</v>
      </c>
      <c r="B665" s="3" t="s">
        <v>296</v>
      </c>
      <c r="C665" s="3" t="s">
        <v>18</v>
      </c>
      <c r="D665" s="4" t="str">
        <f t="shared" si="1"/>
        <v>Mr.</v>
      </c>
      <c r="E665" s="3" t="str">
        <f t="shared" si="4"/>
        <v>Mr. Shaurya Singh</v>
      </c>
      <c r="F665" s="3" t="str">
        <f>IFERROR(__xludf.DUMMYFUNCTION("SPLIT(B665,"" "")"),"Shaurya")</f>
        <v>Shaurya</v>
      </c>
      <c r="G665" s="3" t="str">
        <f>IFERROR(__xludf.DUMMYFUNCTION("""COMPUTED_VALUE"""),"Singh")</f>
        <v>Singh</v>
      </c>
      <c r="H665" s="3" t="s">
        <v>33</v>
      </c>
      <c r="I665" s="3">
        <v>2022.0</v>
      </c>
      <c r="J665" s="3">
        <f t="shared" si="2"/>
        <v>10000</v>
      </c>
      <c r="K665" s="3" t="s">
        <v>20</v>
      </c>
      <c r="L665" s="3">
        <v>0.0</v>
      </c>
      <c r="M665" s="3" t="s">
        <v>21</v>
      </c>
      <c r="N665" s="3">
        <f>RANDBETWEEN(0,10)</f>
        <v>8</v>
      </c>
      <c r="O665" s="3" t="s">
        <v>22</v>
      </c>
      <c r="P665" s="3" t="s">
        <v>31</v>
      </c>
      <c r="Q665" s="6">
        <f t="shared" si="3"/>
        <v>910000</v>
      </c>
    </row>
    <row r="666">
      <c r="A666" s="3">
        <v>65363.0</v>
      </c>
      <c r="B666" s="3" t="s">
        <v>306</v>
      </c>
      <c r="C666" s="3" t="s">
        <v>18</v>
      </c>
      <c r="D666" s="4" t="str">
        <f t="shared" si="1"/>
        <v>Mr.</v>
      </c>
      <c r="E666" s="3" t="str">
        <f t="shared" si="4"/>
        <v>Mr. Kabir Verma</v>
      </c>
      <c r="F666" s="3" t="str">
        <f>IFERROR(__xludf.DUMMYFUNCTION("SPLIT(B666,"" "")"),"Kabir")</f>
        <v>Kabir</v>
      </c>
      <c r="G666" s="3" t="str">
        <f>IFERROR(__xludf.DUMMYFUNCTION("""COMPUTED_VALUE"""),"Verma")</f>
        <v>Verma</v>
      </c>
      <c r="H666" s="3" t="s">
        <v>46</v>
      </c>
      <c r="I666" s="3">
        <v>2025.0</v>
      </c>
      <c r="J666" s="3">
        <f t="shared" si="2"/>
        <v>5000</v>
      </c>
      <c r="K666" s="3" t="s">
        <v>26</v>
      </c>
      <c r="L666" s="3">
        <v>16277.0</v>
      </c>
      <c r="M666" s="3" t="s">
        <v>21</v>
      </c>
      <c r="N666" s="3">
        <v>65.0</v>
      </c>
      <c r="O666" s="3" t="s">
        <v>22</v>
      </c>
      <c r="P666" s="3" t="s">
        <v>78</v>
      </c>
      <c r="Q666" s="6">
        <f t="shared" si="3"/>
        <v>255000</v>
      </c>
    </row>
    <row r="667">
      <c r="A667" s="3">
        <v>65364.0</v>
      </c>
      <c r="B667" s="3" t="s">
        <v>593</v>
      </c>
      <c r="C667" s="3" t="s">
        <v>35</v>
      </c>
      <c r="D667" s="4" t="str">
        <f t="shared" si="1"/>
        <v>Ms.</v>
      </c>
      <c r="E667" s="3" t="str">
        <f t="shared" si="4"/>
        <v>Ms. Lavanya Mishra</v>
      </c>
      <c r="F667" s="3" t="str">
        <f>IFERROR(__xludf.DUMMYFUNCTION("SPLIT(B667,"" "")"),"Lavanya")</f>
        <v>Lavanya</v>
      </c>
      <c r="G667" s="3" t="str">
        <f>IFERROR(__xludf.DUMMYFUNCTION("""COMPUTED_VALUE"""),"Mishra")</f>
        <v>Mishra</v>
      </c>
      <c r="H667" s="3" t="s">
        <v>25</v>
      </c>
      <c r="I667" s="3">
        <v>2026.0</v>
      </c>
      <c r="J667" s="3">
        <f t="shared" si="2"/>
        <v>10000</v>
      </c>
      <c r="K667" s="3" t="s">
        <v>20</v>
      </c>
      <c r="L667" s="3">
        <v>0.0</v>
      </c>
      <c r="M667" s="3" t="s">
        <v>21</v>
      </c>
      <c r="N667" s="3">
        <v>3.0</v>
      </c>
      <c r="O667" s="3" t="s">
        <v>22</v>
      </c>
      <c r="P667" s="3" t="s">
        <v>23</v>
      </c>
      <c r="Q667" s="6">
        <f t="shared" si="3"/>
        <v>430000</v>
      </c>
    </row>
    <row r="668">
      <c r="A668" s="3">
        <v>65365.0</v>
      </c>
      <c r="B668" s="3" t="s">
        <v>594</v>
      </c>
      <c r="C668" s="3" t="s">
        <v>35</v>
      </c>
      <c r="D668" s="4" t="str">
        <f t="shared" si="1"/>
        <v>Ms.</v>
      </c>
      <c r="E668" s="3" t="str">
        <f t="shared" si="4"/>
        <v>Ms. Sara Mishra</v>
      </c>
      <c r="F668" s="3" t="str">
        <f>IFERROR(__xludf.DUMMYFUNCTION("SPLIT(B668,"" "")"),"Sara")</f>
        <v>Sara</v>
      </c>
      <c r="G668" s="3" t="str">
        <f>IFERROR(__xludf.DUMMYFUNCTION("""COMPUTED_VALUE"""),"Mishra")</f>
        <v>Mishra</v>
      </c>
      <c r="H668" s="3" t="s">
        <v>46</v>
      </c>
      <c r="I668" s="3">
        <v>2028.0</v>
      </c>
      <c r="J668" s="3">
        <f t="shared" si="2"/>
        <v>5000</v>
      </c>
      <c r="K668" s="3" t="s">
        <v>20</v>
      </c>
      <c r="L668" s="3">
        <v>0.0</v>
      </c>
      <c r="M668" s="3" t="s">
        <v>21</v>
      </c>
      <c r="N668" s="3">
        <v>28.0</v>
      </c>
      <c r="O668" s="3" t="s">
        <v>22</v>
      </c>
      <c r="P668" s="3" t="s">
        <v>28</v>
      </c>
      <c r="Q668" s="6">
        <f t="shared" si="3"/>
        <v>400000</v>
      </c>
    </row>
    <row r="669">
      <c r="A669" s="3">
        <v>65366.0</v>
      </c>
      <c r="B669" s="3" t="s">
        <v>595</v>
      </c>
      <c r="C669" s="3" t="s">
        <v>35</v>
      </c>
      <c r="D669" s="4" t="str">
        <f t="shared" si="1"/>
        <v>Ms.</v>
      </c>
      <c r="E669" s="3" t="str">
        <f t="shared" si="4"/>
        <v>Ms. Naira Sinha</v>
      </c>
      <c r="F669" s="3" t="str">
        <f>IFERROR(__xludf.DUMMYFUNCTION("SPLIT(B669,"" "")"),"Naira")</f>
        <v>Naira</v>
      </c>
      <c r="G669" s="3" t="str">
        <f>IFERROR(__xludf.DUMMYFUNCTION("""COMPUTED_VALUE"""),"Sinha")</f>
        <v>Sinha</v>
      </c>
      <c r="H669" s="3" t="s">
        <v>46</v>
      </c>
      <c r="I669" s="3">
        <v>2026.0</v>
      </c>
      <c r="J669" s="3">
        <f t="shared" si="2"/>
        <v>5000</v>
      </c>
      <c r="K669" s="3" t="s">
        <v>20</v>
      </c>
      <c r="L669" s="10">
        <v>1623.0</v>
      </c>
      <c r="M669" s="3" t="s">
        <v>21</v>
      </c>
      <c r="N669" s="3">
        <f t="shared" ref="N669:N670" si="34">RANDBETWEEN(0,10)</f>
        <v>5</v>
      </c>
      <c r="O669" s="3" t="s">
        <v>41</v>
      </c>
      <c r="P669" s="3" t="s">
        <v>23</v>
      </c>
      <c r="Q669" s="6">
        <f t="shared" si="3"/>
        <v>430000</v>
      </c>
    </row>
    <row r="670">
      <c r="A670" s="3">
        <v>65367.0</v>
      </c>
      <c r="B670" s="3" t="s">
        <v>596</v>
      </c>
      <c r="C670" s="3" t="s">
        <v>18</v>
      </c>
      <c r="D670" s="4" t="str">
        <f t="shared" si="1"/>
        <v>Mr.</v>
      </c>
      <c r="E670" s="3" t="str">
        <f t="shared" si="4"/>
        <v>Mr. Shivansh Mehta</v>
      </c>
      <c r="F670" s="3" t="str">
        <f>IFERROR(__xludf.DUMMYFUNCTION("SPLIT(B670,"" "")"),"Shivansh")</f>
        <v>Shivansh</v>
      </c>
      <c r="G670" s="3" t="str">
        <f>IFERROR(__xludf.DUMMYFUNCTION("""COMPUTED_VALUE"""),"Mehta")</f>
        <v>Mehta</v>
      </c>
      <c r="H670" s="3" t="s">
        <v>19</v>
      </c>
      <c r="I670" s="3">
        <v>2021.0</v>
      </c>
      <c r="J670" s="3">
        <f t="shared" si="2"/>
        <v>5000</v>
      </c>
      <c r="K670" s="3" t="s">
        <v>20</v>
      </c>
      <c r="L670" s="10">
        <v>1450.0</v>
      </c>
      <c r="M670" s="3" t="s">
        <v>21</v>
      </c>
      <c r="N670" s="3">
        <f t="shared" si="34"/>
        <v>2</v>
      </c>
      <c r="O670" s="3" t="s">
        <v>22</v>
      </c>
      <c r="P670" s="3" t="s">
        <v>28</v>
      </c>
      <c r="Q670" s="6">
        <f t="shared" si="3"/>
        <v>400000</v>
      </c>
    </row>
    <row r="671">
      <c r="A671" s="3">
        <v>65368.0</v>
      </c>
      <c r="B671" s="3" t="s">
        <v>597</v>
      </c>
      <c r="C671" s="3" t="s">
        <v>35</v>
      </c>
      <c r="D671" s="4" t="str">
        <f t="shared" si="1"/>
        <v>Ms.</v>
      </c>
      <c r="E671" s="3" t="str">
        <f t="shared" si="4"/>
        <v>Ms. Inaaya Desai</v>
      </c>
      <c r="F671" s="3" t="str">
        <f>IFERROR(__xludf.DUMMYFUNCTION("SPLIT(B671,"" "")"),"Inaaya")</f>
        <v>Inaaya</v>
      </c>
      <c r="G671" s="3" t="str">
        <f>IFERROR(__xludf.DUMMYFUNCTION("""COMPUTED_VALUE"""),"Desai")</f>
        <v>Desai</v>
      </c>
      <c r="H671" s="3" t="s">
        <v>25</v>
      </c>
      <c r="I671" s="3">
        <v>2024.0</v>
      </c>
      <c r="J671" s="3">
        <f t="shared" si="2"/>
        <v>10000</v>
      </c>
      <c r="K671" s="3" t="s">
        <v>26</v>
      </c>
      <c r="L671" s="3">
        <v>1259.0</v>
      </c>
      <c r="M671" s="3" t="s">
        <v>21</v>
      </c>
      <c r="N671" s="3">
        <v>78.0</v>
      </c>
      <c r="O671" s="3" t="s">
        <v>22</v>
      </c>
      <c r="P671" s="3" t="s">
        <v>31</v>
      </c>
      <c r="Q671" s="6">
        <f t="shared" si="3"/>
        <v>910000</v>
      </c>
    </row>
    <row r="672">
      <c r="A672" s="3">
        <v>65369.0</v>
      </c>
      <c r="B672" s="3" t="s">
        <v>598</v>
      </c>
      <c r="C672" s="3" t="s">
        <v>18</v>
      </c>
      <c r="D672" s="4" t="str">
        <f t="shared" si="1"/>
        <v>Mr.</v>
      </c>
      <c r="E672" s="3" t="str">
        <f t="shared" si="4"/>
        <v>Mr. Aaryan Thakur</v>
      </c>
      <c r="F672" s="3" t="str">
        <f>IFERROR(__xludf.DUMMYFUNCTION("SPLIT(B672,"" "")"),"Aaryan")</f>
        <v>Aaryan</v>
      </c>
      <c r="G672" s="3" t="str">
        <f>IFERROR(__xludf.DUMMYFUNCTION("""COMPUTED_VALUE"""),"Thakur")</f>
        <v>Thakur</v>
      </c>
      <c r="H672" s="3" t="s">
        <v>25</v>
      </c>
      <c r="I672" s="3">
        <v>2025.0</v>
      </c>
      <c r="J672" s="3">
        <f t="shared" si="2"/>
        <v>10000</v>
      </c>
      <c r="K672" s="3" t="s">
        <v>20</v>
      </c>
      <c r="L672" s="3">
        <v>0.0</v>
      </c>
      <c r="M672" s="3" t="s">
        <v>21</v>
      </c>
      <c r="N672" s="3">
        <v>18.0</v>
      </c>
      <c r="O672" s="3" t="s">
        <v>22</v>
      </c>
      <c r="P672" s="3" t="s">
        <v>28</v>
      </c>
      <c r="Q672" s="6">
        <f t="shared" si="3"/>
        <v>400000</v>
      </c>
    </row>
    <row r="673">
      <c r="A673" s="3">
        <v>65370.0</v>
      </c>
      <c r="B673" s="3" t="s">
        <v>599</v>
      </c>
      <c r="C673" s="3" t="s">
        <v>35</v>
      </c>
      <c r="D673" s="4" t="str">
        <f t="shared" si="1"/>
        <v>Ms.</v>
      </c>
      <c r="E673" s="3" t="str">
        <f t="shared" si="4"/>
        <v>Ms. Myra Bhatt</v>
      </c>
      <c r="F673" s="3" t="str">
        <f>IFERROR(__xludf.DUMMYFUNCTION("SPLIT(B673,"" "")"),"Myra")</f>
        <v>Myra</v>
      </c>
      <c r="G673" s="3" t="str">
        <f>IFERROR(__xludf.DUMMYFUNCTION("""COMPUTED_VALUE"""),"Bhatt")</f>
        <v>Bhatt</v>
      </c>
      <c r="H673" s="3" t="s">
        <v>25</v>
      </c>
      <c r="I673" s="3">
        <v>2022.0</v>
      </c>
      <c r="J673" s="3">
        <f t="shared" si="2"/>
        <v>10000</v>
      </c>
      <c r="K673" s="3" t="s">
        <v>20</v>
      </c>
      <c r="L673" s="3">
        <v>219.0</v>
      </c>
      <c r="M673" s="3" t="s">
        <v>21</v>
      </c>
      <c r="N673" s="3">
        <f>RANDBETWEEN(0,10)</f>
        <v>10</v>
      </c>
      <c r="O673" s="3" t="s">
        <v>41</v>
      </c>
      <c r="P673" s="3" t="s">
        <v>31</v>
      </c>
      <c r="Q673" s="6">
        <f t="shared" si="3"/>
        <v>910000</v>
      </c>
    </row>
    <row r="674">
      <c r="A674" s="3">
        <v>65371.0</v>
      </c>
      <c r="B674" s="3" t="s">
        <v>181</v>
      </c>
      <c r="C674" s="3" t="s">
        <v>35</v>
      </c>
      <c r="D674" s="4" t="str">
        <f t="shared" si="1"/>
        <v>Ms.</v>
      </c>
      <c r="E674" s="3" t="str">
        <f t="shared" si="4"/>
        <v>Ms. Myra Kulkarni</v>
      </c>
      <c r="F674" s="3" t="str">
        <f>IFERROR(__xludf.DUMMYFUNCTION("SPLIT(B674,"" "")"),"Myra")</f>
        <v>Myra</v>
      </c>
      <c r="G674" s="3" t="str">
        <f>IFERROR(__xludf.DUMMYFUNCTION("""COMPUTED_VALUE"""),"Kulkarni")</f>
        <v>Kulkarni</v>
      </c>
      <c r="H674" s="3" t="s">
        <v>25</v>
      </c>
      <c r="I674" s="3">
        <v>2027.0</v>
      </c>
      <c r="J674" s="3">
        <f t="shared" si="2"/>
        <v>10000</v>
      </c>
      <c r="K674" s="3" t="s">
        <v>26</v>
      </c>
      <c r="L674" s="3">
        <v>5467.0</v>
      </c>
      <c r="M674" s="3" t="s">
        <v>21</v>
      </c>
      <c r="N674" s="3">
        <v>2.0</v>
      </c>
      <c r="O674" s="3" t="s">
        <v>41</v>
      </c>
      <c r="P674" s="3" t="s">
        <v>78</v>
      </c>
      <c r="Q674" s="6">
        <f t="shared" si="3"/>
        <v>255000</v>
      </c>
    </row>
    <row r="675">
      <c r="A675" s="3">
        <v>65372.0</v>
      </c>
      <c r="B675" s="3" t="s">
        <v>600</v>
      </c>
      <c r="C675" s="3" t="s">
        <v>35</v>
      </c>
      <c r="D675" s="4" t="str">
        <f t="shared" si="1"/>
        <v>Ms.</v>
      </c>
      <c r="E675" s="3" t="str">
        <f t="shared" si="4"/>
        <v>Ms. Gauri Sinha</v>
      </c>
      <c r="F675" s="3" t="str">
        <f>IFERROR(__xludf.DUMMYFUNCTION("SPLIT(B675,"" "")"),"Gauri")</f>
        <v>Gauri</v>
      </c>
      <c r="G675" s="3" t="str">
        <f>IFERROR(__xludf.DUMMYFUNCTION("""COMPUTED_VALUE"""),"Sinha")</f>
        <v>Sinha</v>
      </c>
      <c r="H675" s="3" t="s">
        <v>46</v>
      </c>
      <c r="I675" s="3">
        <v>2023.0</v>
      </c>
      <c r="J675" s="3">
        <f t="shared" si="2"/>
        <v>5000</v>
      </c>
      <c r="K675" s="3" t="s">
        <v>26</v>
      </c>
      <c r="L675" s="3">
        <v>6702.0</v>
      </c>
      <c r="M675" s="3" t="s">
        <v>21</v>
      </c>
      <c r="N675" s="3">
        <f>RANDBETWEEN(0,10)</f>
        <v>9</v>
      </c>
      <c r="O675" s="3" t="s">
        <v>41</v>
      </c>
      <c r="P675" s="3" t="s">
        <v>23</v>
      </c>
      <c r="Q675" s="6">
        <f t="shared" si="3"/>
        <v>430000</v>
      </c>
    </row>
    <row r="676">
      <c r="A676" s="3">
        <v>65373.0</v>
      </c>
      <c r="B676" s="3" t="s">
        <v>366</v>
      </c>
      <c r="C676" s="3" t="s">
        <v>35</v>
      </c>
      <c r="D676" s="4" t="str">
        <f t="shared" si="1"/>
        <v>Ms.</v>
      </c>
      <c r="E676" s="3" t="str">
        <f t="shared" si="4"/>
        <v>Ms. Aarohi Mishra</v>
      </c>
      <c r="F676" s="3" t="str">
        <f>IFERROR(__xludf.DUMMYFUNCTION("SPLIT(B676,"" "")"),"Aarohi")</f>
        <v>Aarohi</v>
      </c>
      <c r="G676" s="3" t="str">
        <f>IFERROR(__xludf.DUMMYFUNCTION("""COMPUTED_VALUE"""),"Mishra")</f>
        <v>Mishra</v>
      </c>
      <c r="H676" s="3" t="s">
        <v>33</v>
      </c>
      <c r="I676" s="3">
        <v>2024.0</v>
      </c>
      <c r="J676" s="3">
        <f t="shared" si="2"/>
        <v>10000</v>
      </c>
      <c r="K676" s="3" t="s">
        <v>20</v>
      </c>
      <c r="L676" s="3">
        <v>0.0</v>
      </c>
      <c r="M676" s="3" t="s">
        <v>21</v>
      </c>
      <c r="N676" s="3">
        <v>37.0</v>
      </c>
      <c r="O676" s="3" t="s">
        <v>22</v>
      </c>
      <c r="P676" s="3" t="s">
        <v>38</v>
      </c>
      <c r="Q676" s="6">
        <f t="shared" si="3"/>
        <v>635000</v>
      </c>
    </row>
    <row r="677">
      <c r="A677" s="3">
        <v>65374.0</v>
      </c>
      <c r="B677" s="3" t="s">
        <v>591</v>
      </c>
      <c r="C677" s="3" t="s">
        <v>18</v>
      </c>
      <c r="D677" s="4" t="str">
        <f t="shared" si="1"/>
        <v>Mr.</v>
      </c>
      <c r="E677" s="3" t="str">
        <f t="shared" si="4"/>
        <v>Mr. Samarth Pillai</v>
      </c>
      <c r="F677" s="3" t="str">
        <f>IFERROR(__xludf.DUMMYFUNCTION("SPLIT(B677,"" "")"),"Samarth")</f>
        <v>Samarth</v>
      </c>
      <c r="G677" s="3" t="str">
        <f>IFERROR(__xludf.DUMMYFUNCTION("""COMPUTED_VALUE"""),"Pillai")</f>
        <v>Pillai</v>
      </c>
      <c r="H677" s="3" t="s">
        <v>25</v>
      </c>
      <c r="I677" s="3">
        <v>2024.0</v>
      </c>
      <c r="J677" s="3">
        <f t="shared" si="2"/>
        <v>10000</v>
      </c>
      <c r="K677" s="3" t="s">
        <v>20</v>
      </c>
      <c r="L677" s="3">
        <v>0.0</v>
      </c>
      <c r="M677" s="3" t="s">
        <v>21</v>
      </c>
      <c r="N677" s="3">
        <v>59.0</v>
      </c>
      <c r="O677" s="3" t="s">
        <v>22</v>
      </c>
      <c r="P677" s="3" t="s">
        <v>31</v>
      </c>
      <c r="Q677" s="6">
        <f t="shared" si="3"/>
        <v>910000</v>
      </c>
    </row>
    <row r="678">
      <c r="A678" s="3">
        <v>65375.0</v>
      </c>
      <c r="B678" s="3" t="s">
        <v>601</v>
      </c>
      <c r="C678" s="3" t="s">
        <v>18</v>
      </c>
      <c r="D678" s="4" t="str">
        <f t="shared" si="1"/>
        <v>Mr.</v>
      </c>
      <c r="E678" s="3" t="str">
        <f t="shared" si="4"/>
        <v>Mr. Dev Verma</v>
      </c>
      <c r="F678" s="3" t="str">
        <f>IFERROR(__xludf.DUMMYFUNCTION("SPLIT(B678,"" "")"),"Dev")</f>
        <v>Dev</v>
      </c>
      <c r="G678" s="3" t="str">
        <f>IFERROR(__xludf.DUMMYFUNCTION("""COMPUTED_VALUE"""),"Verma")</f>
        <v>Verma</v>
      </c>
      <c r="H678" s="3" t="s">
        <v>33</v>
      </c>
      <c r="I678" s="3">
        <v>2024.0</v>
      </c>
      <c r="J678" s="3">
        <f t="shared" si="2"/>
        <v>10000</v>
      </c>
      <c r="K678" s="3" t="s">
        <v>20</v>
      </c>
      <c r="L678" s="10">
        <v>1457.0</v>
      </c>
      <c r="M678" s="3" t="s">
        <v>30</v>
      </c>
      <c r="N678" s="3">
        <v>48.0</v>
      </c>
      <c r="O678" s="3" t="s">
        <v>41</v>
      </c>
      <c r="P678" s="3" t="s">
        <v>23</v>
      </c>
      <c r="Q678" s="6">
        <f t="shared" si="3"/>
        <v>430000</v>
      </c>
    </row>
    <row r="679">
      <c r="A679" s="3">
        <v>65376.0</v>
      </c>
      <c r="B679" s="3" t="s">
        <v>602</v>
      </c>
      <c r="C679" s="3" t="s">
        <v>35</v>
      </c>
      <c r="D679" s="4" t="str">
        <f t="shared" si="1"/>
        <v>Ms.</v>
      </c>
      <c r="E679" s="3" t="str">
        <f t="shared" si="4"/>
        <v>Ms. Charvi Thakur</v>
      </c>
      <c r="F679" s="3" t="str">
        <f>IFERROR(__xludf.DUMMYFUNCTION("SPLIT(B679,"" "")"),"Charvi")</f>
        <v>Charvi</v>
      </c>
      <c r="G679" s="3" t="str">
        <f>IFERROR(__xludf.DUMMYFUNCTION("""COMPUTED_VALUE"""),"Thakur")</f>
        <v>Thakur</v>
      </c>
      <c r="H679" s="3" t="s">
        <v>19</v>
      </c>
      <c r="I679" s="3">
        <v>2027.0</v>
      </c>
      <c r="J679" s="3">
        <f t="shared" si="2"/>
        <v>5000</v>
      </c>
      <c r="K679" s="3" t="s">
        <v>20</v>
      </c>
      <c r="L679" s="3">
        <v>0.0</v>
      </c>
      <c r="M679" s="3" t="s">
        <v>21</v>
      </c>
      <c r="N679" s="3">
        <v>37.0</v>
      </c>
      <c r="O679" s="3" t="s">
        <v>22</v>
      </c>
      <c r="P679" s="3" t="s">
        <v>38</v>
      </c>
      <c r="Q679" s="6">
        <f t="shared" si="3"/>
        <v>635000</v>
      </c>
    </row>
    <row r="680">
      <c r="A680" s="3">
        <v>65377.0</v>
      </c>
      <c r="B680" s="3" t="s">
        <v>603</v>
      </c>
      <c r="C680" s="3" t="s">
        <v>35</v>
      </c>
      <c r="D680" s="4" t="str">
        <f t="shared" si="1"/>
        <v>Ms.</v>
      </c>
      <c r="E680" s="3" t="str">
        <f t="shared" si="4"/>
        <v>Ms. Saanvi Chopra</v>
      </c>
      <c r="F680" s="3" t="str">
        <f>IFERROR(__xludf.DUMMYFUNCTION("SPLIT(B680,"" "")"),"Saanvi")</f>
        <v>Saanvi</v>
      </c>
      <c r="G680" s="3" t="str">
        <f>IFERROR(__xludf.DUMMYFUNCTION("""COMPUTED_VALUE"""),"Chopra")</f>
        <v>Chopra</v>
      </c>
      <c r="H680" s="3" t="s">
        <v>33</v>
      </c>
      <c r="I680" s="3">
        <v>2025.0</v>
      </c>
      <c r="J680" s="3">
        <f t="shared" si="2"/>
        <v>10000</v>
      </c>
      <c r="K680" s="3" t="s">
        <v>20</v>
      </c>
      <c r="L680" s="3">
        <v>0.0</v>
      </c>
      <c r="M680" s="3" t="s">
        <v>21</v>
      </c>
      <c r="N680" s="3">
        <v>11.0</v>
      </c>
      <c r="O680" s="3" t="s">
        <v>22</v>
      </c>
      <c r="P680" s="3" t="s">
        <v>31</v>
      </c>
      <c r="Q680" s="6">
        <f t="shared" si="3"/>
        <v>910000</v>
      </c>
    </row>
    <row r="681">
      <c r="A681" s="3">
        <v>65379.0</v>
      </c>
      <c r="B681" s="3" t="s">
        <v>604</v>
      </c>
      <c r="C681" s="3" t="s">
        <v>18</v>
      </c>
      <c r="D681" s="4" t="str">
        <f t="shared" si="1"/>
        <v>Mr.</v>
      </c>
      <c r="E681" s="3" t="str">
        <f t="shared" si="4"/>
        <v>Mr. Yashvi Mishra</v>
      </c>
      <c r="F681" s="3" t="str">
        <f>IFERROR(__xludf.DUMMYFUNCTION("SPLIT(B681,"" "")"),"Yashvi")</f>
        <v>Yashvi</v>
      </c>
      <c r="G681" s="3" t="str">
        <f>IFERROR(__xludf.DUMMYFUNCTION("""COMPUTED_VALUE"""),"Mishra")</f>
        <v>Mishra</v>
      </c>
      <c r="H681" s="3" t="s">
        <v>46</v>
      </c>
      <c r="I681" s="3">
        <v>2021.0</v>
      </c>
      <c r="J681" s="3">
        <f t="shared" si="2"/>
        <v>5000</v>
      </c>
      <c r="K681" s="3" t="s">
        <v>26</v>
      </c>
      <c r="L681" s="3">
        <v>19656.0</v>
      </c>
      <c r="M681" s="3" t="s">
        <v>21</v>
      </c>
      <c r="N681" s="3">
        <v>65.0</v>
      </c>
      <c r="O681" s="3" t="s">
        <v>22</v>
      </c>
      <c r="P681" s="3" t="s">
        <v>31</v>
      </c>
      <c r="Q681" s="6">
        <f t="shared" si="3"/>
        <v>910000</v>
      </c>
    </row>
    <row r="682">
      <c r="A682" s="3">
        <v>65380.0</v>
      </c>
      <c r="B682" s="3" t="s">
        <v>605</v>
      </c>
      <c r="C682" s="3" t="s">
        <v>18</v>
      </c>
      <c r="D682" s="4" t="str">
        <f t="shared" si="1"/>
        <v>Mr.</v>
      </c>
      <c r="E682" s="3" t="str">
        <f t="shared" si="4"/>
        <v>Mr. Arjun Patel</v>
      </c>
      <c r="F682" s="3" t="str">
        <f>IFERROR(__xludf.DUMMYFUNCTION("SPLIT(B682,"" "")"),"Arjun")</f>
        <v>Arjun</v>
      </c>
      <c r="G682" s="3" t="str">
        <f>IFERROR(__xludf.DUMMYFUNCTION("""COMPUTED_VALUE"""),"Patel")</f>
        <v>Patel</v>
      </c>
      <c r="H682" s="3" t="s">
        <v>25</v>
      </c>
      <c r="I682" s="3">
        <v>2022.0</v>
      </c>
      <c r="J682" s="3">
        <f t="shared" si="2"/>
        <v>10000</v>
      </c>
      <c r="K682" s="3" t="s">
        <v>26</v>
      </c>
      <c r="L682" s="3">
        <v>3141.0</v>
      </c>
      <c r="M682" s="3" t="s">
        <v>21</v>
      </c>
      <c r="N682" s="3">
        <v>5.0</v>
      </c>
      <c r="O682" s="3" t="s">
        <v>22</v>
      </c>
      <c r="P682" s="3" t="s">
        <v>38</v>
      </c>
      <c r="Q682" s="6">
        <f t="shared" si="3"/>
        <v>635000</v>
      </c>
    </row>
    <row r="683">
      <c r="A683" s="3">
        <v>65381.0</v>
      </c>
      <c r="B683" s="3" t="s">
        <v>606</v>
      </c>
      <c r="C683" s="3" t="s">
        <v>35</v>
      </c>
      <c r="D683" s="4" t="str">
        <f t="shared" si="1"/>
        <v>Ms.</v>
      </c>
      <c r="E683" s="3" t="str">
        <f t="shared" si="4"/>
        <v>Ms. Saanvi Bhatt</v>
      </c>
      <c r="F683" s="3" t="str">
        <f>IFERROR(__xludf.DUMMYFUNCTION("SPLIT(B683,"" "")"),"Saanvi")</f>
        <v>Saanvi</v>
      </c>
      <c r="G683" s="3" t="str">
        <f>IFERROR(__xludf.DUMMYFUNCTION("""COMPUTED_VALUE"""),"Bhatt")</f>
        <v>Bhatt</v>
      </c>
      <c r="H683" s="3" t="s">
        <v>46</v>
      </c>
      <c r="I683" s="3">
        <v>2025.0</v>
      </c>
      <c r="J683" s="3">
        <f t="shared" si="2"/>
        <v>5000</v>
      </c>
      <c r="K683" s="3" t="s">
        <v>26</v>
      </c>
      <c r="L683" s="3">
        <v>15734.0</v>
      </c>
      <c r="M683" s="3" t="s">
        <v>21</v>
      </c>
      <c r="N683" s="3">
        <v>22.0</v>
      </c>
      <c r="O683" s="3" t="s">
        <v>22</v>
      </c>
      <c r="P683" s="3" t="s">
        <v>78</v>
      </c>
      <c r="Q683" s="6">
        <f t="shared" si="3"/>
        <v>255000</v>
      </c>
    </row>
    <row r="684">
      <c r="A684" s="3">
        <v>65382.0</v>
      </c>
      <c r="B684" s="3" t="s">
        <v>170</v>
      </c>
      <c r="C684" s="3" t="s">
        <v>35</v>
      </c>
      <c r="D684" s="4" t="str">
        <f t="shared" si="1"/>
        <v>Ms.</v>
      </c>
      <c r="E684" s="3" t="str">
        <f t="shared" si="4"/>
        <v>Ms. Avni Agarwal</v>
      </c>
      <c r="F684" s="3" t="str">
        <f>IFERROR(__xludf.DUMMYFUNCTION("SPLIT(B684,"" "")"),"Avni")</f>
        <v>Avni</v>
      </c>
      <c r="G684" s="3" t="str">
        <f>IFERROR(__xludf.DUMMYFUNCTION("""COMPUTED_VALUE"""),"Agarwal")</f>
        <v>Agarwal</v>
      </c>
      <c r="H684" s="3" t="s">
        <v>46</v>
      </c>
      <c r="I684" s="3">
        <v>2023.0</v>
      </c>
      <c r="J684" s="3">
        <f t="shared" si="2"/>
        <v>5000</v>
      </c>
      <c r="K684" s="3" t="s">
        <v>20</v>
      </c>
      <c r="L684" s="3">
        <v>0.0</v>
      </c>
      <c r="M684" s="3" t="s">
        <v>21</v>
      </c>
      <c r="N684" s="3">
        <v>64.0</v>
      </c>
      <c r="O684" s="3" t="s">
        <v>22</v>
      </c>
      <c r="P684" s="3" t="s">
        <v>23</v>
      </c>
      <c r="Q684" s="6">
        <f t="shared" si="3"/>
        <v>430000</v>
      </c>
    </row>
    <row r="685">
      <c r="A685" s="3">
        <v>65383.0</v>
      </c>
      <c r="B685" s="3" t="s">
        <v>172</v>
      </c>
      <c r="C685" s="3" t="s">
        <v>18</v>
      </c>
      <c r="D685" s="4" t="str">
        <f t="shared" si="1"/>
        <v>Mr.</v>
      </c>
      <c r="E685" s="3" t="str">
        <f t="shared" si="4"/>
        <v>Mr. Aryan Bhatt</v>
      </c>
      <c r="F685" s="3" t="str">
        <f>IFERROR(__xludf.DUMMYFUNCTION("SPLIT(B685,"" "")"),"Aryan")</f>
        <v>Aryan</v>
      </c>
      <c r="G685" s="3" t="str">
        <f>IFERROR(__xludf.DUMMYFUNCTION("""COMPUTED_VALUE"""),"Bhatt")</f>
        <v>Bhatt</v>
      </c>
      <c r="H685" s="3" t="s">
        <v>33</v>
      </c>
      <c r="I685" s="3">
        <v>2025.0</v>
      </c>
      <c r="J685" s="3">
        <f t="shared" si="2"/>
        <v>10000</v>
      </c>
      <c r="K685" s="3" t="s">
        <v>26</v>
      </c>
      <c r="L685" s="3">
        <v>2491.0</v>
      </c>
      <c r="M685" s="3" t="s">
        <v>21</v>
      </c>
      <c r="N685" s="3">
        <v>75.0</v>
      </c>
      <c r="O685" s="3" t="s">
        <v>22</v>
      </c>
      <c r="P685" s="3" t="s">
        <v>38</v>
      </c>
      <c r="Q685" s="6">
        <f t="shared" si="3"/>
        <v>635000</v>
      </c>
    </row>
    <row r="686">
      <c r="A686" s="3">
        <v>65384.0</v>
      </c>
      <c r="B686" s="3" t="s">
        <v>607</v>
      </c>
      <c r="C686" s="3" t="s">
        <v>18</v>
      </c>
      <c r="D686" s="4" t="str">
        <f t="shared" si="1"/>
        <v>Mr.</v>
      </c>
      <c r="E686" s="3" t="str">
        <f t="shared" si="4"/>
        <v>Mr. Yashvi Mehta</v>
      </c>
      <c r="F686" s="3" t="str">
        <f>IFERROR(__xludf.DUMMYFUNCTION("SPLIT(B686,"" "")"),"Yashvi")</f>
        <v>Yashvi</v>
      </c>
      <c r="G686" s="3" t="str">
        <f>IFERROR(__xludf.DUMMYFUNCTION("""COMPUTED_VALUE"""),"Mehta")</f>
        <v>Mehta</v>
      </c>
      <c r="H686" s="3" t="s">
        <v>33</v>
      </c>
      <c r="I686" s="3">
        <v>2028.0</v>
      </c>
      <c r="J686" s="3">
        <f t="shared" si="2"/>
        <v>10000</v>
      </c>
      <c r="K686" s="3" t="s">
        <v>26</v>
      </c>
      <c r="L686" s="3">
        <v>12394.0</v>
      </c>
      <c r="M686" s="3" t="s">
        <v>21</v>
      </c>
      <c r="N686" s="3">
        <v>22.0</v>
      </c>
      <c r="O686" s="3" t="s">
        <v>22</v>
      </c>
      <c r="P686" s="3" t="s">
        <v>23</v>
      </c>
      <c r="Q686" s="6">
        <f t="shared" si="3"/>
        <v>430000</v>
      </c>
    </row>
    <row r="687">
      <c r="A687" s="3">
        <v>65385.0</v>
      </c>
      <c r="B687" s="3" t="s">
        <v>608</v>
      </c>
      <c r="C687" s="3" t="s">
        <v>18</v>
      </c>
      <c r="D687" s="4" t="str">
        <f t="shared" si="1"/>
        <v>Mr.</v>
      </c>
      <c r="E687" s="3" t="str">
        <f t="shared" si="4"/>
        <v>Mr. Om Mehta</v>
      </c>
      <c r="F687" s="3" t="str">
        <f>IFERROR(__xludf.DUMMYFUNCTION("SPLIT(B687,"" "")"),"Om")</f>
        <v>Om</v>
      </c>
      <c r="G687" s="3" t="str">
        <f>IFERROR(__xludf.DUMMYFUNCTION("""COMPUTED_VALUE"""),"Mehta")</f>
        <v>Mehta</v>
      </c>
      <c r="H687" s="3" t="s">
        <v>33</v>
      </c>
      <c r="I687" s="3">
        <v>2025.0</v>
      </c>
      <c r="J687" s="3">
        <f t="shared" si="2"/>
        <v>10000</v>
      </c>
      <c r="K687" s="3" t="s">
        <v>20</v>
      </c>
      <c r="L687" s="3">
        <v>0.0</v>
      </c>
      <c r="M687" s="3" t="s">
        <v>30</v>
      </c>
      <c r="N687" s="3">
        <v>72.0</v>
      </c>
      <c r="O687" s="3" t="s">
        <v>22</v>
      </c>
      <c r="P687" s="3" t="s">
        <v>28</v>
      </c>
      <c r="Q687" s="6">
        <f t="shared" si="3"/>
        <v>400000</v>
      </c>
    </row>
    <row r="688">
      <c r="A688" s="3">
        <v>65386.0</v>
      </c>
      <c r="B688" s="3" t="s">
        <v>247</v>
      </c>
      <c r="C688" s="3" t="s">
        <v>35</v>
      </c>
      <c r="D688" s="4" t="str">
        <f t="shared" si="1"/>
        <v>Ms.</v>
      </c>
      <c r="E688" s="3" t="str">
        <f t="shared" si="4"/>
        <v>Ms. Sara Agarwal</v>
      </c>
      <c r="F688" s="3" t="str">
        <f>IFERROR(__xludf.DUMMYFUNCTION("SPLIT(B688,"" "")"),"Sara")</f>
        <v>Sara</v>
      </c>
      <c r="G688" s="3" t="str">
        <f>IFERROR(__xludf.DUMMYFUNCTION("""COMPUTED_VALUE"""),"Agarwal")</f>
        <v>Agarwal</v>
      </c>
      <c r="H688" s="3" t="s">
        <v>25</v>
      </c>
      <c r="I688" s="3">
        <v>2022.0</v>
      </c>
      <c r="J688" s="3">
        <f t="shared" si="2"/>
        <v>10000</v>
      </c>
      <c r="K688" s="3" t="s">
        <v>20</v>
      </c>
      <c r="L688" s="3">
        <v>0.0</v>
      </c>
      <c r="M688" s="3" t="s">
        <v>21</v>
      </c>
      <c r="N688" s="3">
        <v>41.0</v>
      </c>
      <c r="O688" s="3" t="s">
        <v>22</v>
      </c>
      <c r="P688" s="3" t="s">
        <v>38</v>
      </c>
      <c r="Q688" s="6">
        <f t="shared" si="3"/>
        <v>635000</v>
      </c>
    </row>
    <row r="689">
      <c r="A689" s="3">
        <v>65387.0</v>
      </c>
      <c r="B689" s="3" t="s">
        <v>339</v>
      </c>
      <c r="C689" s="3" t="s">
        <v>35</v>
      </c>
      <c r="D689" s="4" t="str">
        <f t="shared" si="1"/>
        <v>Ms.</v>
      </c>
      <c r="E689" s="3" t="str">
        <f t="shared" si="4"/>
        <v>Ms. Anvi Dutta</v>
      </c>
      <c r="F689" s="3" t="str">
        <f>IFERROR(__xludf.DUMMYFUNCTION("SPLIT(B689,"" "")"),"Anvi")</f>
        <v>Anvi</v>
      </c>
      <c r="G689" s="3" t="str">
        <f>IFERROR(__xludf.DUMMYFUNCTION("""COMPUTED_VALUE"""),"Dutta")</f>
        <v>Dutta</v>
      </c>
      <c r="H689" s="3" t="s">
        <v>25</v>
      </c>
      <c r="I689" s="3">
        <v>2020.0</v>
      </c>
      <c r="J689" s="3">
        <f t="shared" si="2"/>
        <v>10000</v>
      </c>
      <c r="K689" s="3" t="s">
        <v>20</v>
      </c>
      <c r="L689" s="3">
        <v>0.0</v>
      </c>
      <c r="M689" s="3" t="s">
        <v>21</v>
      </c>
      <c r="N689" s="3">
        <v>46.0</v>
      </c>
      <c r="O689" s="3" t="s">
        <v>22</v>
      </c>
      <c r="P689" s="3" t="s">
        <v>38</v>
      </c>
      <c r="Q689" s="6">
        <f t="shared" si="3"/>
        <v>635000</v>
      </c>
    </row>
    <row r="690">
      <c r="A690" s="3">
        <v>65388.0</v>
      </c>
      <c r="B690" s="3" t="s">
        <v>515</v>
      </c>
      <c r="C690" s="3" t="s">
        <v>18</v>
      </c>
      <c r="D690" s="4" t="str">
        <f t="shared" si="1"/>
        <v>Mr.</v>
      </c>
      <c r="E690" s="3" t="str">
        <f t="shared" si="4"/>
        <v>Mr. Vihaan Prasad</v>
      </c>
      <c r="F690" s="3" t="str">
        <f>IFERROR(__xludf.DUMMYFUNCTION("SPLIT(B690,"" "")"),"Vihaan")</f>
        <v>Vihaan</v>
      </c>
      <c r="G690" s="3" t="str">
        <f>IFERROR(__xludf.DUMMYFUNCTION("""COMPUTED_VALUE"""),"Prasad")</f>
        <v>Prasad</v>
      </c>
      <c r="H690" s="3" t="s">
        <v>33</v>
      </c>
      <c r="I690" s="3">
        <v>2026.0</v>
      </c>
      <c r="J690" s="3">
        <f t="shared" si="2"/>
        <v>10000</v>
      </c>
      <c r="K690" s="3" t="s">
        <v>20</v>
      </c>
      <c r="L690" s="3">
        <v>0.0</v>
      </c>
      <c r="M690" s="3" t="s">
        <v>21</v>
      </c>
      <c r="N690" s="3">
        <v>62.0</v>
      </c>
      <c r="O690" s="3" t="s">
        <v>22</v>
      </c>
      <c r="P690" s="3" t="s">
        <v>31</v>
      </c>
      <c r="Q690" s="6">
        <f t="shared" si="3"/>
        <v>910000</v>
      </c>
    </row>
    <row r="691">
      <c r="A691" s="3">
        <v>65389.0</v>
      </c>
      <c r="B691" s="3" t="s">
        <v>609</v>
      </c>
      <c r="C691" s="3" t="s">
        <v>35</v>
      </c>
      <c r="D691" s="4" t="str">
        <f t="shared" si="1"/>
        <v>Ms.</v>
      </c>
      <c r="E691" s="3" t="str">
        <f t="shared" si="4"/>
        <v>Ms. Sara Pillai</v>
      </c>
      <c r="F691" s="3" t="str">
        <f>IFERROR(__xludf.DUMMYFUNCTION("SPLIT(B691,"" "")"),"Sara")</f>
        <v>Sara</v>
      </c>
      <c r="G691" s="3" t="str">
        <f>IFERROR(__xludf.DUMMYFUNCTION("""COMPUTED_VALUE"""),"Pillai")</f>
        <v>Pillai</v>
      </c>
      <c r="H691" s="3" t="s">
        <v>25</v>
      </c>
      <c r="I691" s="3">
        <v>2026.0</v>
      </c>
      <c r="J691" s="3">
        <f t="shared" si="2"/>
        <v>10000</v>
      </c>
      <c r="K691" s="3" t="s">
        <v>26</v>
      </c>
      <c r="L691" s="3">
        <v>1345.0</v>
      </c>
      <c r="M691" s="3" t="s">
        <v>21</v>
      </c>
      <c r="N691" s="3">
        <v>62.0</v>
      </c>
      <c r="O691" s="3" t="s">
        <v>41</v>
      </c>
      <c r="P691" s="3" t="s">
        <v>38</v>
      </c>
      <c r="Q691" s="6">
        <f t="shared" si="3"/>
        <v>635000</v>
      </c>
    </row>
    <row r="692">
      <c r="A692" s="3">
        <v>65390.0</v>
      </c>
      <c r="B692" s="3" t="s">
        <v>610</v>
      </c>
      <c r="C692" s="3" t="s">
        <v>35</v>
      </c>
      <c r="D692" s="4" t="str">
        <f t="shared" si="1"/>
        <v>Ms.</v>
      </c>
      <c r="E692" s="3" t="str">
        <f t="shared" si="4"/>
        <v>Ms. Sara Bhatt</v>
      </c>
      <c r="F692" s="3" t="str">
        <f>IFERROR(__xludf.DUMMYFUNCTION("SPLIT(B692,"" "")"),"Sara")</f>
        <v>Sara</v>
      </c>
      <c r="G692" s="3" t="str">
        <f>IFERROR(__xludf.DUMMYFUNCTION("""COMPUTED_VALUE"""),"Bhatt")</f>
        <v>Bhatt</v>
      </c>
      <c r="H692" s="3" t="s">
        <v>46</v>
      </c>
      <c r="I692" s="3">
        <v>2019.0</v>
      </c>
      <c r="J692" s="3">
        <f t="shared" si="2"/>
        <v>5000</v>
      </c>
      <c r="K692" s="3" t="s">
        <v>26</v>
      </c>
      <c r="L692" s="3">
        <v>11285.0</v>
      </c>
      <c r="M692" s="3" t="s">
        <v>21</v>
      </c>
      <c r="N692" s="3">
        <v>63.0</v>
      </c>
      <c r="O692" s="3" t="s">
        <v>22</v>
      </c>
      <c r="P692" s="3" t="s">
        <v>38</v>
      </c>
      <c r="Q692" s="6">
        <f t="shared" si="3"/>
        <v>635000</v>
      </c>
    </row>
    <row r="693">
      <c r="A693" s="3">
        <v>65391.0</v>
      </c>
      <c r="B693" s="3" t="s">
        <v>115</v>
      </c>
      <c r="C693" s="3" t="s">
        <v>18</v>
      </c>
      <c r="D693" s="4" t="str">
        <f t="shared" si="1"/>
        <v>Mr.</v>
      </c>
      <c r="E693" s="3" t="str">
        <f t="shared" si="4"/>
        <v>Mr. Kian Agarwal</v>
      </c>
      <c r="F693" s="3" t="str">
        <f>IFERROR(__xludf.DUMMYFUNCTION("SPLIT(B693,"" "")"),"Kian")</f>
        <v>Kian</v>
      </c>
      <c r="G693" s="3" t="str">
        <f>IFERROR(__xludf.DUMMYFUNCTION("""COMPUTED_VALUE"""),"Agarwal")</f>
        <v>Agarwal</v>
      </c>
      <c r="H693" s="3" t="s">
        <v>33</v>
      </c>
      <c r="I693" s="3">
        <v>2023.0</v>
      </c>
      <c r="J693" s="3">
        <f t="shared" si="2"/>
        <v>10000</v>
      </c>
      <c r="K693" s="3" t="s">
        <v>20</v>
      </c>
      <c r="L693" s="10">
        <v>4374.0</v>
      </c>
      <c r="M693" s="3" t="s">
        <v>30</v>
      </c>
      <c r="N693" s="3">
        <f>RANDBETWEEN(0,10)</f>
        <v>10</v>
      </c>
      <c r="O693" s="3" t="s">
        <v>22</v>
      </c>
      <c r="P693" s="3" t="s">
        <v>38</v>
      </c>
      <c r="Q693" s="6">
        <f t="shared" si="3"/>
        <v>635000</v>
      </c>
    </row>
    <row r="694">
      <c r="A694" s="3">
        <v>65392.0</v>
      </c>
      <c r="B694" s="3" t="s">
        <v>611</v>
      </c>
      <c r="C694" s="3" t="s">
        <v>18</v>
      </c>
      <c r="D694" s="4" t="str">
        <f t="shared" si="1"/>
        <v>Mr.</v>
      </c>
      <c r="E694" s="3" t="str">
        <f t="shared" si="4"/>
        <v>Mr. Sai Kapoor</v>
      </c>
      <c r="F694" s="3" t="str">
        <f>IFERROR(__xludf.DUMMYFUNCTION("SPLIT(B694,"" "")"),"Sai")</f>
        <v>Sai</v>
      </c>
      <c r="G694" s="3" t="str">
        <f>IFERROR(__xludf.DUMMYFUNCTION("""COMPUTED_VALUE"""),"Kapoor")</f>
        <v>Kapoor</v>
      </c>
      <c r="H694" s="3" t="s">
        <v>19</v>
      </c>
      <c r="I694" s="3">
        <v>2023.0</v>
      </c>
      <c r="J694" s="3">
        <f t="shared" si="2"/>
        <v>5000</v>
      </c>
      <c r="K694" s="3" t="s">
        <v>20</v>
      </c>
      <c r="L694" s="3">
        <v>0.0</v>
      </c>
      <c r="M694" s="3" t="s">
        <v>30</v>
      </c>
      <c r="N694" s="3">
        <v>36.0</v>
      </c>
      <c r="O694" s="3" t="s">
        <v>41</v>
      </c>
      <c r="P694" s="3" t="s">
        <v>31</v>
      </c>
      <c r="Q694" s="6">
        <f t="shared" si="3"/>
        <v>910000</v>
      </c>
    </row>
    <row r="695">
      <c r="A695" s="3">
        <v>65393.0</v>
      </c>
      <c r="B695" s="3" t="s">
        <v>612</v>
      </c>
      <c r="C695" s="3" t="s">
        <v>18</v>
      </c>
      <c r="D695" s="4" t="str">
        <f t="shared" si="1"/>
        <v>Mr.</v>
      </c>
      <c r="E695" s="3" t="str">
        <f t="shared" si="4"/>
        <v>Mr. Atharv Bhat</v>
      </c>
      <c r="F695" s="3" t="str">
        <f>IFERROR(__xludf.DUMMYFUNCTION("SPLIT(B695,"" "")"),"Atharv")</f>
        <v>Atharv</v>
      </c>
      <c r="G695" s="3" t="str">
        <f>IFERROR(__xludf.DUMMYFUNCTION("""COMPUTED_VALUE"""),"Bhat")</f>
        <v>Bhat</v>
      </c>
      <c r="H695" s="3" t="s">
        <v>19</v>
      </c>
      <c r="I695" s="3">
        <v>2024.0</v>
      </c>
      <c r="J695" s="3">
        <f t="shared" si="2"/>
        <v>5000</v>
      </c>
      <c r="K695" s="3" t="s">
        <v>20</v>
      </c>
      <c r="L695" s="3">
        <v>25.0</v>
      </c>
      <c r="M695" s="3" t="s">
        <v>21</v>
      </c>
      <c r="N695" s="3">
        <v>59.0</v>
      </c>
      <c r="O695" s="3" t="s">
        <v>22</v>
      </c>
      <c r="P695" s="3" t="s">
        <v>23</v>
      </c>
      <c r="Q695" s="6">
        <f t="shared" si="3"/>
        <v>430000</v>
      </c>
    </row>
    <row r="696">
      <c r="A696" s="3">
        <v>65394.0</v>
      </c>
      <c r="B696" s="3" t="s">
        <v>613</v>
      </c>
      <c r="C696" s="3" t="s">
        <v>18</v>
      </c>
      <c r="D696" s="4" t="str">
        <f t="shared" si="1"/>
        <v>Mr.</v>
      </c>
      <c r="E696" s="3" t="str">
        <f t="shared" si="4"/>
        <v>Mr. Dev Chowdhury</v>
      </c>
      <c r="F696" s="3" t="str">
        <f>IFERROR(__xludf.DUMMYFUNCTION("SPLIT(B696,"" "")"),"Dev")</f>
        <v>Dev</v>
      </c>
      <c r="G696" s="3" t="str">
        <f>IFERROR(__xludf.DUMMYFUNCTION("""COMPUTED_VALUE"""),"Chowdhury")</f>
        <v>Chowdhury</v>
      </c>
      <c r="H696" s="3" t="s">
        <v>25</v>
      </c>
      <c r="I696" s="3">
        <v>2024.0</v>
      </c>
      <c r="J696" s="3">
        <f t="shared" si="2"/>
        <v>10000</v>
      </c>
      <c r="K696" s="3" t="s">
        <v>20</v>
      </c>
      <c r="L696" s="3">
        <v>0.0</v>
      </c>
      <c r="M696" s="3" t="s">
        <v>21</v>
      </c>
      <c r="N696" s="3">
        <f>RANDBETWEEN(0,10)</f>
        <v>1</v>
      </c>
      <c r="O696" s="3" t="s">
        <v>22</v>
      </c>
      <c r="P696" s="3" t="s">
        <v>31</v>
      </c>
      <c r="Q696" s="6">
        <f t="shared" si="3"/>
        <v>910000</v>
      </c>
    </row>
    <row r="697">
      <c r="A697" s="3">
        <v>65395.0</v>
      </c>
      <c r="B697" s="3" t="s">
        <v>614</v>
      </c>
      <c r="C697" s="3" t="s">
        <v>18</v>
      </c>
      <c r="D697" s="4" t="str">
        <f t="shared" si="1"/>
        <v>Mr.</v>
      </c>
      <c r="E697" s="3" t="str">
        <f t="shared" si="4"/>
        <v>Mr. Ayaan Joshi</v>
      </c>
      <c r="F697" s="3" t="str">
        <f>IFERROR(__xludf.DUMMYFUNCTION("SPLIT(B697,"" "")"),"Ayaan")</f>
        <v>Ayaan</v>
      </c>
      <c r="G697" s="3" t="str">
        <f>IFERROR(__xludf.DUMMYFUNCTION("""COMPUTED_VALUE"""),"Joshi")</f>
        <v>Joshi</v>
      </c>
      <c r="H697" s="3" t="s">
        <v>25</v>
      </c>
      <c r="I697" s="3">
        <v>2021.0</v>
      </c>
      <c r="J697" s="3">
        <f t="shared" si="2"/>
        <v>10000</v>
      </c>
      <c r="K697" s="3" t="s">
        <v>20</v>
      </c>
      <c r="L697" s="3">
        <v>0.0</v>
      </c>
      <c r="M697" s="3" t="s">
        <v>30</v>
      </c>
      <c r="N697" s="3">
        <v>46.0</v>
      </c>
      <c r="O697" s="3" t="s">
        <v>22</v>
      </c>
      <c r="P697" s="3" t="s">
        <v>78</v>
      </c>
      <c r="Q697" s="6">
        <f t="shared" si="3"/>
        <v>255000</v>
      </c>
    </row>
    <row r="698">
      <c r="A698" s="3">
        <v>65396.0</v>
      </c>
      <c r="B698" s="3" t="s">
        <v>83</v>
      </c>
      <c r="C698" s="3" t="s">
        <v>35</v>
      </c>
      <c r="D698" s="4" t="str">
        <f t="shared" si="1"/>
        <v>Ms.</v>
      </c>
      <c r="E698" s="3" t="str">
        <f t="shared" si="4"/>
        <v>Ms. Aarohi Gupta</v>
      </c>
      <c r="F698" s="3" t="str">
        <f>IFERROR(__xludf.DUMMYFUNCTION("SPLIT(B698,"" "")"),"Aarohi")</f>
        <v>Aarohi</v>
      </c>
      <c r="G698" s="3" t="str">
        <f>IFERROR(__xludf.DUMMYFUNCTION("""COMPUTED_VALUE"""),"Gupta")</f>
        <v>Gupta</v>
      </c>
      <c r="H698" s="3" t="s">
        <v>25</v>
      </c>
      <c r="I698" s="3">
        <v>2012.0</v>
      </c>
      <c r="J698" s="3">
        <f t="shared" si="2"/>
        <v>10000</v>
      </c>
      <c r="K698" s="3" t="s">
        <v>26</v>
      </c>
      <c r="L698" s="3">
        <v>3148.0</v>
      </c>
      <c r="M698" s="3" t="s">
        <v>21</v>
      </c>
      <c r="N698" s="3">
        <f>RANDBETWEEN(0,10)</f>
        <v>2</v>
      </c>
      <c r="O698" s="3" t="s">
        <v>41</v>
      </c>
      <c r="P698" s="3" t="s">
        <v>28</v>
      </c>
      <c r="Q698" s="6">
        <f t="shared" si="3"/>
        <v>400000</v>
      </c>
    </row>
    <row r="699">
      <c r="A699" s="3">
        <v>65399.0</v>
      </c>
      <c r="B699" s="3" t="s">
        <v>430</v>
      </c>
      <c r="C699" s="3" t="s">
        <v>35</v>
      </c>
      <c r="D699" s="4" t="str">
        <f t="shared" si="1"/>
        <v>Ms.</v>
      </c>
      <c r="E699" s="3" t="str">
        <f t="shared" si="4"/>
        <v>Ms. Diya Naidu</v>
      </c>
      <c r="F699" s="3" t="str">
        <f>IFERROR(__xludf.DUMMYFUNCTION("SPLIT(B699,"" "")"),"Diya")</f>
        <v>Diya</v>
      </c>
      <c r="G699" s="3" t="str">
        <f>IFERROR(__xludf.DUMMYFUNCTION("""COMPUTED_VALUE"""),"Naidu")</f>
        <v>Naidu</v>
      </c>
      <c r="H699" s="3" t="s">
        <v>25</v>
      </c>
      <c r="I699" s="3">
        <v>2024.0</v>
      </c>
      <c r="J699" s="3">
        <f t="shared" si="2"/>
        <v>10000</v>
      </c>
      <c r="K699" s="3" t="s">
        <v>20</v>
      </c>
      <c r="L699" s="10">
        <v>4868.0</v>
      </c>
      <c r="M699" s="3" t="s">
        <v>21</v>
      </c>
      <c r="N699" s="3">
        <v>78.0</v>
      </c>
      <c r="O699" s="3" t="s">
        <v>22</v>
      </c>
      <c r="P699" s="3" t="s">
        <v>31</v>
      </c>
      <c r="Q699" s="6">
        <f t="shared" si="3"/>
        <v>910000</v>
      </c>
    </row>
    <row r="700">
      <c r="A700" s="3">
        <v>65400.0</v>
      </c>
      <c r="B700" s="3" t="s">
        <v>615</v>
      </c>
      <c r="C700" s="3" t="s">
        <v>18</v>
      </c>
      <c r="D700" s="4" t="str">
        <f t="shared" si="1"/>
        <v>Mr.</v>
      </c>
      <c r="E700" s="3" t="str">
        <f t="shared" si="4"/>
        <v>Mr. Samarth Malik</v>
      </c>
      <c r="F700" s="3" t="str">
        <f>IFERROR(__xludf.DUMMYFUNCTION("SPLIT(B700,"" "")"),"Samarth")</f>
        <v>Samarth</v>
      </c>
      <c r="G700" s="3" t="str">
        <f>IFERROR(__xludf.DUMMYFUNCTION("""COMPUTED_VALUE"""),"Malik")</f>
        <v>Malik</v>
      </c>
      <c r="H700" s="3" t="s">
        <v>33</v>
      </c>
      <c r="I700" s="3">
        <v>2026.0</v>
      </c>
      <c r="J700" s="3">
        <f t="shared" si="2"/>
        <v>10000</v>
      </c>
      <c r="K700" s="3" t="s">
        <v>20</v>
      </c>
      <c r="L700" s="3">
        <v>0.0</v>
      </c>
      <c r="M700" s="3" t="s">
        <v>21</v>
      </c>
      <c r="N700" s="3">
        <v>58.0</v>
      </c>
      <c r="O700" s="3" t="s">
        <v>22</v>
      </c>
      <c r="P700" s="3" t="s">
        <v>38</v>
      </c>
      <c r="Q700" s="6">
        <f t="shared" si="3"/>
        <v>635000</v>
      </c>
    </row>
    <row r="701">
      <c r="A701" s="3">
        <v>65401.0</v>
      </c>
      <c r="B701" s="3" t="s">
        <v>616</v>
      </c>
      <c r="C701" s="3" t="s">
        <v>18</v>
      </c>
      <c r="D701" s="4" t="str">
        <f t="shared" si="1"/>
        <v>Mr.</v>
      </c>
      <c r="E701" s="3" t="str">
        <f t="shared" si="4"/>
        <v>Mr. Anirudh Bhat</v>
      </c>
      <c r="F701" s="3" t="str">
        <f>IFERROR(__xludf.DUMMYFUNCTION("SPLIT(B701,"" "")"),"Anirudh")</f>
        <v>Anirudh</v>
      </c>
      <c r="G701" s="3" t="str">
        <f>IFERROR(__xludf.DUMMYFUNCTION("""COMPUTED_VALUE"""),"Bhat")</f>
        <v>Bhat</v>
      </c>
      <c r="H701" s="3" t="s">
        <v>33</v>
      </c>
      <c r="I701" s="3">
        <v>2021.0</v>
      </c>
      <c r="J701" s="3">
        <f t="shared" si="2"/>
        <v>10000</v>
      </c>
      <c r="K701" s="3" t="s">
        <v>26</v>
      </c>
      <c r="L701" s="3">
        <v>21315.0</v>
      </c>
      <c r="M701" s="3" t="s">
        <v>21</v>
      </c>
      <c r="N701" s="3">
        <v>57.0</v>
      </c>
      <c r="O701" s="3" t="s">
        <v>22</v>
      </c>
      <c r="P701" s="3" t="s">
        <v>31</v>
      </c>
      <c r="Q701" s="6">
        <f t="shared" si="3"/>
        <v>910000</v>
      </c>
    </row>
    <row r="702">
      <c r="A702" s="3">
        <v>65402.0</v>
      </c>
      <c r="B702" s="3" t="s">
        <v>617</v>
      </c>
      <c r="C702" s="3" t="s">
        <v>35</v>
      </c>
      <c r="D702" s="4" t="str">
        <f t="shared" si="1"/>
        <v>Ms.</v>
      </c>
      <c r="E702" s="3" t="str">
        <f t="shared" si="4"/>
        <v>Ms. Prisha Naidu</v>
      </c>
      <c r="F702" s="3" t="str">
        <f>IFERROR(__xludf.DUMMYFUNCTION("SPLIT(B702,"" "")"),"Prisha")</f>
        <v>Prisha</v>
      </c>
      <c r="G702" s="3" t="str">
        <f>IFERROR(__xludf.DUMMYFUNCTION("""COMPUTED_VALUE"""),"Naidu")</f>
        <v>Naidu</v>
      </c>
      <c r="H702" s="3" t="s">
        <v>33</v>
      </c>
      <c r="I702" s="3">
        <v>2026.0</v>
      </c>
      <c r="J702" s="3">
        <f t="shared" si="2"/>
        <v>10000</v>
      </c>
      <c r="K702" s="3" t="s">
        <v>20</v>
      </c>
      <c r="L702" s="3">
        <v>250.0</v>
      </c>
      <c r="M702" s="3" t="s">
        <v>21</v>
      </c>
      <c r="N702" s="3">
        <v>67.0</v>
      </c>
      <c r="O702" s="3" t="s">
        <v>41</v>
      </c>
      <c r="P702" s="3" t="s">
        <v>23</v>
      </c>
      <c r="Q702" s="6">
        <f t="shared" si="3"/>
        <v>430000</v>
      </c>
    </row>
    <row r="703">
      <c r="A703" s="3">
        <v>65403.0</v>
      </c>
      <c r="B703" s="3" t="s">
        <v>618</v>
      </c>
      <c r="C703" s="3" t="s">
        <v>35</v>
      </c>
      <c r="D703" s="4" t="str">
        <f t="shared" si="1"/>
        <v>Ms.</v>
      </c>
      <c r="E703" s="3" t="str">
        <f t="shared" si="4"/>
        <v>Ms. Aadhya Chopra</v>
      </c>
      <c r="F703" s="3" t="str">
        <f>IFERROR(__xludf.DUMMYFUNCTION("SPLIT(B703,"" "")"),"Aadhya")</f>
        <v>Aadhya</v>
      </c>
      <c r="G703" s="3" t="str">
        <f>IFERROR(__xludf.DUMMYFUNCTION("""COMPUTED_VALUE"""),"Chopra")</f>
        <v>Chopra</v>
      </c>
      <c r="H703" s="3" t="s">
        <v>25</v>
      </c>
      <c r="I703" s="3">
        <v>2022.0</v>
      </c>
      <c r="J703" s="3">
        <f t="shared" si="2"/>
        <v>10000</v>
      </c>
      <c r="K703" s="3" t="s">
        <v>20</v>
      </c>
      <c r="L703" s="10">
        <v>3448.0</v>
      </c>
      <c r="M703" s="3" t="s">
        <v>21</v>
      </c>
      <c r="N703" s="3">
        <v>45.0</v>
      </c>
      <c r="O703" s="3" t="s">
        <v>22</v>
      </c>
      <c r="P703" s="3" t="s">
        <v>38</v>
      </c>
      <c r="Q703" s="6">
        <f t="shared" si="3"/>
        <v>635000</v>
      </c>
    </row>
    <row r="704">
      <c r="A704" s="3">
        <v>65404.0</v>
      </c>
      <c r="B704" s="3" t="s">
        <v>50</v>
      </c>
      <c r="C704" s="3" t="s">
        <v>35</v>
      </c>
      <c r="D704" s="4" t="str">
        <f t="shared" si="1"/>
        <v>Ms.</v>
      </c>
      <c r="E704" s="3" t="str">
        <f t="shared" si="4"/>
        <v>Ms. Manya Malik</v>
      </c>
      <c r="F704" s="3" t="str">
        <f>IFERROR(__xludf.DUMMYFUNCTION("SPLIT(B704,"" "")"),"Manya")</f>
        <v>Manya</v>
      </c>
      <c r="G704" s="3" t="str">
        <f>IFERROR(__xludf.DUMMYFUNCTION("""COMPUTED_VALUE"""),"Malik")</f>
        <v>Malik</v>
      </c>
      <c r="H704" s="3" t="s">
        <v>19</v>
      </c>
      <c r="I704" s="3">
        <v>2023.0</v>
      </c>
      <c r="J704" s="3">
        <f t="shared" si="2"/>
        <v>5000</v>
      </c>
      <c r="K704" s="3" t="s">
        <v>20</v>
      </c>
      <c r="L704" s="3">
        <v>0.0</v>
      </c>
      <c r="M704" s="3" t="s">
        <v>21</v>
      </c>
      <c r="N704" s="3">
        <v>35.0</v>
      </c>
      <c r="O704" s="3" t="s">
        <v>22</v>
      </c>
      <c r="P704" s="3" t="s">
        <v>38</v>
      </c>
      <c r="Q704" s="6">
        <f t="shared" si="3"/>
        <v>635000</v>
      </c>
    </row>
    <row r="705">
      <c r="A705" s="3">
        <v>65405.0</v>
      </c>
      <c r="B705" s="3" t="s">
        <v>619</v>
      </c>
      <c r="C705" s="3" t="s">
        <v>18</v>
      </c>
      <c r="D705" s="4" t="str">
        <f t="shared" si="1"/>
        <v>Mr.</v>
      </c>
      <c r="E705" s="3" t="str">
        <f t="shared" si="4"/>
        <v>Mr. Ayaan Dutta</v>
      </c>
      <c r="F705" s="3" t="str">
        <f>IFERROR(__xludf.DUMMYFUNCTION("SPLIT(B705,"" "")"),"Ayaan")</f>
        <v>Ayaan</v>
      </c>
      <c r="G705" s="3" t="str">
        <f>IFERROR(__xludf.DUMMYFUNCTION("""COMPUTED_VALUE"""),"Dutta")</f>
        <v>Dutta</v>
      </c>
      <c r="H705" s="3" t="s">
        <v>25</v>
      </c>
      <c r="I705" s="3">
        <v>2013.0</v>
      </c>
      <c r="J705" s="3">
        <f t="shared" si="2"/>
        <v>10000</v>
      </c>
      <c r="K705" s="3" t="s">
        <v>26</v>
      </c>
      <c r="L705" s="3">
        <v>10150.0</v>
      </c>
      <c r="M705" s="3" t="s">
        <v>21</v>
      </c>
      <c r="N705" s="3">
        <f>RANDBETWEEN(0,10)</f>
        <v>4</v>
      </c>
      <c r="O705" s="3" t="s">
        <v>22</v>
      </c>
      <c r="P705" s="3" t="s">
        <v>31</v>
      </c>
      <c r="Q705" s="6">
        <f t="shared" si="3"/>
        <v>910000</v>
      </c>
    </row>
    <row r="706">
      <c r="A706" s="3">
        <v>65408.0</v>
      </c>
      <c r="B706" s="3" t="s">
        <v>620</v>
      </c>
      <c r="C706" s="3" t="s">
        <v>35</v>
      </c>
      <c r="D706" s="4" t="str">
        <f t="shared" si="1"/>
        <v>Ms.</v>
      </c>
      <c r="E706" s="3" t="str">
        <f t="shared" si="4"/>
        <v>Ms. Lavanya Iyer</v>
      </c>
      <c r="F706" s="3" t="str">
        <f>IFERROR(__xludf.DUMMYFUNCTION("SPLIT(B706,"" "")"),"Lavanya")</f>
        <v>Lavanya</v>
      </c>
      <c r="G706" s="3" t="str">
        <f>IFERROR(__xludf.DUMMYFUNCTION("""COMPUTED_VALUE"""),"Iyer")</f>
        <v>Iyer</v>
      </c>
      <c r="H706" s="3" t="s">
        <v>25</v>
      </c>
      <c r="I706" s="3">
        <v>2024.0</v>
      </c>
      <c r="J706" s="3">
        <f t="shared" si="2"/>
        <v>10000</v>
      </c>
      <c r="K706" s="3" t="s">
        <v>20</v>
      </c>
      <c r="L706" s="3">
        <v>0.0</v>
      </c>
      <c r="M706" s="3" t="s">
        <v>21</v>
      </c>
      <c r="N706" s="3">
        <v>63.0</v>
      </c>
      <c r="O706" s="3" t="s">
        <v>22</v>
      </c>
      <c r="P706" s="3" t="s">
        <v>78</v>
      </c>
      <c r="Q706" s="6">
        <f t="shared" si="3"/>
        <v>255000</v>
      </c>
    </row>
    <row r="707">
      <c r="A707" s="3">
        <v>65409.0</v>
      </c>
      <c r="B707" s="3" t="s">
        <v>621</v>
      </c>
      <c r="C707" s="3" t="s">
        <v>18</v>
      </c>
      <c r="D707" s="4" t="str">
        <f t="shared" si="1"/>
        <v>Mr.</v>
      </c>
      <c r="E707" s="3" t="str">
        <f t="shared" si="4"/>
        <v>Mr. Krishna Rao</v>
      </c>
      <c r="F707" s="3" t="str">
        <f>IFERROR(__xludf.DUMMYFUNCTION("SPLIT(B707,"" "")"),"Krishna")</f>
        <v>Krishna</v>
      </c>
      <c r="G707" s="3" t="str">
        <f>IFERROR(__xludf.DUMMYFUNCTION("""COMPUTED_VALUE"""),"Rao")</f>
        <v>Rao</v>
      </c>
      <c r="H707" s="3" t="s">
        <v>46</v>
      </c>
      <c r="I707" s="3">
        <v>2027.0</v>
      </c>
      <c r="J707" s="3">
        <f t="shared" si="2"/>
        <v>5000</v>
      </c>
      <c r="K707" s="3" t="s">
        <v>26</v>
      </c>
      <c r="L707" s="3">
        <v>9104.0</v>
      </c>
      <c r="M707" s="3" t="s">
        <v>21</v>
      </c>
      <c r="N707" s="3">
        <v>69.0</v>
      </c>
      <c r="O707" s="3" t="s">
        <v>41</v>
      </c>
      <c r="P707" s="3" t="s">
        <v>78</v>
      </c>
      <c r="Q707" s="6">
        <f t="shared" si="3"/>
        <v>255000</v>
      </c>
    </row>
    <row r="708">
      <c r="A708" s="3">
        <v>65410.0</v>
      </c>
      <c r="B708" s="3" t="s">
        <v>381</v>
      </c>
      <c r="C708" s="3" t="s">
        <v>18</v>
      </c>
      <c r="D708" s="4" t="str">
        <f t="shared" si="1"/>
        <v>Mr.</v>
      </c>
      <c r="E708" s="3" t="str">
        <f t="shared" si="4"/>
        <v>Mr. Krishna Iyer</v>
      </c>
      <c r="F708" s="3" t="str">
        <f>IFERROR(__xludf.DUMMYFUNCTION("SPLIT(B708,"" "")"),"Krishna")</f>
        <v>Krishna</v>
      </c>
      <c r="G708" s="3" t="str">
        <f>IFERROR(__xludf.DUMMYFUNCTION("""COMPUTED_VALUE"""),"Iyer")</f>
        <v>Iyer</v>
      </c>
      <c r="H708" s="3" t="s">
        <v>46</v>
      </c>
      <c r="I708" s="3">
        <v>2027.0</v>
      </c>
      <c r="J708" s="3">
        <f t="shared" si="2"/>
        <v>5000</v>
      </c>
      <c r="K708" s="3" t="s">
        <v>20</v>
      </c>
      <c r="L708" s="3">
        <v>0.0</v>
      </c>
      <c r="M708" s="3" t="s">
        <v>30</v>
      </c>
      <c r="N708" s="3">
        <v>52.0</v>
      </c>
      <c r="O708" s="3" t="s">
        <v>22</v>
      </c>
      <c r="P708" s="3" t="s">
        <v>78</v>
      </c>
      <c r="Q708" s="6">
        <f t="shared" si="3"/>
        <v>255000</v>
      </c>
    </row>
    <row r="709">
      <c r="A709" s="3">
        <v>65411.0</v>
      </c>
      <c r="B709" s="3" t="s">
        <v>622</v>
      </c>
      <c r="C709" s="3" t="s">
        <v>35</v>
      </c>
      <c r="D709" s="4" t="str">
        <f t="shared" si="1"/>
        <v>Ms.</v>
      </c>
      <c r="E709" s="3" t="str">
        <f t="shared" si="4"/>
        <v>Ms. Anaya Chopra</v>
      </c>
      <c r="F709" s="3" t="str">
        <f>IFERROR(__xludf.DUMMYFUNCTION("SPLIT(B709,"" "")"),"Anaya")</f>
        <v>Anaya</v>
      </c>
      <c r="G709" s="3" t="str">
        <f>IFERROR(__xludf.DUMMYFUNCTION("""COMPUTED_VALUE"""),"Chopra")</f>
        <v>Chopra</v>
      </c>
      <c r="H709" s="3" t="s">
        <v>46</v>
      </c>
      <c r="I709" s="3">
        <v>2026.0</v>
      </c>
      <c r="J709" s="3">
        <f t="shared" si="2"/>
        <v>5000</v>
      </c>
      <c r="K709" s="3" t="s">
        <v>20</v>
      </c>
      <c r="L709" s="3">
        <v>295.0</v>
      </c>
      <c r="M709" s="3" t="s">
        <v>21</v>
      </c>
      <c r="N709" s="3">
        <v>8.0</v>
      </c>
      <c r="O709" s="3" t="s">
        <v>41</v>
      </c>
      <c r="P709" s="3" t="s">
        <v>31</v>
      </c>
      <c r="Q709" s="6">
        <f t="shared" si="3"/>
        <v>910000</v>
      </c>
    </row>
    <row r="710">
      <c r="A710" s="3">
        <v>65412.0</v>
      </c>
      <c r="B710" s="3" t="s">
        <v>623</v>
      </c>
      <c r="C710" s="3" t="s">
        <v>18</v>
      </c>
      <c r="D710" s="4" t="str">
        <f t="shared" si="1"/>
        <v>Mr.</v>
      </c>
      <c r="E710" s="3" t="str">
        <f t="shared" si="4"/>
        <v>Mr. Aarav Bhat</v>
      </c>
      <c r="F710" s="3" t="str">
        <f>IFERROR(__xludf.DUMMYFUNCTION("SPLIT(B710,"" "")"),"Aarav")</f>
        <v>Aarav</v>
      </c>
      <c r="G710" s="3" t="str">
        <f>IFERROR(__xludf.DUMMYFUNCTION("""COMPUTED_VALUE"""),"Bhat")</f>
        <v>Bhat</v>
      </c>
      <c r="H710" s="3" t="s">
        <v>46</v>
      </c>
      <c r="I710" s="3">
        <v>2021.0</v>
      </c>
      <c r="J710" s="3">
        <f t="shared" si="2"/>
        <v>5000</v>
      </c>
      <c r="K710" s="3" t="s">
        <v>26</v>
      </c>
      <c r="L710" s="3">
        <v>4701.0</v>
      </c>
      <c r="M710" s="3" t="s">
        <v>21</v>
      </c>
      <c r="N710" s="3">
        <v>3.0</v>
      </c>
      <c r="O710" s="3" t="s">
        <v>22</v>
      </c>
      <c r="P710" s="3" t="s">
        <v>31</v>
      </c>
      <c r="Q710" s="6">
        <f t="shared" si="3"/>
        <v>910000</v>
      </c>
    </row>
    <row r="711">
      <c r="A711" s="3">
        <v>65413.0</v>
      </c>
      <c r="B711" s="3" t="s">
        <v>624</v>
      </c>
      <c r="C711" s="3" t="s">
        <v>18</v>
      </c>
      <c r="D711" s="4" t="str">
        <f t="shared" si="1"/>
        <v>Mr.</v>
      </c>
      <c r="E711" s="3" t="str">
        <f t="shared" si="4"/>
        <v>Mr. Yashvi Iyer</v>
      </c>
      <c r="F711" s="3" t="str">
        <f>IFERROR(__xludf.DUMMYFUNCTION("SPLIT(B711,"" "")"),"Yashvi")</f>
        <v>Yashvi</v>
      </c>
      <c r="G711" s="3" t="str">
        <f>IFERROR(__xludf.DUMMYFUNCTION("""COMPUTED_VALUE"""),"Iyer")</f>
        <v>Iyer</v>
      </c>
      <c r="H711" s="3" t="s">
        <v>33</v>
      </c>
      <c r="I711" s="3">
        <v>2025.0</v>
      </c>
      <c r="J711" s="3">
        <f t="shared" si="2"/>
        <v>10000</v>
      </c>
      <c r="K711" s="3" t="s">
        <v>20</v>
      </c>
      <c r="L711" s="3">
        <v>0.0</v>
      </c>
      <c r="M711" s="3" t="s">
        <v>30</v>
      </c>
      <c r="N711" s="3">
        <v>3.0</v>
      </c>
      <c r="O711" s="3" t="s">
        <v>22</v>
      </c>
      <c r="P711" s="3" t="s">
        <v>23</v>
      </c>
      <c r="Q711" s="6">
        <f t="shared" si="3"/>
        <v>430000</v>
      </c>
    </row>
    <row r="712">
      <c r="A712" s="3">
        <v>65415.0</v>
      </c>
      <c r="B712" s="3" t="s">
        <v>625</v>
      </c>
      <c r="C712" s="3" t="s">
        <v>18</v>
      </c>
      <c r="D712" s="4" t="str">
        <f t="shared" si="1"/>
        <v>Mr.</v>
      </c>
      <c r="E712" s="3" t="str">
        <f t="shared" si="4"/>
        <v>Mr. Raghav Rao</v>
      </c>
      <c r="F712" s="3" t="str">
        <f>IFERROR(__xludf.DUMMYFUNCTION("SPLIT(B712,"" "")"),"Raghav")</f>
        <v>Raghav</v>
      </c>
      <c r="G712" s="3" t="str">
        <f>IFERROR(__xludf.DUMMYFUNCTION("""COMPUTED_VALUE"""),"Rao")</f>
        <v>Rao</v>
      </c>
      <c r="H712" s="3" t="s">
        <v>19</v>
      </c>
      <c r="I712" s="3">
        <v>2019.0</v>
      </c>
      <c r="J712" s="3">
        <f t="shared" si="2"/>
        <v>5000</v>
      </c>
      <c r="K712" s="3" t="s">
        <v>20</v>
      </c>
      <c r="L712" s="3">
        <v>0.0</v>
      </c>
      <c r="M712" s="3" t="s">
        <v>30</v>
      </c>
      <c r="N712" s="3">
        <v>70.0</v>
      </c>
      <c r="O712" s="3" t="s">
        <v>22</v>
      </c>
      <c r="P712" s="3" t="s">
        <v>28</v>
      </c>
      <c r="Q712" s="6">
        <f t="shared" si="3"/>
        <v>400000</v>
      </c>
    </row>
    <row r="713">
      <c r="A713" s="3">
        <v>65416.0</v>
      </c>
      <c r="B713" s="3" t="s">
        <v>626</v>
      </c>
      <c r="C713" s="3" t="s">
        <v>35</v>
      </c>
      <c r="D713" s="4" t="str">
        <f t="shared" si="1"/>
        <v>Ms.</v>
      </c>
      <c r="E713" s="3" t="str">
        <f t="shared" si="4"/>
        <v>Ms. Charvi Joshi</v>
      </c>
      <c r="F713" s="3" t="str">
        <f>IFERROR(__xludf.DUMMYFUNCTION("SPLIT(B713,"" "")"),"Charvi")</f>
        <v>Charvi</v>
      </c>
      <c r="G713" s="3" t="str">
        <f>IFERROR(__xludf.DUMMYFUNCTION("""COMPUTED_VALUE"""),"Joshi")</f>
        <v>Joshi</v>
      </c>
      <c r="H713" s="3" t="s">
        <v>46</v>
      </c>
      <c r="I713" s="3">
        <v>2023.0</v>
      </c>
      <c r="J713" s="3">
        <f t="shared" si="2"/>
        <v>5000</v>
      </c>
      <c r="K713" s="3" t="s">
        <v>26</v>
      </c>
      <c r="L713" s="3">
        <v>19370.0</v>
      </c>
      <c r="M713" s="3" t="s">
        <v>21</v>
      </c>
      <c r="N713" s="3">
        <v>39.0</v>
      </c>
      <c r="O713" s="3" t="s">
        <v>22</v>
      </c>
      <c r="P713" s="3" t="s">
        <v>23</v>
      </c>
      <c r="Q713" s="6">
        <f t="shared" si="3"/>
        <v>430000</v>
      </c>
    </row>
    <row r="714">
      <c r="A714" s="3">
        <v>65417.0</v>
      </c>
      <c r="B714" s="3" t="s">
        <v>627</v>
      </c>
      <c r="C714" s="3" t="s">
        <v>35</v>
      </c>
      <c r="D714" s="4" t="str">
        <f t="shared" si="1"/>
        <v>Ms.</v>
      </c>
      <c r="E714" s="3" t="str">
        <f t="shared" si="4"/>
        <v>Ms. Naira Desai</v>
      </c>
      <c r="F714" s="3" t="str">
        <f>IFERROR(__xludf.DUMMYFUNCTION("SPLIT(B714,"" "")"),"Naira")</f>
        <v>Naira</v>
      </c>
      <c r="G714" s="3" t="str">
        <f>IFERROR(__xludf.DUMMYFUNCTION("""COMPUTED_VALUE"""),"Desai")</f>
        <v>Desai</v>
      </c>
      <c r="H714" s="3" t="s">
        <v>19</v>
      </c>
      <c r="I714" s="3">
        <v>2026.0</v>
      </c>
      <c r="J714" s="3">
        <f t="shared" si="2"/>
        <v>5000</v>
      </c>
      <c r="K714" s="3" t="s">
        <v>20</v>
      </c>
      <c r="L714" s="3">
        <v>0.0</v>
      </c>
      <c r="M714" s="3" t="s">
        <v>21</v>
      </c>
      <c r="N714" s="3">
        <v>30.0</v>
      </c>
      <c r="O714" s="3" t="s">
        <v>22</v>
      </c>
      <c r="P714" s="3" t="s">
        <v>78</v>
      </c>
      <c r="Q714" s="6">
        <f t="shared" si="3"/>
        <v>255000</v>
      </c>
    </row>
    <row r="715">
      <c r="A715" s="3">
        <v>65418.0</v>
      </c>
      <c r="B715" s="3" t="s">
        <v>628</v>
      </c>
      <c r="C715" s="3" t="s">
        <v>35</v>
      </c>
      <c r="D715" s="4" t="str">
        <f t="shared" si="1"/>
        <v>Ms.</v>
      </c>
      <c r="E715" s="3" t="str">
        <f t="shared" si="4"/>
        <v>Ms. Naira Das</v>
      </c>
      <c r="F715" s="3" t="str">
        <f>IFERROR(__xludf.DUMMYFUNCTION("SPLIT(B715,"" "")"),"Naira")</f>
        <v>Naira</v>
      </c>
      <c r="G715" s="3" t="str">
        <f>IFERROR(__xludf.DUMMYFUNCTION("""COMPUTED_VALUE"""),"Das")</f>
        <v>Das</v>
      </c>
      <c r="H715" s="3" t="s">
        <v>33</v>
      </c>
      <c r="I715" s="3">
        <v>2026.0</v>
      </c>
      <c r="J715" s="3">
        <f t="shared" si="2"/>
        <v>10000</v>
      </c>
      <c r="K715" s="3" t="s">
        <v>26</v>
      </c>
      <c r="L715" s="3">
        <v>20964.0</v>
      </c>
      <c r="M715" s="3" t="s">
        <v>21</v>
      </c>
      <c r="N715" s="3">
        <v>69.0</v>
      </c>
      <c r="O715" s="3" t="s">
        <v>22</v>
      </c>
      <c r="P715" s="3" t="s">
        <v>38</v>
      </c>
      <c r="Q715" s="6">
        <f t="shared" si="3"/>
        <v>635000</v>
      </c>
    </row>
    <row r="716">
      <c r="A716" s="3">
        <v>65419.0</v>
      </c>
      <c r="B716" s="3" t="s">
        <v>504</v>
      </c>
      <c r="C716" s="3" t="s">
        <v>18</v>
      </c>
      <c r="D716" s="4" t="str">
        <f t="shared" si="1"/>
        <v>Mr.</v>
      </c>
      <c r="E716" s="3" t="str">
        <f t="shared" si="4"/>
        <v>Mr. Reyansh Verma</v>
      </c>
      <c r="F716" s="3" t="str">
        <f>IFERROR(__xludf.DUMMYFUNCTION("SPLIT(B716,"" "")"),"Reyansh")</f>
        <v>Reyansh</v>
      </c>
      <c r="G716" s="3" t="str">
        <f>IFERROR(__xludf.DUMMYFUNCTION("""COMPUTED_VALUE"""),"Verma")</f>
        <v>Verma</v>
      </c>
      <c r="H716" s="3" t="s">
        <v>25</v>
      </c>
      <c r="I716" s="3">
        <v>2024.0</v>
      </c>
      <c r="J716" s="3">
        <f t="shared" si="2"/>
        <v>10000</v>
      </c>
      <c r="K716" s="3" t="s">
        <v>26</v>
      </c>
      <c r="L716" s="3">
        <v>7665.0</v>
      </c>
      <c r="M716" s="3" t="s">
        <v>21</v>
      </c>
      <c r="N716" s="3">
        <f>RANDBETWEEN(0,10)</f>
        <v>2</v>
      </c>
      <c r="O716" s="3" t="s">
        <v>22</v>
      </c>
      <c r="P716" s="3" t="s">
        <v>31</v>
      </c>
      <c r="Q716" s="6">
        <f t="shared" si="3"/>
        <v>910000</v>
      </c>
    </row>
    <row r="717">
      <c r="A717" s="3">
        <v>65420.0</v>
      </c>
      <c r="B717" s="3" t="s">
        <v>200</v>
      </c>
      <c r="C717" s="3" t="s">
        <v>35</v>
      </c>
      <c r="D717" s="4" t="str">
        <f t="shared" si="1"/>
        <v>Ms.</v>
      </c>
      <c r="E717" s="3" t="str">
        <f t="shared" si="4"/>
        <v>Ms. Kyra Malik</v>
      </c>
      <c r="F717" s="3" t="str">
        <f>IFERROR(__xludf.DUMMYFUNCTION("SPLIT(B717,"" "")"),"Kyra")</f>
        <v>Kyra</v>
      </c>
      <c r="G717" s="3" t="str">
        <f>IFERROR(__xludf.DUMMYFUNCTION("""COMPUTED_VALUE"""),"Malik")</f>
        <v>Malik</v>
      </c>
      <c r="H717" s="3" t="s">
        <v>33</v>
      </c>
      <c r="I717" s="3">
        <v>2026.0</v>
      </c>
      <c r="J717" s="3">
        <f t="shared" si="2"/>
        <v>10000</v>
      </c>
      <c r="K717" s="3" t="s">
        <v>20</v>
      </c>
      <c r="L717" s="3">
        <v>0.0</v>
      </c>
      <c r="M717" s="3" t="s">
        <v>21</v>
      </c>
      <c r="N717" s="3">
        <v>33.0</v>
      </c>
      <c r="O717" s="3" t="s">
        <v>22</v>
      </c>
      <c r="P717" s="3" t="s">
        <v>78</v>
      </c>
      <c r="Q717" s="6">
        <f t="shared" si="3"/>
        <v>255000</v>
      </c>
    </row>
    <row r="718">
      <c r="A718" s="3">
        <v>65425.0</v>
      </c>
      <c r="B718" s="3" t="s">
        <v>629</v>
      </c>
      <c r="C718" s="3" t="s">
        <v>18</v>
      </c>
      <c r="D718" s="4" t="str">
        <f t="shared" si="1"/>
        <v>Mr.</v>
      </c>
      <c r="E718" s="3" t="str">
        <f t="shared" si="4"/>
        <v>Mr. Aaryan Verma</v>
      </c>
      <c r="F718" s="3" t="str">
        <f>IFERROR(__xludf.DUMMYFUNCTION("SPLIT(B718,"" "")"),"Aaryan")</f>
        <v>Aaryan</v>
      </c>
      <c r="G718" s="3" t="str">
        <f>IFERROR(__xludf.DUMMYFUNCTION("""COMPUTED_VALUE"""),"Verma")</f>
        <v>Verma</v>
      </c>
      <c r="H718" s="3" t="s">
        <v>33</v>
      </c>
      <c r="I718" s="3">
        <v>2023.0</v>
      </c>
      <c r="J718" s="3">
        <f t="shared" si="2"/>
        <v>10000</v>
      </c>
      <c r="K718" s="3" t="s">
        <v>20</v>
      </c>
      <c r="L718" s="10">
        <v>1040.0</v>
      </c>
      <c r="M718" s="3" t="s">
        <v>21</v>
      </c>
      <c r="N718" s="3">
        <v>33.0</v>
      </c>
      <c r="O718" s="3" t="s">
        <v>22</v>
      </c>
      <c r="P718" s="3" t="s">
        <v>38</v>
      </c>
      <c r="Q718" s="6">
        <f t="shared" si="3"/>
        <v>635000</v>
      </c>
    </row>
    <row r="719">
      <c r="A719" s="3">
        <v>65427.0</v>
      </c>
      <c r="B719" s="3" t="s">
        <v>630</v>
      </c>
      <c r="C719" s="3" t="s">
        <v>35</v>
      </c>
      <c r="D719" s="4" t="str">
        <f t="shared" si="1"/>
        <v>Ms.</v>
      </c>
      <c r="E719" s="3" t="str">
        <f t="shared" si="4"/>
        <v>Ms. Anvi Kulkarni</v>
      </c>
      <c r="F719" s="3" t="str">
        <f>IFERROR(__xludf.DUMMYFUNCTION("SPLIT(B719,"" "")"),"Anvi")</f>
        <v>Anvi</v>
      </c>
      <c r="G719" s="3" t="str">
        <f>IFERROR(__xludf.DUMMYFUNCTION("""COMPUTED_VALUE"""),"Kulkarni")</f>
        <v>Kulkarni</v>
      </c>
      <c r="H719" s="3" t="s">
        <v>33</v>
      </c>
      <c r="I719" s="3">
        <v>2027.0</v>
      </c>
      <c r="J719" s="3">
        <f t="shared" si="2"/>
        <v>10000</v>
      </c>
      <c r="K719" s="3" t="s">
        <v>20</v>
      </c>
      <c r="L719" s="3">
        <v>0.0</v>
      </c>
      <c r="M719" s="3" t="s">
        <v>21</v>
      </c>
      <c r="N719" s="3">
        <v>44.0</v>
      </c>
      <c r="O719" s="3" t="s">
        <v>41</v>
      </c>
      <c r="P719" s="3" t="s">
        <v>31</v>
      </c>
      <c r="Q719" s="6">
        <f t="shared" si="3"/>
        <v>910000</v>
      </c>
    </row>
    <row r="720">
      <c r="A720" s="3">
        <v>65428.0</v>
      </c>
      <c r="B720" s="3" t="s">
        <v>631</v>
      </c>
      <c r="C720" s="3" t="s">
        <v>18</v>
      </c>
      <c r="D720" s="4" t="str">
        <f t="shared" si="1"/>
        <v>Mr.</v>
      </c>
      <c r="E720" s="3" t="str">
        <f t="shared" si="4"/>
        <v>Mr. Ayaan Naidu</v>
      </c>
      <c r="F720" s="3" t="str">
        <f>IFERROR(__xludf.DUMMYFUNCTION("SPLIT(B720,"" "")"),"Ayaan")</f>
        <v>Ayaan</v>
      </c>
      <c r="G720" s="3" t="str">
        <f>IFERROR(__xludf.DUMMYFUNCTION("""COMPUTED_VALUE"""),"Naidu")</f>
        <v>Naidu</v>
      </c>
      <c r="H720" s="3" t="s">
        <v>46</v>
      </c>
      <c r="I720" s="3">
        <v>2026.0</v>
      </c>
      <c r="J720" s="3">
        <f t="shared" si="2"/>
        <v>5000</v>
      </c>
      <c r="K720" s="3" t="s">
        <v>20</v>
      </c>
      <c r="L720" s="3">
        <v>0.0</v>
      </c>
      <c r="M720" s="3" t="s">
        <v>30</v>
      </c>
      <c r="N720" s="3">
        <v>60.0</v>
      </c>
      <c r="O720" s="3" t="s">
        <v>22</v>
      </c>
      <c r="P720" s="3" t="s">
        <v>28</v>
      </c>
      <c r="Q720" s="6">
        <f t="shared" si="3"/>
        <v>400000</v>
      </c>
    </row>
    <row r="721">
      <c r="A721" s="3">
        <v>65429.0</v>
      </c>
      <c r="B721" s="3" t="s">
        <v>632</v>
      </c>
      <c r="C721" s="3" t="s">
        <v>35</v>
      </c>
      <c r="D721" s="4" t="str">
        <f t="shared" si="1"/>
        <v>Ms.</v>
      </c>
      <c r="E721" s="3" t="str">
        <f t="shared" si="4"/>
        <v>Ms. Lavanya Das</v>
      </c>
      <c r="F721" s="3" t="str">
        <f>IFERROR(__xludf.DUMMYFUNCTION("SPLIT(B721,"" "")"),"Lavanya")</f>
        <v>Lavanya</v>
      </c>
      <c r="G721" s="3" t="str">
        <f>IFERROR(__xludf.DUMMYFUNCTION("""COMPUTED_VALUE"""),"Das")</f>
        <v>Das</v>
      </c>
      <c r="H721" s="3" t="s">
        <v>25</v>
      </c>
      <c r="I721" s="3">
        <v>2023.0</v>
      </c>
      <c r="J721" s="3">
        <f t="shared" si="2"/>
        <v>10000</v>
      </c>
      <c r="K721" s="3" t="s">
        <v>20</v>
      </c>
      <c r="L721" s="10">
        <v>1504.0</v>
      </c>
      <c r="M721" s="3" t="s">
        <v>21</v>
      </c>
      <c r="N721" s="3">
        <v>1.0</v>
      </c>
      <c r="O721" s="3" t="s">
        <v>22</v>
      </c>
      <c r="P721" s="3" t="s">
        <v>28</v>
      </c>
      <c r="Q721" s="6">
        <f t="shared" si="3"/>
        <v>400000</v>
      </c>
    </row>
    <row r="722">
      <c r="A722" s="3">
        <v>65430.0</v>
      </c>
      <c r="B722" s="3" t="s">
        <v>613</v>
      </c>
      <c r="C722" s="3" t="s">
        <v>18</v>
      </c>
      <c r="D722" s="4" t="str">
        <f t="shared" si="1"/>
        <v>Mr.</v>
      </c>
      <c r="E722" s="3" t="str">
        <f t="shared" si="4"/>
        <v>Mr. Dev Chowdhury</v>
      </c>
      <c r="F722" s="3" t="str">
        <f>IFERROR(__xludf.DUMMYFUNCTION("SPLIT(B722,"" "")"),"Dev")</f>
        <v>Dev</v>
      </c>
      <c r="G722" s="3" t="str">
        <f>IFERROR(__xludf.DUMMYFUNCTION("""COMPUTED_VALUE"""),"Chowdhury")</f>
        <v>Chowdhury</v>
      </c>
      <c r="H722" s="3" t="s">
        <v>25</v>
      </c>
      <c r="I722" s="3">
        <v>2021.0</v>
      </c>
      <c r="J722" s="3">
        <f t="shared" si="2"/>
        <v>10000</v>
      </c>
      <c r="K722" s="3" t="s">
        <v>20</v>
      </c>
      <c r="L722" s="3">
        <v>0.0</v>
      </c>
      <c r="M722" s="3" t="s">
        <v>21</v>
      </c>
      <c r="N722" s="3">
        <f>RANDBETWEEN(0,10)</f>
        <v>1</v>
      </c>
      <c r="O722" s="3" t="s">
        <v>22</v>
      </c>
      <c r="P722" s="3" t="s">
        <v>31</v>
      </c>
      <c r="Q722" s="6">
        <f t="shared" si="3"/>
        <v>910000</v>
      </c>
    </row>
    <row r="723">
      <c r="A723" s="3">
        <v>65431.0</v>
      </c>
      <c r="B723" s="3" t="s">
        <v>218</v>
      </c>
      <c r="C723" s="3" t="s">
        <v>18</v>
      </c>
      <c r="D723" s="4" t="str">
        <f t="shared" si="1"/>
        <v>Mr.</v>
      </c>
      <c r="E723" s="3" t="str">
        <f t="shared" si="4"/>
        <v>Mr. Kabir Agarwal</v>
      </c>
      <c r="F723" s="3" t="str">
        <f>IFERROR(__xludf.DUMMYFUNCTION("SPLIT(B723,"" "")"),"Kabir")</f>
        <v>Kabir</v>
      </c>
      <c r="G723" s="3" t="str">
        <f>IFERROR(__xludf.DUMMYFUNCTION("""COMPUTED_VALUE"""),"Agarwal")</f>
        <v>Agarwal</v>
      </c>
      <c r="H723" s="3" t="s">
        <v>19</v>
      </c>
      <c r="I723" s="3">
        <v>2024.0</v>
      </c>
      <c r="J723" s="3">
        <f t="shared" si="2"/>
        <v>5000</v>
      </c>
      <c r="K723" s="3" t="s">
        <v>20</v>
      </c>
      <c r="L723" s="3">
        <v>100.0</v>
      </c>
      <c r="M723" s="3" t="s">
        <v>21</v>
      </c>
      <c r="N723" s="3">
        <v>67.0</v>
      </c>
      <c r="O723" s="3" t="s">
        <v>22</v>
      </c>
      <c r="P723" s="3" t="s">
        <v>31</v>
      </c>
      <c r="Q723" s="6">
        <f t="shared" si="3"/>
        <v>910000</v>
      </c>
    </row>
    <row r="724">
      <c r="A724" s="3">
        <v>65432.0</v>
      </c>
      <c r="B724" s="3" t="s">
        <v>633</v>
      </c>
      <c r="C724" s="3" t="s">
        <v>35</v>
      </c>
      <c r="D724" s="4" t="str">
        <f t="shared" si="1"/>
        <v>Ms.</v>
      </c>
      <c r="E724" s="3" t="str">
        <f t="shared" si="4"/>
        <v>Ms. Diya Joshi</v>
      </c>
      <c r="F724" s="3" t="str">
        <f>IFERROR(__xludf.DUMMYFUNCTION("SPLIT(B724,"" "")"),"Diya")</f>
        <v>Diya</v>
      </c>
      <c r="G724" s="3" t="str">
        <f>IFERROR(__xludf.DUMMYFUNCTION("""COMPUTED_VALUE"""),"Joshi")</f>
        <v>Joshi</v>
      </c>
      <c r="H724" s="3" t="s">
        <v>46</v>
      </c>
      <c r="I724" s="3">
        <v>2025.0</v>
      </c>
      <c r="J724" s="3">
        <f t="shared" si="2"/>
        <v>5000</v>
      </c>
      <c r="K724" s="3" t="s">
        <v>26</v>
      </c>
      <c r="L724" s="3">
        <v>21635.0</v>
      </c>
      <c r="M724" s="3" t="s">
        <v>21</v>
      </c>
      <c r="N724" s="3">
        <f>RANDBETWEEN(0,10)</f>
        <v>5</v>
      </c>
      <c r="O724" s="3" t="s">
        <v>22</v>
      </c>
      <c r="P724" s="3" t="s">
        <v>31</v>
      </c>
      <c r="Q724" s="6">
        <f t="shared" si="3"/>
        <v>910000</v>
      </c>
    </row>
    <row r="725">
      <c r="A725" s="3">
        <v>65433.0</v>
      </c>
      <c r="B725" s="3" t="s">
        <v>262</v>
      </c>
      <c r="C725" s="3" t="s">
        <v>35</v>
      </c>
      <c r="D725" s="4" t="str">
        <f t="shared" si="1"/>
        <v>Ms.</v>
      </c>
      <c r="E725" s="3" t="str">
        <f t="shared" si="4"/>
        <v>Ms. Aadhya Naidu</v>
      </c>
      <c r="F725" s="3" t="str">
        <f>IFERROR(__xludf.DUMMYFUNCTION("SPLIT(B725,"" "")"),"Aadhya")</f>
        <v>Aadhya</v>
      </c>
      <c r="G725" s="3" t="str">
        <f>IFERROR(__xludf.DUMMYFUNCTION("""COMPUTED_VALUE"""),"Naidu")</f>
        <v>Naidu</v>
      </c>
      <c r="H725" s="3" t="s">
        <v>19</v>
      </c>
      <c r="I725" s="3">
        <v>2027.0</v>
      </c>
      <c r="J725" s="3">
        <f t="shared" si="2"/>
        <v>5000</v>
      </c>
      <c r="K725" s="3" t="s">
        <v>20</v>
      </c>
      <c r="L725" s="3">
        <v>0.0</v>
      </c>
      <c r="M725" s="3" t="s">
        <v>21</v>
      </c>
      <c r="N725" s="3">
        <v>44.0</v>
      </c>
      <c r="O725" s="3" t="s">
        <v>22</v>
      </c>
      <c r="P725" s="3" t="s">
        <v>78</v>
      </c>
      <c r="Q725" s="6">
        <f t="shared" si="3"/>
        <v>255000</v>
      </c>
    </row>
    <row r="726">
      <c r="A726" s="3">
        <v>65434.0</v>
      </c>
      <c r="B726" s="3" t="s">
        <v>584</v>
      </c>
      <c r="C726" s="3" t="s">
        <v>18</v>
      </c>
      <c r="D726" s="4" t="str">
        <f t="shared" si="1"/>
        <v>Mr.</v>
      </c>
      <c r="E726" s="3" t="str">
        <f t="shared" si="4"/>
        <v>Mr. Atharv Sharma</v>
      </c>
      <c r="F726" s="3" t="str">
        <f>IFERROR(__xludf.DUMMYFUNCTION("SPLIT(B726,"" "")"),"Atharv")</f>
        <v>Atharv</v>
      </c>
      <c r="G726" s="3" t="str">
        <f>IFERROR(__xludf.DUMMYFUNCTION("""COMPUTED_VALUE"""),"Sharma")</f>
        <v>Sharma</v>
      </c>
      <c r="H726" s="3" t="s">
        <v>19</v>
      </c>
      <c r="I726" s="3">
        <v>2028.0</v>
      </c>
      <c r="J726" s="3">
        <f t="shared" si="2"/>
        <v>5000</v>
      </c>
      <c r="K726" s="3" t="s">
        <v>20</v>
      </c>
      <c r="L726" s="3">
        <v>0.0</v>
      </c>
      <c r="M726" s="3" t="s">
        <v>21</v>
      </c>
      <c r="N726" s="3">
        <v>37.0</v>
      </c>
      <c r="O726" s="3" t="s">
        <v>22</v>
      </c>
      <c r="P726" s="3" t="s">
        <v>31</v>
      </c>
      <c r="Q726" s="6">
        <f t="shared" si="3"/>
        <v>910000</v>
      </c>
    </row>
    <row r="727">
      <c r="A727" s="3">
        <v>65435.0</v>
      </c>
      <c r="B727" s="3" t="s">
        <v>634</v>
      </c>
      <c r="C727" s="3" t="s">
        <v>18</v>
      </c>
      <c r="D727" s="4" t="str">
        <f t="shared" si="1"/>
        <v>Mr.</v>
      </c>
      <c r="E727" s="3" t="str">
        <f t="shared" si="4"/>
        <v>Mr. Harsh Prasad</v>
      </c>
      <c r="F727" s="3" t="str">
        <f>IFERROR(__xludf.DUMMYFUNCTION("SPLIT(B727,"" "")"),"Harsh")</f>
        <v>Harsh</v>
      </c>
      <c r="G727" s="3" t="str">
        <f>IFERROR(__xludf.DUMMYFUNCTION("""COMPUTED_VALUE"""),"Prasad")</f>
        <v>Prasad</v>
      </c>
      <c r="H727" s="3" t="s">
        <v>19</v>
      </c>
      <c r="I727" s="3">
        <v>2023.0</v>
      </c>
      <c r="J727" s="3">
        <f t="shared" si="2"/>
        <v>5000</v>
      </c>
      <c r="K727" s="3" t="s">
        <v>20</v>
      </c>
      <c r="L727" s="3">
        <v>0.0</v>
      </c>
      <c r="M727" s="3" t="s">
        <v>21</v>
      </c>
      <c r="N727" s="3">
        <v>3.0</v>
      </c>
      <c r="O727" s="3" t="s">
        <v>22</v>
      </c>
      <c r="P727" s="3" t="s">
        <v>38</v>
      </c>
      <c r="Q727" s="6">
        <f t="shared" si="3"/>
        <v>635000</v>
      </c>
    </row>
    <row r="728">
      <c r="A728" s="3">
        <v>65436.0</v>
      </c>
      <c r="B728" s="3" t="s">
        <v>49</v>
      </c>
      <c r="C728" s="3" t="s">
        <v>18</v>
      </c>
      <c r="D728" s="4" t="str">
        <f t="shared" si="1"/>
        <v>Mr.</v>
      </c>
      <c r="E728" s="3" t="str">
        <f t="shared" si="4"/>
        <v>Mr. Ayaan Kapoor</v>
      </c>
      <c r="F728" s="3" t="str">
        <f>IFERROR(__xludf.DUMMYFUNCTION("SPLIT(B728,"" "")"),"Ayaan")</f>
        <v>Ayaan</v>
      </c>
      <c r="G728" s="3" t="str">
        <f>IFERROR(__xludf.DUMMYFUNCTION("""COMPUTED_VALUE"""),"Kapoor")</f>
        <v>Kapoor</v>
      </c>
      <c r="H728" s="3" t="s">
        <v>46</v>
      </c>
      <c r="I728" s="3">
        <v>2026.0</v>
      </c>
      <c r="J728" s="3">
        <f t="shared" si="2"/>
        <v>5000</v>
      </c>
      <c r="K728" s="3" t="s">
        <v>20</v>
      </c>
      <c r="L728" s="3">
        <v>0.0</v>
      </c>
      <c r="M728" s="3" t="s">
        <v>21</v>
      </c>
      <c r="N728" s="3">
        <v>52.0</v>
      </c>
      <c r="O728" s="3" t="s">
        <v>22</v>
      </c>
      <c r="P728" s="3" t="s">
        <v>31</v>
      </c>
      <c r="Q728" s="6">
        <f t="shared" si="3"/>
        <v>910000</v>
      </c>
    </row>
    <row r="729">
      <c r="A729" s="3">
        <v>65437.0</v>
      </c>
      <c r="B729" s="3" t="s">
        <v>635</v>
      </c>
      <c r="C729" s="3" t="s">
        <v>18</v>
      </c>
      <c r="D729" s="4" t="str">
        <f t="shared" si="1"/>
        <v>Mr.</v>
      </c>
      <c r="E729" s="3" t="str">
        <f t="shared" si="4"/>
        <v>Mr. Om Patel</v>
      </c>
      <c r="F729" s="3" t="str">
        <f>IFERROR(__xludf.DUMMYFUNCTION("SPLIT(B729,"" "")"),"Om")</f>
        <v>Om</v>
      </c>
      <c r="G729" s="3" t="str">
        <f>IFERROR(__xludf.DUMMYFUNCTION("""COMPUTED_VALUE"""),"Patel")</f>
        <v>Patel</v>
      </c>
      <c r="H729" s="3" t="s">
        <v>25</v>
      </c>
      <c r="I729" s="3">
        <v>2024.0</v>
      </c>
      <c r="J729" s="3">
        <f t="shared" si="2"/>
        <v>10000</v>
      </c>
      <c r="K729" s="3" t="s">
        <v>26</v>
      </c>
      <c r="L729" s="3">
        <v>16230.0</v>
      </c>
      <c r="M729" s="3" t="s">
        <v>21</v>
      </c>
      <c r="N729" s="3">
        <f>RANDBETWEEN(0,10)</f>
        <v>5</v>
      </c>
      <c r="O729" s="3" t="s">
        <v>22</v>
      </c>
      <c r="P729" s="3" t="s">
        <v>38</v>
      </c>
      <c r="Q729" s="6">
        <f t="shared" si="3"/>
        <v>635000</v>
      </c>
    </row>
    <row r="730">
      <c r="A730" s="3">
        <v>65439.0</v>
      </c>
      <c r="B730" s="3" t="s">
        <v>636</v>
      </c>
      <c r="C730" s="3" t="s">
        <v>35</v>
      </c>
      <c r="D730" s="4" t="str">
        <f t="shared" si="1"/>
        <v>Ms.</v>
      </c>
      <c r="E730" s="3" t="str">
        <f t="shared" si="4"/>
        <v>Ms. Aarohi Joshi</v>
      </c>
      <c r="F730" s="3" t="str">
        <f>IFERROR(__xludf.DUMMYFUNCTION("SPLIT(B730,"" "")"),"Aarohi")</f>
        <v>Aarohi</v>
      </c>
      <c r="G730" s="3" t="str">
        <f>IFERROR(__xludf.DUMMYFUNCTION("""COMPUTED_VALUE"""),"Joshi")</f>
        <v>Joshi</v>
      </c>
      <c r="H730" s="3" t="s">
        <v>25</v>
      </c>
      <c r="I730" s="3">
        <v>2025.0</v>
      </c>
      <c r="J730" s="3">
        <f t="shared" si="2"/>
        <v>10000</v>
      </c>
      <c r="K730" s="3" t="s">
        <v>20</v>
      </c>
      <c r="L730" s="10">
        <v>26600.0</v>
      </c>
      <c r="M730" s="3" t="s">
        <v>30</v>
      </c>
      <c r="N730" s="3">
        <v>48.0</v>
      </c>
      <c r="O730" s="3" t="s">
        <v>22</v>
      </c>
      <c r="P730" s="3" t="s">
        <v>38</v>
      </c>
      <c r="Q730" s="6">
        <f t="shared" si="3"/>
        <v>635000</v>
      </c>
    </row>
    <row r="731">
      <c r="A731" s="3">
        <v>65440.0</v>
      </c>
      <c r="B731" s="3" t="s">
        <v>416</v>
      </c>
      <c r="C731" s="3" t="s">
        <v>18</v>
      </c>
      <c r="D731" s="4" t="str">
        <f t="shared" si="1"/>
        <v>Mr.</v>
      </c>
      <c r="E731" s="3" t="str">
        <f t="shared" si="4"/>
        <v>Mr. Aaryan Bhat</v>
      </c>
      <c r="F731" s="3" t="str">
        <f>IFERROR(__xludf.DUMMYFUNCTION("SPLIT(B731,"" "")"),"Aaryan")</f>
        <v>Aaryan</v>
      </c>
      <c r="G731" s="3" t="str">
        <f>IFERROR(__xludf.DUMMYFUNCTION("""COMPUTED_VALUE"""),"Bhat")</f>
        <v>Bhat</v>
      </c>
      <c r="H731" s="3" t="s">
        <v>19</v>
      </c>
      <c r="I731" s="3">
        <v>2020.0</v>
      </c>
      <c r="J731" s="3">
        <f t="shared" si="2"/>
        <v>5000</v>
      </c>
      <c r="K731" s="3" t="s">
        <v>20</v>
      </c>
      <c r="L731" s="10">
        <v>3375.0</v>
      </c>
      <c r="M731" s="3" t="s">
        <v>21</v>
      </c>
      <c r="N731" s="3">
        <f t="shared" ref="N731:N732" si="35">RANDBETWEEN(0,10)</f>
        <v>7</v>
      </c>
      <c r="O731" s="3" t="s">
        <v>41</v>
      </c>
      <c r="P731" s="3" t="s">
        <v>38</v>
      </c>
      <c r="Q731" s="6">
        <f t="shared" si="3"/>
        <v>635000</v>
      </c>
    </row>
    <row r="732">
      <c r="A732" s="3">
        <v>65441.0</v>
      </c>
      <c r="B732" s="3" t="s">
        <v>637</v>
      </c>
      <c r="C732" s="3" t="s">
        <v>18</v>
      </c>
      <c r="D732" s="4" t="str">
        <f t="shared" si="1"/>
        <v>Mr.</v>
      </c>
      <c r="E732" s="3" t="str">
        <f t="shared" si="4"/>
        <v>Mr. Anirudh Nair</v>
      </c>
      <c r="F732" s="3" t="str">
        <f>IFERROR(__xludf.DUMMYFUNCTION("SPLIT(B732,"" "")"),"Anirudh")</f>
        <v>Anirudh</v>
      </c>
      <c r="G732" s="3" t="str">
        <f>IFERROR(__xludf.DUMMYFUNCTION("""COMPUTED_VALUE"""),"Nair")</f>
        <v>Nair</v>
      </c>
      <c r="H732" s="3" t="s">
        <v>19</v>
      </c>
      <c r="I732" s="3">
        <v>2013.0</v>
      </c>
      <c r="J732" s="3">
        <f t="shared" si="2"/>
        <v>5000</v>
      </c>
      <c r="K732" s="3" t="s">
        <v>20</v>
      </c>
      <c r="L732" s="3">
        <v>0.0</v>
      </c>
      <c r="M732" s="3" t="s">
        <v>21</v>
      </c>
      <c r="N732" s="3">
        <f t="shared" si="35"/>
        <v>6</v>
      </c>
      <c r="O732" s="3" t="s">
        <v>41</v>
      </c>
      <c r="P732" s="3" t="s">
        <v>23</v>
      </c>
      <c r="Q732" s="6">
        <f t="shared" si="3"/>
        <v>430000</v>
      </c>
    </row>
    <row r="733">
      <c r="A733" s="3">
        <v>65442.0</v>
      </c>
      <c r="B733" s="3" t="s">
        <v>638</v>
      </c>
      <c r="C733" s="3" t="s">
        <v>18</v>
      </c>
      <c r="D733" s="4" t="str">
        <f t="shared" si="1"/>
        <v>Mr.</v>
      </c>
      <c r="E733" s="3" t="str">
        <f t="shared" si="4"/>
        <v>Mr. Samarth Desai</v>
      </c>
      <c r="F733" s="3" t="str">
        <f>IFERROR(__xludf.DUMMYFUNCTION("SPLIT(B733,"" "")"),"Samarth")</f>
        <v>Samarth</v>
      </c>
      <c r="G733" s="3" t="str">
        <f>IFERROR(__xludf.DUMMYFUNCTION("""COMPUTED_VALUE"""),"Desai")</f>
        <v>Desai</v>
      </c>
      <c r="H733" s="3" t="s">
        <v>33</v>
      </c>
      <c r="I733" s="3">
        <v>2024.0</v>
      </c>
      <c r="J733" s="3">
        <f t="shared" si="2"/>
        <v>10000</v>
      </c>
      <c r="K733" s="3" t="s">
        <v>20</v>
      </c>
      <c r="L733" s="3">
        <v>0.0</v>
      </c>
      <c r="M733" s="3" t="s">
        <v>30</v>
      </c>
      <c r="N733" s="3">
        <v>2.0</v>
      </c>
      <c r="O733" s="3" t="s">
        <v>41</v>
      </c>
      <c r="P733" s="3" t="s">
        <v>31</v>
      </c>
      <c r="Q733" s="6">
        <f t="shared" si="3"/>
        <v>910000</v>
      </c>
    </row>
    <row r="734">
      <c r="A734" s="3">
        <v>65443.0</v>
      </c>
      <c r="B734" s="3" t="s">
        <v>639</v>
      </c>
      <c r="C734" s="3" t="s">
        <v>18</v>
      </c>
      <c r="D734" s="4" t="str">
        <f t="shared" si="1"/>
        <v>Mr.</v>
      </c>
      <c r="E734" s="3" t="str">
        <f t="shared" si="4"/>
        <v>Mr. Kabir Chowdhury</v>
      </c>
      <c r="F734" s="3" t="str">
        <f>IFERROR(__xludf.DUMMYFUNCTION("SPLIT(B734,"" "")"),"Kabir")</f>
        <v>Kabir</v>
      </c>
      <c r="G734" s="3" t="str">
        <f>IFERROR(__xludf.DUMMYFUNCTION("""COMPUTED_VALUE"""),"Chowdhury")</f>
        <v>Chowdhury</v>
      </c>
      <c r="H734" s="3" t="s">
        <v>19</v>
      </c>
      <c r="I734" s="3">
        <v>2018.0</v>
      </c>
      <c r="J734" s="3">
        <f t="shared" si="2"/>
        <v>5000</v>
      </c>
      <c r="K734" s="3" t="s">
        <v>26</v>
      </c>
      <c r="L734" s="3">
        <v>21518.0</v>
      </c>
      <c r="M734" s="3" t="s">
        <v>30</v>
      </c>
      <c r="N734" s="3">
        <v>75.0</v>
      </c>
      <c r="O734" s="3" t="s">
        <v>41</v>
      </c>
      <c r="P734" s="3" t="s">
        <v>23</v>
      </c>
      <c r="Q734" s="6">
        <f t="shared" si="3"/>
        <v>430000</v>
      </c>
    </row>
    <row r="735">
      <c r="A735" s="3">
        <v>65444.0</v>
      </c>
      <c r="B735" s="3" t="s">
        <v>640</v>
      </c>
      <c r="C735" s="3" t="s">
        <v>18</v>
      </c>
      <c r="D735" s="4" t="str">
        <f t="shared" si="1"/>
        <v>Mr.</v>
      </c>
      <c r="E735" s="3" t="str">
        <f t="shared" si="4"/>
        <v>Mr. Dhanush Iyer</v>
      </c>
      <c r="F735" s="3" t="str">
        <f>IFERROR(__xludf.DUMMYFUNCTION("SPLIT(B735,"" "")"),"Dhanush")</f>
        <v>Dhanush</v>
      </c>
      <c r="G735" s="3" t="str">
        <f>IFERROR(__xludf.DUMMYFUNCTION("""COMPUTED_VALUE"""),"Iyer")</f>
        <v>Iyer</v>
      </c>
      <c r="H735" s="3" t="s">
        <v>25</v>
      </c>
      <c r="I735" s="3">
        <v>2023.0</v>
      </c>
      <c r="J735" s="3">
        <f t="shared" si="2"/>
        <v>10000</v>
      </c>
      <c r="K735" s="3" t="s">
        <v>26</v>
      </c>
      <c r="L735" s="3">
        <v>5099.0</v>
      </c>
      <c r="M735" s="3" t="s">
        <v>21</v>
      </c>
      <c r="N735" s="3">
        <v>2.0</v>
      </c>
      <c r="O735" s="3" t="s">
        <v>22</v>
      </c>
      <c r="P735" s="3" t="s">
        <v>28</v>
      </c>
      <c r="Q735" s="6">
        <f t="shared" si="3"/>
        <v>400000</v>
      </c>
    </row>
    <row r="736">
      <c r="A736" s="3">
        <v>65445.0</v>
      </c>
      <c r="B736" s="3" t="s">
        <v>61</v>
      </c>
      <c r="C736" s="3" t="s">
        <v>35</v>
      </c>
      <c r="D736" s="4" t="str">
        <f t="shared" si="1"/>
        <v>Ms.</v>
      </c>
      <c r="E736" s="3" t="str">
        <f t="shared" si="4"/>
        <v>Ms. Aarohi Reddy</v>
      </c>
      <c r="F736" s="3" t="str">
        <f>IFERROR(__xludf.DUMMYFUNCTION("SPLIT(B736,"" "")"),"Aarohi")</f>
        <v>Aarohi</v>
      </c>
      <c r="G736" s="3" t="str">
        <f>IFERROR(__xludf.DUMMYFUNCTION("""COMPUTED_VALUE"""),"Reddy")</f>
        <v>Reddy</v>
      </c>
      <c r="H736" s="3" t="s">
        <v>46</v>
      </c>
      <c r="I736" s="3">
        <v>2028.0</v>
      </c>
      <c r="J736" s="3">
        <f t="shared" si="2"/>
        <v>5000</v>
      </c>
      <c r="K736" s="3" t="s">
        <v>20</v>
      </c>
      <c r="L736" s="3">
        <v>0.0</v>
      </c>
      <c r="M736" s="3" t="s">
        <v>21</v>
      </c>
      <c r="N736" s="3">
        <v>71.0</v>
      </c>
      <c r="O736" s="3" t="s">
        <v>22</v>
      </c>
      <c r="P736" s="3" t="s">
        <v>31</v>
      </c>
      <c r="Q736" s="6">
        <f t="shared" si="3"/>
        <v>910000</v>
      </c>
    </row>
    <row r="737">
      <c r="A737" s="3">
        <v>65446.0</v>
      </c>
      <c r="B737" s="3" t="s">
        <v>92</v>
      </c>
      <c r="C737" s="3" t="s">
        <v>35</v>
      </c>
      <c r="D737" s="4" t="str">
        <f t="shared" si="1"/>
        <v>Ms.</v>
      </c>
      <c r="E737" s="3" t="str">
        <f t="shared" si="4"/>
        <v>Ms. Naira Bhat</v>
      </c>
      <c r="F737" s="3" t="str">
        <f>IFERROR(__xludf.DUMMYFUNCTION("SPLIT(B737,"" "")"),"Naira")</f>
        <v>Naira</v>
      </c>
      <c r="G737" s="3" t="str">
        <f>IFERROR(__xludf.DUMMYFUNCTION("""COMPUTED_VALUE"""),"Bhat")</f>
        <v>Bhat</v>
      </c>
      <c r="H737" s="3" t="s">
        <v>25</v>
      </c>
      <c r="I737" s="3">
        <v>2023.0</v>
      </c>
      <c r="J737" s="3">
        <f t="shared" si="2"/>
        <v>10000</v>
      </c>
      <c r="K737" s="3" t="s">
        <v>37</v>
      </c>
      <c r="L737" s="10">
        <v>4468.0</v>
      </c>
      <c r="M737" s="3" t="s">
        <v>21</v>
      </c>
      <c r="N737" s="3">
        <v>33.0</v>
      </c>
      <c r="O737" s="3" t="s">
        <v>22</v>
      </c>
      <c r="P737" s="3" t="s">
        <v>38</v>
      </c>
      <c r="Q737" s="6">
        <f t="shared" si="3"/>
        <v>635000</v>
      </c>
    </row>
    <row r="738">
      <c r="A738" s="3">
        <v>65447.0</v>
      </c>
      <c r="B738" s="3" t="s">
        <v>217</v>
      </c>
      <c r="C738" s="3" t="s">
        <v>35</v>
      </c>
      <c r="D738" s="4" t="str">
        <f t="shared" si="1"/>
        <v>Ms.</v>
      </c>
      <c r="E738" s="3" t="str">
        <f t="shared" si="4"/>
        <v>Ms. Charvi Chopra</v>
      </c>
      <c r="F738" s="3" t="str">
        <f>IFERROR(__xludf.DUMMYFUNCTION("SPLIT(B738,"" "")"),"Charvi")</f>
        <v>Charvi</v>
      </c>
      <c r="G738" s="3" t="str">
        <f>IFERROR(__xludf.DUMMYFUNCTION("""COMPUTED_VALUE"""),"Chopra")</f>
        <v>Chopra</v>
      </c>
      <c r="H738" s="3" t="s">
        <v>33</v>
      </c>
      <c r="I738" s="3">
        <v>2024.0</v>
      </c>
      <c r="J738" s="3">
        <f t="shared" si="2"/>
        <v>10000</v>
      </c>
      <c r="K738" s="3" t="s">
        <v>20</v>
      </c>
      <c r="L738" s="3">
        <v>0.0</v>
      </c>
      <c r="M738" s="3" t="s">
        <v>21</v>
      </c>
      <c r="N738" s="3">
        <v>38.0</v>
      </c>
      <c r="O738" s="3" t="s">
        <v>41</v>
      </c>
      <c r="P738" s="3" t="s">
        <v>38</v>
      </c>
      <c r="Q738" s="6">
        <f t="shared" si="3"/>
        <v>635000</v>
      </c>
    </row>
    <row r="739">
      <c r="A739" s="3">
        <v>65448.0</v>
      </c>
      <c r="B739" s="3" t="s">
        <v>421</v>
      </c>
      <c r="C739" s="3" t="s">
        <v>35</v>
      </c>
      <c r="D739" s="4" t="str">
        <f t="shared" si="1"/>
        <v>Ms.</v>
      </c>
      <c r="E739" s="3" t="str">
        <f t="shared" si="4"/>
        <v>Ms. Gauri Malik</v>
      </c>
      <c r="F739" s="3" t="str">
        <f>IFERROR(__xludf.DUMMYFUNCTION("SPLIT(B739,"" "")"),"Gauri")</f>
        <v>Gauri</v>
      </c>
      <c r="G739" s="3" t="str">
        <f>IFERROR(__xludf.DUMMYFUNCTION("""COMPUTED_VALUE"""),"Malik")</f>
        <v>Malik</v>
      </c>
      <c r="H739" s="3" t="s">
        <v>33</v>
      </c>
      <c r="I739" s="3">
        <v>2025.0</v>
      </c>
      <c r="J739" s="3">
        <f t="shared" si="2"/>
        <v>10000</v>
      </c>
      <c r="K739" s="3" t="s">
        <v>26</v>
      </c>
      <c r="L739" s="3">
        <v>20697.0</v>
      </c>
      <c r="M739" s="3" t="s">
        <v>21</v>
      </c>
      <c r="N739" s="3">
        <f>RANDBETWEEN(0,10)</f>
        <v>1</v>
      </c>
      <c r="O739" s="3" t="s">
        <v>22</v>
      </c>
      <c r="P739" s="3" t="s">
        <v>28</v>
      </c>
      <c r="Q739" s="6">
        <f t="shared" si="3"/>
        <v>400000</v>
      </c>
    </row>
    <row r="740">
      <c r="A740" s="3">
        <v>65449.0</v>
      </c>
      <c r="B740" s="3" t="s">
        <v>641</v>
      </c>
      <c r="C740" s="3" t="s">
        <v>35</v>
      </c>
      <c r="D740" s="4" t="str">
        <f t="shared" si="1"/>
        <v>Ms.</v>
      </c>
      <c r="E740" s="3" t="str">
        <f t="shared" si="4"/>
        <v>Ms. Anvi Mishra</v>
      </c>
      <c r="F740" s="3" t="str">
        <f>IFERROR(__xludf.DUMMYFUNCTION("SPLIT(B740,"" "")"),"Anvi")</f>
        <v>Anvi</v>
      </c>
      <c r="G740" s="3" t="str">
        <f>IFERROR(__xludf.DUMMYFUNCTION("""COMPUTED_VALUE"""),"Mishra")</f>
        <v>Mishra</v>
      </c>
      <c r="H740" s="3" t="s">
        <v>46</v>
      </c>
      <c r="I740" s="3">
        <v>2028.0</v>
      </c>
      <c r="J740" s="3">
        <f t="shared" si="2"/>
        <v>5000</v>
      </c>
      <c r="K740" s="3" t="s">
        <v>20</v>
      </c>
      <c r="L740" s="3">
        <v>0.0</v>
      </c>
      <c r="M740" s="3" t="s">
        <v>21</v>
      </c>
      <c r="N740" s="3">
        <v>75.0</v>
      </c>
      <c r="O740" s="3" t="s">
        <v>22</v>
      </c>
      <c r="P740" s="3" t="s">
        <v>31</v>
      </c>
      <c r="Q740" s="6">
        <f t="shared" si="3"/>
        <v>910000</v>
      </c>
    </row>
    <row r="741">
      <c r="A741" s="3">
        <v>65450.0</v>
      </c>
      <c r="B741" s="3" t="s">
        <v>642</v>
      </c>
      <c r="C741" s="3" t="s">
        <v>35</v>
      </c>
      <c r="D741" s="4" t="str">
        <f t="shared" si="1"/>
        <v>Ms.</v>
      </c>
      <c r="E741" s="3" t="str">
        <f t="shared" si="4"/>
        <v>Ms. Aadhya Mehta</v>
      </c>
      <c r="F741" s="3" t="str">
        <f>IFERROR(__xludf.DUMMYFUNCTION("SPLIT(B741,"" "")"),"Aadhya")</f>
        <v>Aadhya</v>
      </c>
      <c r="G741" s="3" t="str">
        <f>IFERROR(__xludf.DUMMYFUNCTION("""COMPUTED_VALUE"""),"Mehta")</f>
        <v>Mehta</v>
      </c>
      <c r="H741" s="3" t="s">
        <v>25</v>
      </c>
      <c r="I741" s="3">
        <v>2026.0</v>
      </c>
      <c r="J741" s="3">
        <f t="shared" si="2"/>
        <v>10000</v>
      </c>
      <c r="K741" s="3" t="s">
        <v>20</v>
      </c>
      <c r="L741" s="3">
        <v>250.0</v>
      </c>
      <c r="M741" s="3" t="s">
        <v>21</v>
      </c>
      <c r="N741" s="3">
        <f>RANDBETWEEN(0,10)</f>
        <v>4</v>
      </c>
      <c r="O741" s="3" t="s">
        <v>41</v>
      </c>
      <c r="P741" s="3" t="s">
        <v>31</v>
      </c>
      <c r="Q741" s="6">
        <f t="shared" si="3"/>
        <v>910000</v>
      </c>
    </row>
    <row r="742">
      <c r="A742" s="3">
        <v>65451.0</v>
      </c>
      <c r="B742" s="3" t="s">
        <v>643</v>
      </c>
      <c r="C742" s="3" t="s">
        <v>35</v>
      </c>
      <c r="D742" s="4" t="str">
        <f t="shared" si="1"/>
        <v>Ms.</v>
      </c>
      <c r="E742" s="3" t="str">
        <f t="shared" si="4"/>
        <v>Ms. Manya Nair</v>
      </c>
      <c r="F742" s="3" t="str">
        <f>IFERROR(__xludf.DUMMYFUNCTION("SPLIT(B742,"" "")"),"Manya")</f>
        <v>Manya</v>
      </c>
      <c r="G742" s="3" t="str">
        <f>IFERROR(__xludf.DUMMYFUNCTION("""COMPUTED_VALUE"""),"Nair")</f>
        <v>Nair</v>
      </c>
      <c r="H742" s="3" t="s">
        <v>25</v>
      </c>
      <c r="I742" s="3">
        <v>2024.0</v>
      </c>
      <c r="J742" s="3">
        <f t="shared" si="2"/>
        <v>10000</v>
      </c>
      <c r="K742" s="3" t="s">
        <v>20</v>
      </c>
      <c r="L742" s="3">
        <v>19.0</v>
      </c>
      <c r="M742" s="3" t="s">
        <v>21</v>
      </c>
      <c r="N742" s="3">
        <v>44.0</v>
      </c>
      <c r="O742" s="3" t="s">
        <v>22</v>
      </c>
      <c r="P742" s="3" t="s">
        <v>38</v>
      </c>
      <c r="Q742" s="6">
        <f t="shared" si="3"/>
        <v>635000</v>
      </c>
    </row>
    <row r="743">
      <c r="A743" s="3">
        <v>65452.0</v>
      </c>
      <c r="B743" s="3" t="s">
        <v>120</v>
      </c>
      <c r="C743" s="3" t="s">
        <v>18</v>
      </c>
      <c r="D743" s="4" t="str">
        <f t="shared" si="1"/>
        <v>Mr.</v>
      </c>
      <c r="E743" s="3" t="str">
        <f t="shared" si="4"/>
        <v>Mr. Siddharth Iyer</v>
      </c>
      <c r="F743" s="3" t="str">
        <f>IFERROR(__xludf.DUMMYFUNCTION("SPLIT(B743,"" "")"),"Siddharth")</f>
        <v>Siddharth</v>
      </c>
      <c r="G743" s="3" t="str">
        <f>IFERROR(__xludf.DUMMYFUNCTION("""COMPUTED_VALUE"""),"Iyer")</f>
        <v>Iyer</v>
      </c>
      <c r="H743" s="3" t="s">
        <v>46</v>
      </c>
      <c r="I743" s="3">
        <v>2023.0</v>
      </c>
      <c r="J743" s="3">
        <f t="shared" si="2"/>
        <v>5000</v>
      </c>
      <c r="K743" s="3" t="s">
        <v>20</v>
      </c>
      <c r="L743" s="3">
        <v>0.0</v>
      </c>
      <c r="M743" s="3" t="s">
        <v>21</v>
      </c>
      <c r="N743" s="3">
        <v>44.0</v>
      </c>
      <c r="O743" s="3" t="s">
        <v>22</v>
      </c>
      <c r="P743" s="3" t="s">
        <v>28</v>
      </c>
      <c r="Q743" s="6">
        <f t="shared" si="3"/>
        <v>400000</v>
      </c>
    </row>
    <row r="744">
      <c r="A744" s="3">
        <v>65453.0</v>
      </c>
      <c r="B744" s="3" t="s">
        <v>644</v>
      </c>
      <c r="C744" s="3" t="s">
        <v>35</v>
      </c>
      <c r="D744" s="4" t="str">
        <f t="shared" si="1"/>
        <v>Ms.</v>
      </c>
      <c r="E744" s="3" t="str">
        <f t="shared" si="4"/>
        <v>Ms. Aarohi Sinha</v>
      </c>
      <c r="F744" s="3" t="str">
        <f>IFERROR(__xludf.DUMMYFUNCTION("SPLIT(B744,"" "")"),"Aarohi")</f>
        <v>Aarohi</v>
      </c>
      <c r="G744" s="3" t="str">
        <f>IFERROR(__xludf.DUMMYFUNCTION("""COMPUTED_VALUE"""),"Sinha")</f>
        <v>Sinha</v>
      </c>
      <c r="H744" s="3" t="s">
        <v>33</v>
      </c>
      <c r="I744" s="3">
        <v>2023.0</v>
      </c>
      <c r="J744" s="3">
        <f t="shared" si="2"/>
        <v>10000</v>
      </c>
      <c r="K744" s="3" t="s">
        <v>20</v>
      </c>
      <c r="L744" s="3">
        <v>0.0</v>
      </c>
      <c r="M744" s="3" t="s">
        <v>30</v>
      </c>
      <c r="N744" s="3">
        <v>14.0</v>
      </c>
      <c r="O744" s="3" t="s">
        <v>22</v>
      </c>
      <c r="P744" s="3" t="s">
        <v>28</v>
      </c>
      <c r="Q744" s="6">
        <f t="shared" si="3"/>
        <v>400000</v>
      </c>
    </row>
    <row r="745">
      <c r="A745" s="3">
        <v>65454.0</v>
      </c>
      <c r="B745" s="3" t="s">
        <v>637</v>
      </c>
      <c r="C745" s="3" t="s">
        <v>18</v>
      </c>
      <c r="D745" s="4" t="str">
        <f t="shared" si="1"/>
        <v>Mr.</v>
      </c>
      <c r="E745" s="3" t="str">
        <f t="shared" si="4"/>
        <v>Mr. Anirudh Nair</v>
      </c>
      <c r="F745" s="3" t="str">
        <f>IFERROR(__xludf.DUMMYFUNCTION("SPLIT(B745,"" "")"),"Anirudh")</f>
        <v>Anirudh</v>
      </c>
      <c r="G745" s="3" t="str">
        <f>IFERROR(__xludf.DUMMYFUNCTION("""COMPUTED_VALUE"""),"Nair")</f>
        <v>Nair</v>
      </c>
      <c r="H745" s="3" t="s">
        <v>19</v>
      </c>
      <c r="I745" s="3">
        <v>2024.0</v>
      </c>
      <c r="J745" s="3">
        <f t="shared" si="2"/>
        <v>5000</v>
      </c>
      <c r="K745" s="3" t="s">
        <v>26</v>
      </c>
      <c r="L745" s="3">
        <v>13119.0</v>
      </c>
      <c r="M745" s="3" t="s">
        <v>21</v>
      </c>
      <c r="N745" s="3">
        <v>30.0</v>
      </c>
      <c r="O745" s="3" t="s">
        <v>22</v>
      </c>
      <c r="P745" s="3" t="s">
        <v>28</v>
      </c>
      <c r="Q745" s="6">
        <f t="shared" si="3"/>
        <v>400000</v>
      </c>
    </row>
    <row r="746">
      <c r="A746" s="3">
        <v>65455.0</v>
      </c>
      <c r="B746" s="3" t="s">
        <v>645</v>
      </c>
      <c r="C746" s="3" t="s">
        <v>35</v>
      </c>
      <c r="D746" s="4" t="str">
        <f t="shared" si="1"/>
        <v>Ms.</v>
      </c>
      <c r="E746" s="3" t="str">
        <f t="shared" si="4"/>
        <v>Ms. Gauri Jain</v>
      </c>
      <c r="F746" s="3" t="str">
        <f>IFERROR(__xludf.DUMMYFUNCTION("SPLIT(B746,"" "")"),"Gauri")</f>
        <v>Gauri</v>
      </c>
      <c r="G746" s="3" t="str">
        <f>IFERROR(__xludf.DUMMYFUNCTION("""COMPUTED_VALUE"""),"Jain")</f>
        <v>Jain</v>
      </c>
      <c r="H746" s="3" t="s">
        <v>19</v>
      </c>
      <c r="I746" s="3">
        <v>2024.0</v>
      </c>
      <c r="J746" s="3">
        <f t="shared" si="2"/>
        <v>5000</v>
      </c>
      <c r="K746" s="3" t="s">
        <v>20</v>
      </c>
      <c r="L746" s="3">
        <v>0.0</v>
      </c>
      <c r="M746" s="3" t="s">
        <v>21</v>
      </c>
      <c r="N746" s="3">
        <f>RANDBETWEEN(0,10)</f>
        <v>7</v>
      </c>
      <c r="O746" s="3" t="s">
        <v>22</v>
      </c>
      <c r="P746" s="3" t="s">
        <v>38</v>
      </c>
      <c r="Q746" s="6">
        <f t="shared" si="3"/>
        <v>635000</v>
      </c>
    </row>
    <row r="747">
      <c r="A747" s="3">
        <v>65457.0</v>
      </c>
      <c r="B747" s="3" t="s">
        <v>646</v>
      </c>
      <c r="C747" s="3" t="s">
        <v>35</v>
      </c>
      <c r="D747" s="4" t="str">
        <f t="shared" si="1"/>
        <v>Ms.</v>
      </c>
      <c r="E747" s="3" t="str">
        <f t="shared" si="4"/>
        <v>Ms. Kyra Das</v>
      </c>
      <c r="F747" s="3" t="str">
        <f>IFERROR(__xludf.DUMMYFUNCTION("SPLIT(B747,"" "")"),"Kyra")</f>
        <v>Kyra</v>
      </c>
      <c r="G747" s="3" t="str">
        <f>IFERROR(__xludf.DUMMYFUNCTION("""COMPUTED_VALUE"""),"Das")</f>
        <v>Das</v>
      </c>
      <c r="H747" s="3" t="s">
        <v>25</v>
      </c>
      <c r="I747" s="3">
        <v>2021.0</v>
      </c>
      <c r="J747" s="3">
        <f t="shared" si="2"/>
        <v>10000</v>
      </c>
      <c r="K747" s="3" t="s">
        <v>26</v>
      </c>
      <c r="L747" s="3">
        <v>10607.0</v>
      </c>
      <c r="M747" s="3" t="s">
        <v>30</v>
      </c>
      <c r="N747" s="3">
        <v>32.0</v>
      </c>
      <c r="O747" s="3" t="s">
        <v>22</v>
      </c>
      <c r="P747" s="3" t="s">
        <v>31</v>
      </c>
      <c r="Q747" s="6">
        <f t="shared" si="3"/>
        <v>910000</v>
      </c>
    </row>
    <row r="748">
      <c r="A748" s="3">
        <v>65458.0</v>
      </c>
      <c r="B748" s="3" t="s">
        <v>647</v>
      </c>
      <c r="C748" s="3" t="s">
        <v>18</v>
      </c>
      <c r="D748" s="4" t="str">
        <f t="shared" si="1"/>
        <v>Mr.</v>
      </c>
      <c r="E748" s="3" t="str">
        <f t="shared" si="4"/>
        <v>Mr. Ayaan Thakur</v>
      </c>
      <c r="F748" s="3" t="str">
        <f>IFERROR(__xludf.DUMMYFUNCTION("SPLIT(B748,"" "")"),"Ayaan")</f>
        <v>Ayaan</v>
      </c>
      <c r="G748" s="3" t="str">
        <f>IFERROR(__xludf.DUMMYFUNCTION("""COMPUTED_VALUE"""),"Thakur")</f>
        <v>Thakur</v>
      </c>
      <c r="H748" s="3" t="s">
        <v>19</v>
      </c>
      <c r="I748" s="3">
        <v>2025.0</v>
      </c>
      <c r="J748" s="3">
        <f t="shared" si="2"/>
        <v>5000</v>
      </c>
      <c r="K748" s="3" t="s">
        <v>26</v>
      </c>
      <c r="L748" s="10">
        <v>7160.0</v>
      </c>
      <c r="M748" s="3" t="s">
        <v>21</v>
      </c>
      <c r="N748" s="3">
        <v>32.0</v>
      </c>
      <c r="O748" s="3" t="s">
        <v>22</v>
      </c>
      <c r="P748" s="3" t="s">
        <v>31</v>
      </c>
      <c r="Q748" s="6">
        <f t="shared" si="3"/>
        <v>910000</v>
      </c>
    </row>
    <row r="749">
      <c r="A749" s="3">
        <v>65459.0</v>
      </c>
      <c r="B749" s="3" t="s">
        <v>97</v>
      </c>
      <c r="C749" s="3" t="s">
        <v>18</v>
      </c>
      <c r="D749" s="4" t="str">
        <f t="shared" si="1"/>
        <v>Mr.</v>
      </c>
      <c r="E749" s="3" t="str">
        <f t="shared" si="4"/>
        <v>Mr. Kabir Nair</v>
      </c>
      <c r="F749" s="3" t="str">
        <f>IFERROR(__xludf.DUMMYFUNCTION("SPLIT(B749,"" "")"),"Kabir")</f>
        <v>Kabir</v>
      </c>
      <c r="G749" s="3" t="str">
        <f>IFERROR(__xludf.DUMMYFUNCTION("""COMPUTED_VALUE"""),"Nair")</f>
        <v>Nair</v>
      </c>
      <c r="H749" s="3" t="s">
        <v>46</v>
      </c>
      <c r="I749" s="3">
        <v>2023.0</v>
      </c>
      <c r="J749" s="3">
        <f t="shared" si="2"/>
        <v>5000</v>
      </c>
      <c r="K749" s="3" t="s">
        <v>26</v>
      </c>
      <c r="L749" s="10">
        <v>3253.0</v>
      </c>
      <c r="M749" s="3" t="s">
        <v>21</v>
      </c>
      <c r="N749" s="3">
        <v>77.0</v>
      </c>
      <c r="O749" s="3" t="s">
        <v>22</v>
      </c>
      <c r="P749" s="3" t="s">
        <v>31</v>
      </c>
      <c r="Q749" s="6">
        <f t="shared" si="3"/>
        <v>910000</v>
      </c>
    </row>
    <row r="750">
      <c r="A750" s="3">
        <v>65460.0</v>
      </c>
      <c r="B750" s="3" t="s">
        <v>648</v>
      </c>
      <c r="C750" s="3" t="s">
        <v>18</v>
      </c>
      <c r="D750" s="4" t="str">
        <f t="shared" si="1"/>
        <v>Mr.</v>
      </c>
      <c r="E750" s="3" t="str">
        <f t="shared" si="4"/>
        <v>Mr. Harsh Sharma</v>
      </c>
      <c r="F750" s="3" t="str">
        <f>IFERROR(__xludf.DUMMYFUNCTION("SPLIT(B750,"" "")"),"Harsh")</f>
        <v>Harsh</v>
      </c>
      <c r="G750" s="3" t="str">
        <f>IFERROR(__xludf.DUMMYFUNCTION("""COMPUTED_VALUE"""),"Sharma")</f>
        <v>Sharma</v>
      </c>
      <c r="H750" s="3" t="s">
        <v>33</v>
      </c>
      <c r="I750" s="3">
        <v>2024.0</v>
      </c>
      <c r="J750" s="3">
        <f t="shared" si="2"/>
        <v>10000</v>
      </c>
      <c r="K750" s="3" t="s">
        <v>26</v>
      </c>
      <c r="L750" s="3">
        <v>24453.0</v>
      </c>
      <c r="M750" s="3" t="s">
        <v>30</v>
      </c>
      <c r="N750" s="3">
        <v>25.0</v>
      </c>
      <c r="O750" s="3" t="s">
        <v>22</v>
      </c>
      <c r="P750" s="3" t="s">
        <v>31</v>
      </c>
      <c r="Q750" s="6">
        <f t="shared" si="3"/>
        <v>910000</v>
      </c>
    </row>
    <row r="751">
      <c r="A751" s="3">
        <v>65461.0</v>
      </c>
      <c r="B751" s="3" t="s">
        <v>649</v>
      </c>
      <c r="C751" s="3" t="s">
        <v>18</v>
      </c>
      <c r="D751" s="4" t="str">
        <f t="shared" si="1"/>
        <v>Mr.</v>
      </c>
      <c r="E751" s="3" t="str">
        <f t="shared" si="4"/>
        <v>Mr. Reyansh Kulkarni</v>
      </c>
      <c r="F751" s="3" t="str">
        <f>IFERROR(__xludf.DUMMYFUNCTION("SPLIT(B751,"" "")"),"Reyansh")</f>
        <v>Reyansh</v>
      </c>
      <c r="G751" s="3" t="str">
        <f>IFERROR(__xludf.DUMMYFUNCTION("""COMPUTED_VALUE"""),"Kulkarni")</f>
        <v>Kulkarni</v>
      </c>
      <c r="H751" s="3" t="s">
        <v>46</v>
      </c>
      <c r="I751" s="3">
        <v>2021.0</v>
      </c>
      <c r="J751" s="3">
        <f t="shared" si="2"/>
        <v>5000</v>
      </c>
      <c r="K751" s="3" t="s">
        <v>26</v>
      </c>
      <c r="L751" s="3">
        <v>7408.0</v>
      </c>
      <c r="M751" s="3" t="s">
        <v>30</v>
      </c>
      <c r="N751" s="3">
        <v>52.0</v>
      </c>
      <c r="O751" s="3" t="s">
        <v>22</v>
      </c>
      <c r="P751" s="3" t="s">
        <v>78</v>
      </c>
      <c r="Q751" s="6">
        <f t="shared" si="3"/>
        <v>255000</v>
      </c>
    </row>
    <row r="752">
      <c r="A752" s="3">
        <v>65462.0</v>
      </c>
      <c r="B752" s="3" t="s">
        <v>650</v>
      </c>
      <c r="C752" s="3" t="s">
        <v>18</v>
      </c>
      <c r="D752" s="4" t="str">
        <f t="shared" si="1"/>
        <v>Mr.</v>
      </c>
      <c r="E752" s="3" t="str">
        <f t="shared" si="4"/>
        <v>Mr. Om Chowdhury</v>
      </c>
      <c r="F752" s="3" t="str">
        <f>IFERROR(__xludf.DUMMYFUNCTION("SPLIT(B752,"" "")"),"Om")</f>
        <v>Om</v>
      </c>
      <c r="G752" s="3" t="str">
        <f>IFERROR(__xludf.DUMMYFUNCTION("""COMPUTED_VALUE"""),"Chowdhury")</f>
        <v>Chowdhury</v>
      </c>
      <c r="H752" s="3" t="s">
        <v>25</v>
      </c>
      <c r="I752" s="3">
        <v>2028.0</v>
      </c>
      <c r="J752" s="3">
        <f t="shared" si="2"/>
        <v>10000</v>
      </c>
      <c r="K752" s="3" t="s">
        <v>26</v>
      </c>
      <c r="L752" s="3">
        <v>6034.0</v>
      </c>
      <c r="M752" s="3" t="s">
        <v>30</v>
      </c>
      <c r="N752" s="3">
        <v>1.0</v>
      </c>
      <c r="O752" s="3" t="s">
        <v>22</v>
      </c>
      <c r="P752" s="3" t="s">
        <v>38</v>
      </c>
      <c r="Q752" s="6">
        <f t="shared" si="3"/>
        <v>635000</v>
      </c>
    </row>
    <row r="753">
      <c r="A753" s="3">
        <v>65463.0</v>
      </c>
      <c r="B753" s="3" t="s">
        <v>651</v>
      </c>
      <c r="C753" s="3" t="s">
        <v>35</v>
      </c>
      <c r="D753" s="4" t="str">
        <f t="shared" si="1"/>
        <v>Ms.</v>
      </c>
      <c r="E753" s="3" t="str">
        <f t="shared" si="4"/>
        <v>Ms. Anaya Reddy</v>
      </c>
      <c r="F753" s="3" t="str">
        <f>IFERROR(__xludf.DUMMYFUNCTION("SPLIT(B753,"" "")"),"Anaya")</f>
        <v>Anaya</v>
      </c>
      <c r="G753" s="3" t="str">
        <f>IFERROR(__xludf.DUMMYFUNCTION("""COMPUTED_VALUE"""),"Reddy")</f>
        <v>Reddy</v>
      </c>
      <c r="H753" s="3" t="s">
        <v>33</v>
      </c>
      <c r="I753" s="3">
        <v>2024.0</v>
      </c>
      <c r="J753" s="3">
        <f t="shared" si="2"/>
        <v>10000</v>
      </c>
      <c r="K753" s="3" t="s">
        <v>20</v>
      </c>
      <c r="L753" s="10">
        <v>3872.0</v>
      </c>
      <c r="M753" s="3" t="s">
        <v>21</v>
      </c>
      <c r="N753" s="3">
        <f>RANDBETWEEN(0,10)</f>
        <v>0</v>
      </c>
      <c r="O753" s="3" t="s">
        <v>22</v>
      </c>
      <c r="P753" s="3" t="s">
        <v>31</v>
      </c>
      <c r="Q753" s="6">
        <f t="shared" si="3"/>
        <v>910000</v>
      </c>
    </row>
    <row r="754">
      <c r="A754" s="3">
        <v>65464.0</v>
      </c>
      <c r="B754" s="3" t="s">
        <v>652</v>
      </c>
      <c r="C754" s="3" t="s">
        <v>18</v>
      </c>
      <c r="D754" s="4" t="str">
        <f t="shared" si="1"/>
        <v>Mr.</v>
      </c>
      <c r="E754" s="3" t="str">
        <f t="shared" si="4"/>
        <v>Mr. Arnav Agarwal</v>
      </c>
      <c r="F754" s="3" t="str">
        <f>IFERROR(__xludf.DUMMYFUNCTION("SPLIT(B754,"" "")"),"Arnav")</f>
        <v>Arnav</v>
      </c>
      <c r="G754" s="3" t="str">
        <f>IFERROR(__xludf.DUMMYFUNCTION("""COMPUTED_VALUE"""),"Agarwal")</f>
        <v>Agarwal</v>
      </c>
      <c r="H754" s="3" t="s">
        <v>19</v>
      </c>
      <c r="I754" s="3">
        <v>2024.0</v>
      </c>
      <c r="J754" s="3">
        <f t="shared" si="2"/>
        <v>5000</v>
      </c>
      <c r="K754" s="3" t="s">
        <v>20</v>
      </c>
      <c r="L754" s="10">
        <v>13987.0</v>
      </c>
      <c r="M754" s="3" t="s">
        <v>21</v>
      </c>
      <c r="N754" s="3">
        <v>4.0</v>
      </c>
      <c r="O754" s="3" t="s">
        <v>22</v>
      </c>
      <c r="P754" s="3" t="s">
        <v>78</v>
      </c>
      <c r="Q754" s="6">
        <f t="shared" si="3"/>
        <v>255000</v>
      </c>
    </row>
    <row r="755">
      <c r="A755" s="3">
        <v>65465.0</v>
      </c>
      <c r="B755" s="3" t="s">
        <v>653</v>
      </c>
      <c r="C755" s="3" t="s">
        <v>18</v>
      </c>
      <c r="D755" s="4" t="str">
        <f t="shared" si="1"/>
        <v>Mr.</v>
      </c>
      <c r="E755" s="3" t="str">
        <f t="shared" si="4"/>
        <v>Mr. Laksh Bhat</v>
      </c>
      <c r="F755" s="3" t="str">
        <f>IFERROR(__xludf.DUMMYFUNCTION("SPLIT(B755,"" "")"),"Laksh")</f>
        <v>Laksh</v>
      </c>
      <c r="G755" s="3" t="str">
        <f>IFERROR(__xludf.DUMMYFUNCTION("""COMPUTED_VALUE"""),"Bhat")</f>
        <v>Bhat</v>
      </c>
      <c r="H755" s="3" t="s">
        <v>33</v>
      </c>
      <c r="I755" s="3">
        <v>2026.0</v>
      </c>
      <c r="J755" s="3">
        <f t="shared" si="2"/>
        <v>10000</v>
      </c>
      <c r="K755" s="3" t="s">
        <v>20</v>
      </c>
      <c r="L755" s="3">
        <v>0.0</v>
      </c>
      <c r="M755" s="3" t="s">
        <v>21</v>
      </c>
      <c r="N755" s="3">
        <f t="shared" ref="N755:N756" si="36">RANDBETWEEN(0,10)</f>
        <v>0</v>
      </c>
      <c r="O755" s="3" t="s">
        <v>22</v>
      </c>
      <c r="P755" s="3" t="s">
        <v>31</v>
      </c>
      <c r="Q755" s="6">
        <f t="shared" si="3"/>
        <v>910000</v>
      </c>
    </row>
    <row r="756">
      <c r="A756" s="3">
        <v>65467.0</v>
      </c>
      <c r="B756" s="3" t="s">
        <v>398</v>
      </c>
      <c r="C756" s="3" t="s">
        <v>18</v>
      </c>
      <c r="D756" s="4" t="str">
        <f t="shared" si="1"/>
        <v>Mr.</v>
      </c>
      <c r="E756" s="3" t="str">
        <f t="shared" si="4"/>
        <v>Mr. Ishaan Bhat</v>
      </c>
      <c r="F756" s="3" t="str">
        <f>IFERROR(__xludf.DUMMYFUNCTION("SPLIT(B756,"" "")"),"Ishaan")</f>
        <v>Ishaan</v>
      </c>
      <c r="G756" s="3" t="str">
        <f>IFERROR(__xludf.DUMMYFUNCTION("""COMPUTED_VALUE"""),"Bhat")</f>
        <v>Bhat</v>
      </c>
      <c r="H756" s="3" t="s">
        <v>46</v>
      </c>
      <c r="I756" s="3">
        <v>2023.0</v>
      </c>
      <c r="J756" s="3">
        <f t="shared" si="2"/>
        <v>5000</v>
      </c>
      <c r="K756" s="3" t="s">
        <v>20</v>
      </c>
      <c r="L756" s="3">
        <v>0.0</v>
      </c>
      <c r="M756" s="3" t="s">
        <v>21</v>
      </c>
      <c r="N756" s="3">
        <f t="shared" si="36"/>
        <v>9</v>
      </c>
      <c r="O756" s="3" t="s">
        <v>22</v>
      </c>
      <c r="P756" s="3" t="s">
        <v>23</v>
      </c>
      <c r="Q756" s="6">
        <f t="shared" si="3"/>
        <v>430000</v>
      </c>
    </row>
    <row r="757">
      <c r="A757" s="3">
        <v>65468.0</v>
      </c>
      <c r="B757" s="3" t="s">
        <v>654</v>
      </c>
      <c r="C757" s="3" t="s">
        <v>18</v>
      </c>
      <c r="D757" s="4" t="str">
        <f t="shared" si="1"/>
        <v>Mr.</v>
      </c>
      <c r="E757" s="3" t="str">
        <f t="shared" si="4"/>
        <v>Mr. Vihaan Dutta</v>
      </c>
      <c r="F757" s="3" t="str">
        <f>IFERROR(__xludf.DUMMYFUNCTION("SPLIT(B757,"" "")"),"Vihaan")</f>
        <v>Vihaan</v>
      </c>
      <c r="G757" s="3" t="str">
        <f>IFERROR(__xludf.DUMMYFUNCTION("""COMPUTED_VALUE"""),"Dutta")</f>
        <v>Dutta</v>
      </c>
      <c r="H757" s="3" t="s">
        <v>46</v>
      </c>
      <c r="I757" s="3">
        <v>2021.0</v>
      </c>
      <c r="J757" s="3">
        <f t="shared" si="2"/>
        <v>5000</v>
      </c>
      <c r="K757" s="3" t="s">
        <v>20</v>
      </c>
      <c r="L757" s="3">
        <v>0.0</v>
      </c>
      <c r="M757" s="3" t="s">
        <v>30</v>
      </c>
      <c r="N757" s="3">
        <v>69.0</v>
      </c>
      <c r="O757" s="3" t="s">
        <v>22</v>
      </c>
      <c r="P757" s="3" t="s">
        <v>38</v>
      </c>
      <c r="Q757" s="6">
        <f t="shared" si="3"/>
        <v>635000</v>
      </c>
    </row>
    <row r="758">
      <c r="A758" s="3">
        <v>65469.0</v>
      </c>
      <c r="B758" s="3" t="s">
        <v>613</v>
      </c>
      <c r="C758" s="3" t="s">
        <v>18</v>
      </c>
      <c r="D758" s="4" t="str">
        <f t="shared" si="1"/>
        <v>Mr.</v>
      </c>
      <c r="E758" s="3" t="str">
        <f t="shared" si="4"/>
        <v>Mr. Dev Chowdhury</v>
      </c>
      <c r="F758" s="3" t="str">
        <f>IFERROR(__xludf.DUMMYFUNCTION("SPLIT(B758,"" "")"),"Dev")</f>
        <v>Dev</v>
      </c>
      <c r="G758" s="3" t="str">
        <f>IFERROR(__xludf.DUMMYFUNCTION("""COMPUTED_VALUE"""),"Chowdhury")</f>
        <v>Chowdhury</v>
      </c>
      <c r="H758" s="3" t="s">
        <v>25</v>
      </c>
      <c r="I758" s="3">
        <v>2024.0</v>
      </c>
      <c r="J758" s="3">
        <f t="shared" si="2"/>
        <v>10000</v>
      </c>
      <c r="K758" s="3" t="s">
        <v>20</v>
      </c>
      <c r="L758" s="10">
        <v>4009.0</v>
      </c>
      <c r="M758" s="3" t="s">
        <v>21</v>
      </c>
      <c r="N758" s="3">
        <v>23.0</v>
      </c>
      <c r="O758" s="3" t="s">
        <v>22</v>
      </c>
      <c r="P758" s="3" t="s">
        <v>28</v>
      </c>
      <c r="Q758" s="6">
        <f t="shared" si="3"/>
        <v>400000</v>
      </c>
    </row>
    <row r="759">
      <c r="A759" s="3">
        <v>65470.0</v>
      </c>
      <c r="B759" s="3" t="s">
        <v>655</v>
      </c>
      <c r="C759" s="3" t="s">
        <v>35</v>
      </c>
      <c r="D759" s="4" t="str">
        <f t="shared" si="1"/>
        <v>Ms.</v>
      </c>
      <c r="E759" s="3" t="str">
        <f t="shared" si="4"/>
        <v>Ms. Naira Naidu</v>
      </c>
      <c r="F759" s="3" t="str">
        <f>IFERROR(__xludf.DUMMYFUNCTION("SPLIT(B759,"" "")"),"Naira")</f>
        <v>Naira</v>
      </c>
      <c r="G759" s="3" t="str">
        <f>IFERROR(__xludf.DUMMYFUNCTION("""COMPUTED_VALUE"""),"Naidu")</f>
        <v>Naidu</v>
      </c>
      <c r="H759" s="3" t="s">
        <v>25</v>
      </c>
      <c r="I759" s="3">
        <v>2020.0</v>
      </c>
      <c r="J759" s="3">
        <f t="shared" si="2"/>
        <v>10000</v>
      </c>
      <c r="K759" s="3" t="s">
        <v>26</v>
      </c>
      <c r="L759" s="3">
        <v>18781.0</v>
      </c>
      <c r="M759" s="3" t="s">
        <v>30</v>
      </c>
      <c r="N759" s="3">
        <v>42.0</v>
      </c>
      <c r="O759" s="3" t="s">
        <v>22</v>
      </c>
      <c r="P759" s="3" t="s">
        <v>31</v>
      </c>
      <c r="Q759" s="6">
        <f t="shared" si="3"/>
        <v>910000</v>
      </c>
    </row>
    <row r="760">
      <c r="A760" s="3">
        <v>65471.0</v>
      </c>
      <c r="B760" s="3" t="s">
        <v>656</v>
      </c>
      <c r="C760" s="3" t="s">
        <v>18</v>
      </c>
      <c r="D760" s="4" t="str">
        <f t="shared" si="1"/>
        <v>Mr.</v>
      </c>
      <c r="E760" s="3" t="str">
        <f t="shared" si="4"/>
        <v>Mr. Arnav Kulkarni</v>
      </c>
      <c r="F760" s="3" t="str">
        <f>IFERROR(__xludf.DUMMYFUNCTION("SPLIT(B760,"" "")"),"Arnav")</f>
        <v>Arnav</v>
      </c>
      <c r="G760" s="3" t="str">
        <f>IFERROR(__xludf.DUMMYFUNCTION("""COMPUTED_VALUE"""),"Kulkarni")</f>
        <v>Kulkarni</v>
      </c>
      <c r="H760" s="3" t="s">
        <v>33</v>
      </c>
      <c r="I760" s="3">
        <v>2024.0</v>
      </c>
      <c r="J760" s="3">
        <f t="shared" si="2"/>
        <v>10000</v>
      </c>
      <c r="K760" s="3" t="s">
        <v>26</v>
      </c>
      <c r="L760" s="3">
        <v>3329.0</v>
      </c>
      <c r="M760" s="3" t="s">
        <v>21</v>
      </c>
      <c r="N760" s="3">
        <v>65.0</v>
      </c>
      <c r="O760" s="3" t="s">
        <v>22</v>
      </c>
      <c r="P760" s="3" t="s">
        <v>78</v>
      </c>
      <c r="Q760" s="6">
        <f t="shared" si="3"/>
        <v>255000</v>
      </c>
    </row>
    <row r="761">
      <c r="A761" s="3">
        <v>65472.0</v>
      </c>
      <c r="B761" s="3" t="s">
        <v>657</v>
      </c>
      <c r="C761" s="3" t="s">
        <v>35</v>
      </c>
      <c r="D761" s="4" t="str">
        <f t="shared" si="1"/>
        <v>Ms.</v>
      </c>
      <c r="E761" s="3" t="str">
        <f t="shared" si="4"/>
        <v>Ms. Mahira Rao</v>
      </c>
      <c r="F761" s="3" t="str">
        <f>IFERROR(__xludf.DUMMYFUNCTION("SPLIT(B761,"" "")"),"Mahira")</f>
        <v>Mahira</v>
      </c>
      <c r="G761" s="3" t="str">
        <f>IFERROR(__xludf.DUMMYFUNCTION("""COMPUTED_VALUE"""),"Rao")</f>
        <v>Rao</v>
      </c>
      <c r="H761" s="3" t="s">
        <v>25</v>
      </c>
      <c r="I761" s="3">
        <v>2028.0</v>
      </c>
      <c r="J761" s="3">
        <f t="shared" si="2"/>
        <v>10000</v>
      </c>
      <c r="K761" s="3" t="s">
        <v>20</v>
      </c>
      <c r="L761" s="3">
        <v>0.0</v>
      </c>
      <c r="M761" s="3" t="s">
        <v>21</v>
      </c>
      <c r="N761" s="3">
        <v>66.0</v>
      </c>
      <c r="O761" s="3" t="s">
        <v>41</v>
      </c>
      <c r="P761" s="3" t="s">
        <v>78</v>
      </c>
      <c r="Q761" s="6">
        <f t="shared" si="3"/>
        <v>255000</v>
      </c>
    </row>
    <row r="762">
      <c r="A762" s="3">
        <v>65473.0</v>
      </c>
      <c r="B762" s="3" t="s">
        <v>636</v>
      </c>
      <c r="C762" s="3" t="s">
        <v>35</v>
      </c>
      <c r="D762" s="4" t="str">
        <f t="shared" si="1"/>
        <v>Ms.</v>
      </c>
      <c r="E762" s="3" t="str">
        <f t="shared" si="4"/>
        <v>Ms. Aarohi Joshi</v>
      </c>
      <c r="F762" s="3" t="str">
        <f>IFERROR(__xludf.DUMMYFUNCTION("SPLIT(B762,"" "")"),"Aarohi")</f>
        <v>Aarohi</v>
      </c>
      <c r="G762" s="3" t="str">
        <f>IFERROR(__xludf.DUMMYFUNCTION("""COMPUTED_VALUE"""),"Joshi")</f>
        <v>Joshi</v>
      </c>
      <c r="H762" s="3" t="s">
        <v>25</v>
      </c>
      <c r="I762" s="3">
        <v>2003.0</v>
      </c>
      <c r="J762" s="3">
        <f t="shared" si="2"/>
        <v>10000</v>
      </c>
      <c r="K762" s="3" t="s">
        <v>20</v>
      </c>
      <c r="L762" s="3">
        <v>0.0</v>
      </c>
      <c r="M762" s="3" t="s">
        <v>21</v>
      </c>
      <c r="N762" s="3">
        <v>75.0</v>
      </c>
      <c r="O762" s="3" t="s">
        <v>22</v>
      </c>
      <c r="P762" s="3" t="s">
        <v>31</v>
      </c>
      <c r="Q762" s="6">
        <f t="shared" si="3"/>
        <v>910000</v>
      </c>
    </row>
    <row r="763">
      <c r="A763" s="3">
        <v>65474.0</v>
      </c>
      <c r="B763" s="3" t="s">
        <v>658</v>
      </c>
      <c r="C763" s="3" t="s">
        <v>18</v>
      </c>
      <c r="D763" s="4" t="str">
        <f t="shared" si="1"/>
        <v>Mr.</v>
      </c>
      <c r="E763" s="3" t="str">
        <f t="shared" si="4"/>
        <v>Mr. Rudra Kulkarni</v>
      </c>
      <c r="F763" s="3" t="str">
        <f>IFERROR(__xludf.DUMMYFUNCTION("SPLIT(B763,"" "")"),"Rudra")</f>
        <v>Rudra</v>
      </c>
      <c r="G763" s="3" t="str">
        <f>IFERROR(__xludf.DUMMYFUNCTION("""COMPUTED_VALUE"""),"Kulkarni")</f>
        <v>Kulkarni</v>
      </c>
      <c r="H763" s="3" t="s">
        <v>25</v>
      </c>
      <c r="I763" s="3">
        <v>2018.0</v>
      </c>
      <c r="J763" s="3">
        <f t="shared" si="2"/>
        <v>10000</v>
      </c>
      <c r="K763" s="3" t="s">
        <v>26</v>
      </c>
      <c r="L763" s="3">
        <v>7532.0</v>
      </c>
      <c r="M763" s="3" t="s">
        <v>21</v>
      </c>
      <c r="N763" s="3">
        <v>15.0</v>
      </c>
      <c r="O763" s="3" t="s">
        <v>22</v>
      </c>
      <c r="P763" s="3" t="s">
        <v>31</v>
      </c>
      <c r="Q763" s="6">
        <f t="shared" si="3"/>
        <v>910000</v>
      </c>
    </row>
    <row r="764">
      <c r="A764" s="3">
        <v>65475.0</v>
      </c>
      <c r="B764" s="3" t="s">
        <v>659</v>
      </c>
      <c r="C764" s="3" t="s">
        <v>18</v>
      </c>
      <c r="D764" s="4" t="str">
        <f t="shared" si="1"/>
        <v>Mr.</v>
      </c>
      <c r="E764" s="3" t="str">
        <f t="shared" si="4"/>
        <v>Mr. Parth Sinha</v>
      </c>
      <c r="F764" s="3" t="str">
        <f>IFERROR(__xludf.DUMMYFUNCTION("SPLIT(B764,"" "")"),"Parth")</f>
        <v>Parth</v>
      </c>
      <c r="G764" s="3" t="str">
        <f>IFERROR(__xludf.DUMMYFUNCTION("""COMPUTED_VALUE"""),"Sinha")</f>
        <v>Sinha</v>
      </c>
      <c r="H764" s="3" t="s">
        <v>33</v>
      </c>
      <c r="I764" s="3">
        <v>2027.0</v>
      </c>
      <c r="J764" s="3">
        <f t="shared" si="2"/>
        <v>10000</v>
      </c>
      <c r="K764" s="3" t="s">
        <v>20</v>
      </c>
      <c r="L764" s="10">
        <v>3829.0</v>
      </c>
      <c r="M764" s="3" t="s">
        <v>21</v>
      </c>
      <c r="N764" s="3">
        <f>RANDBETWEEN(0,10)</f>
        <v>8</v>
      </c>
      <c r="O764" s="3" t="s">
        <v>41</v>
      </c>
      <c r="P764" s="3" t="s">
        <v>23</v>
      </c>
      <c r="Q764" s="6">
        <f t="shared" si="3"/>
        <v>430000</v>
      </c>
    </row>
    <row r="765">
      <c r="A765" s="3">
        <v>65476.0</v>
      </c>
      <c r="B765" s="3" t="s">
        <v>247</v>
      </c>
      <c r="C765" s="3" t="s">
        <v>35</v>
      </c>
      <c r="D765" s="4" t="str">
        <f t="shared" si="1"/>
        <v>Ms.</v>
      </c>
      <c r="E765" s="3" t="str">
        <f t="shared" si="4"/>
        <v>Ms. Sara Agarwal</v>
      </c>
      <c r="F765" s="3" t="str">
        <f>IFERROR(__xludf.DUMMYFUNCTION("SPLIT(B765,"" "")"),"Sara")</f>
        <v>Sara</v>
      </c>
      <c r="G765" s="3" t="str">
        <f>IFERROR(__xludf.DUMMYFUNCTION("""COMPUTED_VALUE"""),"Agarwal")</f>
        <v>Agarwal</v>
      </c>
      <c r="H765" s="3" t="s">
        <v>46</v>
      </c>
      <c r="I765" s="3">
        <v>2025.0</v>
      </c>
      <c r="J765" s="3">
        <f t="shared" si="2"/>
        <v>5000</v>
      </c>
      <c r="K765" s="3" t="s">
        <v>20</v>
      </c>
      <c r="L765" s="10">
        <v>7330.0</v>
      </c>
      <c r="M765" s="3" t="s">
        <v>21</v>
      </c>
      <c r="N765" s="3">
        <v>75.0</v>
      </c>
      <c r="O765" s="3" t="s">
        <v>22</v>
      </c>
      <c r="P765" s="3" t="s">
        <v>31</v>
      </c>
      <c r="Q765" s="6">
        <f t="shared" si="3"/>
        <v>910000</v>
      </c>
    </row>
    <row r="766">
      <c r="A766" s="3">
        <v>65479.0</v>
      </c>
      <c r="B766" s="3" t="s">
        <v>655</v>
      </c>
      <c r="C766" s="3" t="s">
        <v>35</v>
      </c>
      <c r="D766" s="4" t="str">
        <f t="shared" si="1"/>
        <v>Ms.</v>
      </c>
      <c r="E766" s="3" t="str">
        <f t="shared" si="4"/>
        <v>Ms. Naira Naidu</v>
      </c>
      <c r="F766" s="3" t="str">
        <f>IFERROR(__xludf.DUMMYFUNCTION("SPLIT(B766,"" "")"),"Naira")</f>
        <v>Naira</v>
      </c>
      <c r="G766" s="3" t="str">
        <f>IFERROR(__xludf.DUMMYFUNCTION("""COMPUTED_VALUE"""),"Naidu")</f>
        <v>Naidu</v>
      </c>
      <c r="H766" s="3" t="s">
        <v>25</v>
      </c>
      <c r="I766" s="3">
        <v>2023.0</v>
      </c>
      <c r="J766" s="3">
        <f t="shared" si="2"/>
        <v>10000</v>
      </c>
      <c r="K766" s="3" t="s">
        <v>20</v>
      </c>
      <c r="L766" s="3">
        <v>0.0</v>
      </c>
      <c r="M766" s="3" t="s">
        <v>21</v>
      </c>
      <c r="N766" s="3">
        <f>RANDBETWEEN(0,10)</f>
        <v>4</v>
      </c>
      <c r="O766" s="3" t="s">
        <v>22</v>
      </c>
      <c r="P766" s="3" t="s">
        <v>23</v>
      </c>
      <c r="Q766" s="6">
        <f t="shared" si="3"/>
        <v>430000</v>
      </c>
    </row>
    <row r="767">
      <c r="A767" s="3">
        <v>65480.0</v>
      </c>
      <c r="B767" s="3" t="s">
        <v>660</v>
      </c>
      <c r="C767" s="3" t="s">
        <v>18</v>
      </c>
      <c r="D767" s="4" t="str">
        <f t="shared" si="1"/>
        <v>Mr.</v>
      </c>
      <c r="E767" s="3" t="str">
        <f t="shared" si="4"/>
        <v>Mr. Krishna Malik</v>
      </c>
      <c r="F767" s="3" t="str">
        <f>IFERROR(__xludf.DUMMYFUNCTION("SPLIT(B767,"" "")"),"Krishna")</f>
        <v>Krishna</v>
      </c>
      <c r="G767" s="3" t="str">
        <f>IFERROR(__xludf.DUMMYFUNCTION("""COMPUTED_VALUE"""),"Malik")</f>
        <v>Malik</v>
      </c>
      <c r="H767" s="3" t="s">
        <v>25</v>
      </c>
      <c r="I767" s="3">
        <v>2018.0</v>
      </c>
      <c r="J767" s="3">
        <f t="shared" si="2"/>
        <v>10000</v>
      </c>
      <c r="K767" s="3" t="s">
        <v>20</v>
      </c>
      <c r="L767" s="10">
        <v>4435.0</v>
      </c>
      <c r="M767" s="3" t="s">
        <v>30</v>
      </c>
      <c r="N767" s="3">
        <v>53.0</v>
      </c>
      <c r="O767" s="3" t="s">
        <v>22</v>
      </c>
      <c r="P767" s="3" t="s">
        <v>38</v>
      </c>
      <c r="Q767" s="6">
        <f t="shared" si="3"/>
        <v>635000</v>
      </c>
    </row>
    <row r="768">
      <c r="A768" s="3">
        <v>65481.0</v>
      </c>
      <c r="B768" s="3" t="s">
        <v>661</v>
      </c>
      <c r="C768" s="3" t="s">
        <v>18</v>
      </c>
      <c r="D768" s="4" t="str">
        <f t="shared" si="1"/>
        <v>Mr.</v>
      </c>
      <c r="E768" s="3" t="str">
        <f t="shared" si="4"/>
        <v>Mr. Yashvi Prasad</v>
      </c>
      <c r="F768" s="3" t="str">
        <f>IFERROR(__xludf.DUMMYFUNCTION("SPLIT(B768,"" "")"),"Yashvi")</f>
        <v>Yashvi</v>
      </c>
      <c r="G768" s="3" t="str">
        <f>IFERROR(__xludf.DUMMYFUNCTION("""COMPUTED_VALUE"""),"Prasad")</f>
        <v>Prasad</v>
      </c>
      <c r="H768" s="3" t="s">
        <v>25</v>
      </c>
      <c r="I768" s="3">
        <v>2025.0</v>
      </c>
      <c r="J768" s="3">
        <f t="shared" si="2"/>
        <v>10000</v>
      </c>
      <c r="K768" s="3" t="s">
        <v>26</v>
      </c>
      <c r="L768" s="10">
        <v>4080.0</v>
      </c>
      <c r="M768" s="3" t="s">
        <v>21</v>
      </c>
      <c r="N768" s="3">
        <v>20.0</v>
      </c>
      <c r="O768" s="3" t="s">
        <v>22</v>
      </c>
      <c r="P768" s="3" t="s">
        <v>38</v>
      </c>
      <c r="Q768" s="6">
        <f t="shared" si="3"/>
        <v>635000</v>
      </c>
    </row>
    <row r="769">
      <c r="A769" s="3">
        <v>65482.0</v>
      </c>
      <c r="B769" s="3" t="s">
        <v>662</v>
      </c>
      <c r="C769" s="3" t="s">
        <v>35</v>
      </c>
      <c r="D769" s="4" t="str">
        <f t="shared" si="1"/>
        <v>Ms.</v>
      </c>
      <c r="E769" s="3" t="str">
        <f t="shared" si="4"/>
        <v>Ms. Shanaya Das</v>
      </c>
      <c r="F769" s="3" t="str">
        <f>IFERROR(__xludf.DUMMYFUNCTION("SPLIT(B769,"" "")"),"Shanaya")</f>
        <v>Shanaya</v>
      </c>
      <c r="G769" s="3" t="str">
        <f>IFERROR(__xludf.DUMMYFUNCTION("""COMPUTED_VALUE"""),"Das")</f>
        <v>Das</v>
      </c>
      <c r="H769" s="3" t="s">
        <v>19</v>
      </c>
      <c r="I769" s="3">
        <v>2019.0</v>
      </c>
      <c r="J769" s="3">
        <f t="shared" si="2"/>
        <v>5000</v>
      </c>
      <c r="K769" s="3" t="s">
        <v>20</v>
      </c>
      <c r="L769" s="10">
        <v>1420.0</v>
      </c>
      <c r="M769" s="3" t="s">
        <v>30</v>
      </c>
      <c r="N769" s="3">
        <v>27.0</v>
      </c>
      <c r="O769" s="3" t="s">
        <v>22</v>
      </c>
      <c r="P769" s="3" t="s">
        <v>31</v>
      </c>
      <c r="Q769" s="6">
        <f t="shared" si="3"/>
        <v>910000</v>
      </c>
    </row>
    <row r="770">
      <c r="A770" s="3">
        <v>65483.0</v>
      </c>
      <c r="B770" s="3" t="s">
        <v>658</v>
      </c>
      <c r="C770" s="3" t="s">
        <v>18</v>
      </c>
      <c r="D770" s="4" t="str">
        <f t="shared" si="1"/>
        <v>Mr.</v>
      </c>
      <c r="E770" s="3" t="str">
        <f t="shared" si="4"/>
        <v>Mr. Rudra Kulkarni</v>
      </c>
      <c r="F770" s="3" t="str">
        <f>IFERROR(__xludf.DUMMYFUNCTION("SPLIT(B770,"" "")"),"Rudra")</f>
        <v>Rudra</v>
      </c>
      <c r="G770" s="3" t="str">
        <f>IFERROR(__xludf.DUMMYFUNCTION("""COMPUTED_VALUE"""),"Kulkarni")</f>
        <v>Kulkarni</v>
      </c>
      <c r="H770" s="3" t="s">
        <v>19</v>
      </c>
      <c r="I770" s="3">
        <v>2024.0</v>
      </c>
      <c r="J770" s="3">
        <f t="shared" si="2"/>
        <v>5000</v>
      </c>
      <c r="K770" s="3" t="s">
        <v>20</v>
      </c>
      <c r="L770" s="3">
        <v>0.0</v>
      </c>
      <c r="M770" s="3" t="s">
        <v>21</v>
      </c>
      <c r="N770" s="3">
        <f>RANDBETWEEN(0,10)</f>
        <v>1</v>
      </c>
      <c r="O770" s="3" t="s">
        <v>22</v>
      </c>
      <c r="P770" s="3" t="s">
        <v>23</v>
      </c>
      <c r="Q770" s="6">
        <f t="shared" si="3"/>
        <v>430000</v>
      </c>
    </row>
    <row r="771">
      <c r="A771" s="3">
        <v>65484.0</v>
      </c>
      <c r="B771" s="3" t="s">
        <v>663</v>
      </c>
      <c r="C771" s="3" t="s">
        <v>18</v>
      </c>
      <c r="D771" s="4" t="str">
        <f t="shared" si="1"/>
        <v>Mr.</v>
      </c>
      <c r="E771" s="3" t="str">
        <f t="shared" si="4"/>
        <v>Mr. Vihaan Mishra</v>
      </c>
      <c r="F771" s="3" t="str">
        <f>IFERROR(__xludf.DUMMYFUNCTION("SPLIT(B771,"" "")"),"Vihaan")</f>
        <v>Vihaan</v>
      </c>
      <c r="G771" s="3" t="str">
        <f>IFERROR(__xludf.DUMMYFUNCTION("""COMPUTED_VALUE"""),"Mishra")</f>
        <v>Mishra</v>
      </c>
      <c r="H771" s="3" t="s">
        <v>33</v>
      </c>
      <c r="I771" s="3">
        <v>2026.0</v>
      </c>
      <c r="J771" s="3">
        <f t="shared" si="2"/>
        <v>10000</v>
      </c>
      <c r="K771" s="3" t="s">
        <v>20</v>
      </c>
      <c r="L771" s="3">
        <v>0.0</v>
      </c>
      <c r="M771" s="3" t="s">
        <v>21</v>
      </c>
      <c r="N771" s="3">
        <v>70.0</v>
      </c>
      <c r="O771" s="3" t="s">
        <v>22</v>
      </c>
      <c r="P771" s="3" t="s">
        <v>38</v>
      </c>
      <c r="Q771" s="6">
        <f t="shared" si="3"/>
        <v>635000</v>
      </c>
    </row>
    <row r="772">
      <c r="A772" s="3">
        <v>65485.0</v>
      </c>
      <c r="B772" s="3" t="s">
        <v>542</v>
      </c>
      <c r="C772" s="3" t="s">
        <v>18</v>
      </c>
      <c r="D772" s="4" t="str">
        <f t="shared" si="1"/>
        <v>Mr.</v>
      </c>
      <c r="E772" s="3" t="str">
        <f t="shared" si="4"/>
        <v>Mr. Aaryan Rao</v>
      </c>
      <c r="F772" s="3" t="str">
        <f>IFERROR(__xludf.DUMMYFUNCTION("SPLIT(B772,"" "")"),"Aaryan")</f>
        <v>Aaryan</v>
      </c>
      <c r="G772" s="3" t="str">
        <f>IFERROR(__xludf.DUMMYFUNCTION("""COMPUTED_VALUE"""),"Rao")</f>
        <v>Rao</v>
      </c>
      <c r="H772" s="3" t="s">
        <v>46</v>
      </c>
      <c r="I772" s="3">
        <v>2024.0</v>
      </c>
      <c r="J772" s="3">
        <f t="shared" si="2"/>
        <v>5000</v>
      </c>
      <c r="K772" s="3" t="s">
        <v>20</v>
      </c>
      <c r="L772" s="3">
        <v>0.0</v>
      </c>
      <c r="M772" s="3" t="s">
        <v>21</v>
      </c>
      <c r="N772" s="3">
        <v>49.0</v>
      </c>
      <c r="O772" s="3" t="s">
        <v>22</v>
      </c>
      <c r="P772" s="3" t="s">
        <v>31</v>
      </c>
      <c r="Q772" s="6">
        <f t="shared" si="3"/>
        <v>910000</v>
      </c>
    </row>
    <row r="773">
      <c r="A773" s="3">
        <v>65486.0</v>
      </c>
      <c r="B773" s="3" t="s">
        <v>664</v>
      </c>
      <c r="C773" s="3" t="s">
        <v>18</v>
      </c>
      <c r="D773" s="4" t="str">
        <f t="shared" si="1"/>
        <v>Mr.</v>
      </c>
      <c r="E773" s="3" t="str">
        <f t="shared" si="4"/>
        <v>Mr. Vivaan Kulkarni</v>
      </c>
      <c r="F773" s="3" t="str">
        <f>IFERROR(__xludf.DUMMYFUNCTION("SPLIT(B773,"" "")"),"Vivaan")</f>
        <v>Vivaan</v>
      </c>
      <c r="G773" s="3" t="str">
        <f>IFERROR(__xludf.DUMMYFUNCTION("""COMPUTED_VALUE"""),"Kulkarni")</f>
        <v>Kulkarni</v>
      </c>
      <c r="H773" s="3" t="s">
        <v>25</v>
      </c>
      <c r="I773" s="3">
        <v>2024.0</v>
      </c>
      <c r="J773" s="3">
        <f t="shared" si="2"/>
        <v>10000</v>
      </c>
      <c r="K773" s="3" t="s">
        <v>26</v>
      </c>
      <c r="L773" s="3">
        <v>14227.0</v>
      </c>
      <c r="M773" s="3" t="s">
        <v>21</v>
      </c>
      <c r="N773" s="3">
        <v>69.0</v>
      </c>
      <c r="O773" s="3" t="s">
        <v>22</v>
      </c>
      <c r="P773" s="3" t="s">
        <v>38</v>
      </c>
      <c r="Q773" s="6">
        <f t="shared" si="3"/>
        <v>635000</v>
      </c>
    </row>
    <row r="774">
      <c r="A774" s="3">
        <v>65487.0</v>
      </c>
      <c r="B774" s="3" t="s">
        <v>665</v>
      </c>
      <c r="C774" s="3" t="s">
        <v>18</v>
      </c>
      <c r="D774" s="4" t="str">
        <f t="shared" si="1"/>
        <v>Mr.</v>
      </c>
      <c r="E774" s="3" t="str">
        <f t="shared" si="4"/>
        <v>Mr. Krishna Nair</v>
      </c>
      <c r="F774" s="3" t="str">
        <f>IFERROR(__xludf.DUMMYFUNCTION("SPLIT(B774,"" "")"),"Krishna")</f>
        <v>Krishna</v>
      </c>
      <c r="G774" s="3" t="str">
        <f>IFERROR(__xludf.DUMMYFUNCTION("""COMPUTED_VALUE"""),"Nair")</f>
        <v>Nair</v>
      </c>
      <c r="H774" s="3" t="s">
        <v>33</v>
      </c>
      <c r="I774" s="3">
        <v>2021.0</v>
      </c>
      <c r="J774" s="3">
        <f t="shared" si="2"/>
        <v>10000</v>
      </c>
      <c r="K774" s="3" t="s">
        <v>20</v>
      </c>
      <c r="L774" s="3">
        <v>0.0</v>
      </c>
      <c r="M774" s="3" t="s">
        <v>21</v>
      </c>
      <c r="N774" s="3">
        <f>RANDBETWEEN(0,10)</f>
        <v>1</v>
      </c>
      <c r="O774" s="3" t="s">
        <v>22</v>
      </c>
      <c r="P774" s="3" t="s">
        <v>28</v>
      </c>
      <c r="Q774" s="6">
        <f t="shared" si="3"/>
        <v>400000</v>
      </c>
    </row>
    <row r="775">
      <c r="A775" s="3">
        <v>65489.0</v>
      </c>
      <c r="B775" s="3" t="s">
        <v>666</v>
      </c>
      <c r="C775" s="3" t="s">
        <v>18</v>
      </c>
      <c r="D775" s="4" t="str">
        <f t="shared" si="1"/>
        <v>Mr.</v>
      </c>
      <c r="E775" s="3" t="str">
        <f t="shared" si="4"/>
        <v>Mr. Om Chopra</v>
      </c>
      <c r="F775" s="3" t="str">
        <f>IFERROR(__xludf.DUMMYFUNCTION("SPLIT(B775,"" "")"),"Om")</f>
        <v>Om</v>
      </c>
      <c r="G775" s="3" t="str">
        <f>IFERROR(__xludf.DUMMYFUNCTION("""COMPUTED_VALUE"""),"Chopra")</f>
        <v>Chopra</v>
      </c>
      <c r="H775" s="3" t="s">
        <v>19</v>
      </c>
      <c r="I775" s="3">
        <v>2020.0</v>
      </c>
      <c r="J775" s="3">
        <f t="shared" si="2"/>
        <v>5000</v>
      </c>
      <c r="K775" s="3" t="s">
        <v>20</v>
      </c>
      <c r="L775" s="3">
        <v>0.0</v>
      </c>
      <c r="M775" s="3" t="s">
        <v>21</v>
      </c>
      <c r="N775" s="3">
        <v>19.0</v>
      </c>
      <c r="O775" s="3" t="s">
        <v>22</v>
      </c>
      <c r="P775" s="3" t="s">
        <v>28</v>
      </c>
      <c r="Q775" s="6">
        <f t="shared" si="3"/>
        <v>400000</v>
      </c>
    </row>
    <row r="776">
      <c r="A776" s="3">
        <v>65490.0</v>
      </c>
      <c r="B776" s="3" t="s">
        <v>667</v>
      </c>
      <c r="C776" s="3" t="s">
        <v>18</v>
      </c>
      <c r="D776" s="4" t="str">
        <f t="shared" si="1"/>
        <v>Mr.</v>
      </c>
      <c r="E776" s="3" t="str">
        <f t="shared" si="4"/>
        <v>Mr. Rishi Desai</v>
      </c>
      <c r="F776" s="3" t="str">
        <f>IFERROR(__xludf.DUMMYFUNCTION("SPLIT(B776,"" "")"),"Rishi")</f>
        <v>Rishi</v>
      </c>
      <c r="G776" s="3" t="str">
        <f>IFERROR(__xludf.DUMMYFUNCTION("""COMPUTED_VALUE"""),"Desai")</f>
        <v>Desai</v>
      </c>
      <c r="H776" s="3" t="s">
        <v>33</v>
      </c>
      <c r="I776" s="3">
        <v>2020.0</v>
      </c>
      <c r="J776" s="3">
        <f t="shared" si="2"/>
        <v>10000</v>
      </c>
      <c r="K776" s="3" t="s">
        <v>20</v>
      </c>
      <c r="L776" s="3">
        <v>0.0</v>
      </c>
      <c r="M776" s="3" t="s">
        <v>21</v>
      </c>
      <c r="N776" s="3">
        <v>72.0</v>
      </c>
      <c r="O776" s="3" t="s">
        <v>22</v>
      </c>
      <c r="P776" s="3" t="s">
        <v>23</v>
      </c>
      <c r="Q776" s="6">
        <f t="shared" si="3"/>
        <v>430000</v>
      </c>
    </row>
    <row r="777">
      <c r="A777" s="3">
        <v>65491.0</v>
      </c>
      <c r="B777" s="3" t="s">
        <v>43</v>
      </c>
      <c r="C777" s="3" t="s">
        <v>18</v>
      </c>
      <c r="D777" s="4" t="str">
        <f t="shared" si="1"/>
        <v>Mr.</v>
      </c>
      <c r="E777" s="3" t="str">
        <f t="shared" si="4"/>
        <v>Mr. Arnav Nair</v>
      </c>
      <c r="F777" s="3" t="str">
        <f>IFERROR(__xludf.DUMMYFUNCTION("SPLIT(B777,"" "")"),"Arnav")</f>
        <v>Arnav</v>
      </c>
      <c r="G777" s="3" t="str">
        <f>IFERROR(__xludf.DUMMYFUNCTION("""COMPUTED_VALUE"""),"Nair")</f>
        <v>Nair</v>
      </c>
      <c r="H777" s="3" t="s">
        <v>33</v>
      </c>
      <c r="I777" s="3">
        <v>2026.0</v>
      </c>
      <c r="J777" s="3">
        <f t="shared" si="2"/>
        <v>10000</v>
      </c>
      <c r="K777" s="3" t="s">
        <v>20</v>
      </c>
      <c r="L777" s="3">
        <v>0.0</v>
      </c>
      <c r="M777" s="3" t="s">
        <v>21</v>
      </c>
      <c r="N777" s="3">
        <f t="shared" ref="N777:N778" si="37">RANDBETWEEN(0,10)</f>
        <v>0</v>
      </c>
      <c r="O777" s="3" t="s">
        <v>22</v>
      </c>
      <c r="P777" s="3" t="s">
        <v>78</v>
      </c>
      <c r="Q777" s="6">
        <f t="shared" si="3"/>
        <v>255000</v>
      </c>
    </row>
    <row r="778">
      <c r="A778" s="3">
        <v>65492.0</v>
      </c>
      <c r="B778" s="3" t="s">
        <v>668</v>
      </c>
      <c r="C778" s="3" t="s">
        <v>18</v>
      </c>
      <c r="D778" s="4" t="str">
        <f t="shared" si="1"/>
        <v>Mr.</v>
      </c>
      <c r="E778" s="3" t="str">
        <f t="shared" si="4"/>
        <v>Mr. Aarav Naidu</v>
      </c>
      <c r="F778" s="3" t="str">
        <f>IFERROR(__xludf.DUMMYFUNCTION("SPLIT(B778,"" "")"),"Aarav")</f>
        <v>Aarav</v>
      </c>
      <c r="G778" s="3" t="str">
        <f>IFERROR(__xludf.DUMMYFUNCTION("""COMPUTED_VALUE"""),"Naidu")</f>
        <v>Naidu</v>
      </c>
      <c r="H778" s="3" t="s">
        <v>46</v>
      </c>
      <c r="I778" s="3">
        <v>2026.0</v>
      </c>
      <c r="J778" s="3">
        <f t="shared" si="2"/>
        <v>5000</v>
      </c>
      <c r="K778" s="3" t="s">
        <v>20</v>
      </c>
      <c r="L778" s="3">
        <v>0.0</v>
      </c>
      <c r="M778" s="3" t="s">
        <v>21</v>
      </c>
      <c r="N778" s="3">
        <f t="shared" si="37"/>
        <v>7</v>
      </c>
      <c r="O778" s="3" t="s">
        <v>22</v>
      </c>
      <c r="P778" s="3" t="s">
        <v>38</v>
      </c>
      <c r="Q778" s="6">
        <f t="shared" si="3"/>
        <v>635000</v>
      </c>
    </row>
    <row r="779">
      <c r="A779" s="3">
        <v>65493.0</v>
      </c>
      <c r="B779" s="3" t="s">
        <v>669</v>
      </c>
      <c r="C779" s="3" t="s">
        <v>18</v>
      </c>
      <c r="D779" s="4" t="str">
        <f t="shared" si="1"/>
        <v>Mr.</v>
      </c>
      <c r="E779" s="3" t="str">
        <f t="shared" si="4"/>
        <v>Mr. Aaryan Kapoor</v>
      </c>
      <c r="F779" s="3" t="str">
        <f>IFERROR(__xludf.DUMMYFUNCTION("SPLIT(B779,"" "")"),"Aaryan")</f>
        <v>Aaryan</v>
      </c>
      <c r="G779" s="3" t="str">
        <f>IFERROR(__xludf.DUMMYFUNCTION("""COMPUTED_VALUE"""),"Kapoor")</f>
        <v>Kapoor</v>
      </c>
      <c r="H779" s="3" t="s">
        <v>33</v>
      </c>
      <c r="I779" s="3">
        <v>2026.0</v>
      </c>
      <c r="J779" s="3">
        <f t="shared" si="2"/>
        <v>10000</v>
      </c>
      <c r="K779" s="3" t="s">
        <v>20</v>
      </c>
      <c r="L779" s="3">
        <v>0.0</v>
      </c>
      <c r="M779" s="3" t="s">
        <v>21</v>
      </c>
      <c r="N779" s="3">
        <v>63.0</v>
      </c>
      <c r="O779" s="3" t="s">
        <v>22</v>
      </c>
      <c r="P779" s="3" t="s">
        <v>38</v>
      </c>
      <c r="Q779" s="6">
        <f t="shared" si="3"/>
        <v>635000</v>
      </c>
    </row>
    <row r="780">
      <c r="A780" s="3">
        <v>65494.0</v>
      </c>
      <c r="B780" s="3" t="s">
        <v>670</v>
      </c>
      <c r="C780" s="3" t="s">
        <v>18</v>
      </c>
      <c r="D780" s="4" t="str">
        <f t="shared" si="1"/>
        <v>Mr.</v>
      </c>
      <c r="E780" s="3" t="str">
        <f t="shared" si="4"/>
        <v>Mr. Om Dutta</v>
      </c>
      <c r="F780" s="3" t="str">
        <f>IFERROR(__xludf.DUMMYFUNCTION("SPLIT(B780,"" "")"),"Om")</f>
        <v>Om</v>
      </c>
      <c r="G780" s="3" t="str">
        <f>IFERROR(__xludf.DUMMYFUNCTION("""COMPUTED_VALUE"""),"Dutta")</f>
        <v>Dutta</v>
      </c>
      <c r="H780" s="3" t="s">
        <v>25</v>
      </c>
      <c r="I780" s="3">
        <v>2024.0</v>
      </c>
      <c r="J780" s="3">
        <f t="shared" si="2"/>
        <v>10000</v>
      </c>
      <c r="K780" s="3" t="s">
        <v>26</v>
      </c>
      <c r="L780" s="3">
        <v>18252.0</v>
      </c>
      <c r="M780" s="3" t="s">
        <v>30</v>
      </c>
      <c r="N780" s="3">
        <v>58.0</v>
      </c>
      <c r="O780" s="3" t="s">
        <v>41</v>
      </c>
      <c r="P780" s="3" t="s">
        <v>23</v>
      </c>
      <c r="Q780" s="6">
        <f t="shared" si="3"/>
        <v>430000</v>
      </c>
    </row>
    <row r="781">
      <c r="A781" s="3">
        <v>65495.0</v>
      </c>
      <c r="B781" s="3" t="s">
        <v>671</v>
      </c>
      <c r="C781" s="3" t="s">
        <v>35</v>
      </c>
      <c r="D781" s="4" t="str">
        <f t="shared" si="1"/>
        <v>Ms.</v>
      </c>
      <c r="E781" s="3" t="str">
        <f t="shared" si="4"/>
        <v>Ms. Saanvi Malik</v>
      </c>
      <c r="F781" s="3" t="str">
        <f>IFERROR(__xludf.DUMMYFUNCTION("SPLIT(B781,"" "")"),"Saanvi")</f>
        <v>Saanvi</v>
      </c>
      <c r="G781" s="3" t="str">
        <f>IFERROR(__xludf.DUMMYFUNCTION("""COMPUTED_VALUE"""),"Malik")</f>
        <v>Malik</v>
      </c>
      <c r="H781" s="3" t="s">
        <v>46</v>
      </c>
      <c r="I781" s="3">
        <v>2026.0</v>
      </c>
      <c r="J781" s="3">
        <f t="shared" si="2"/>
        <v>5000</v>
      </c>
      <c r="K781" s="3" t="s">
        <v>20</v>
      </c>
      <c r="L781" s="3">
        <v>0.0</v>
      </c>
      <c r="M781" s="3" t="s">
        <v>21</v>
      </c>
      <c r="N781" s="3">
        <v>18.0</v>
      </c>
      <c r="O781" s="3" t="s">
        <v>22</v>
      </c>
      <c r="P781" s="3" t="s">
        <v>23</v>
      </c>
      <c r="Q781" s="6">
        <f t="shared" si="3"/>
        <v>430000</v>
      </c>
    </row>
    <row r="782">
      <c r="A782" s="3">
        <v>65496.0</v>
      </c>
      <c r="B782" s="3" t="s">
        <v>672</v>
      </c>
      <c r="C782" s="3" t="s">
        <v>18</v>
      </c>
      <c r="D782" s="4" t="str">
        <f t="shared" si="1"/>
        <v>Mr.</v>
      </c>
      <c r="E782" s="3" t="str">
        <f t="shared" si="4"/>
        <v>Mr. Arjun Jain</v>
      </c>
      <c r="F782" s="3" t="str">
        <f>IFERROR(__xludf.DUMMYFUNCTION("SPLIT(B782,"" "")"),"Arjun")</f>
        <v>Arjun</v>
      </c>
      <c r="G782" s="3" t="str">
        <f>IFERROR(__xludf.DUMMYFUNCTION("""COMPUTED_VALUE"""),"Jain")</f>
        <v>Jain</v>
      </c>
      <c r="H782" s="3" t="s">
        <v>19</v>
      </c>
      <c r="I782" s="3">
        <v>2021.0</v>
      </c>
      <c r="J782" s="3">
        <f t="shared" si="2"/>
        <v>5000</v>
      </c>
      <c r="K782" s="3" t="s">
        <v>26</v>
      </c>
      <c r="L782" s="3">
        <v>24585.0</v>
      </c>
      <c r="M782" s="3" t="s">
        <v>153</v>
      </c>
      <c r="N782" s="3">
        <v>26.0</v>
      </c>
      <c r="O782" s="3" t="s">
        <v>22</v>
      </c>
      <c r="P782" s="3" t="s">
        <v>31</v>
      </c>
      <c r="Q782" s="6">
        <f t="shared" si="3"/>
        <v>910000</v>
      </c>
    </row>
    <row r="783">
      <c r="A783" s="3">
        <v>65497.0</v>
      </c>
      <c r="B783" s="3" t="s">
        <v>673</v>
      </c>
      <c r="C783" s="3" t="s">
        <v>18</v>
      </c>
      <c r="D783" s="4" t="str">
        <f t="shared" si="1"/>
        <v>Mr.</v>
      </c>
      <c r="E783" s="3" t="str">
        <f t="shared" si="4"/>
        <v>Mr. Parth Jain</v>
      </c>
      <c r="F783" s="3" t="str">
        <f>IFERROR(__xludf.DUMMYFUNCTION("SPLIT(B783,"" "")"),"Parth")</f>
        <v>Parth</v>
      </c>
      <c r="G783" s="3" t="str">
        <f>IFERROR(__xludf.DUMMYFUNCTION("""COMPUTED_VALUE"""),"Jain")</f>
        <v>Jain</v>
      </c>
      <c r="H783" s="3" t="s">
        <v>19</v>
      </c>
      <c r="I783" s="3">
        <v>2025.0</v>
      </c>
      <c r="J783" s="3">
        <f t="shared" si="2"/>
        <v>5000</v>
      </c>
      <c r="K783" s="3" t="s">
        <v>20</v>
      </c>
      <c r="L783" s="10">
        <v>1397.0</v>
      </c>
      <c r="M783" s="3" t="s">
        <v>30</v>
      </c>
      <c r="N783" s="3">
        <v>1.0</v>
      </c>
      <c r="O783" s="3" t="s">
        <v>22</v>
      </c>
      <c r="P783" s="3" t="s">
        <v>38</v>
      </c>
      <c r="Q783" s="6">
        <f t="shared" si="3"/>
        <v>635000</v>
      </c>
    </row>
    <row r="784">
      <c r="A784" s="3">
        <v>65498.0</v>
      </c>
      <c r="B784" s="3" t="s">
        <v>674</v>
      </c>
      <c r="C784" s="3" t="s">
        <v>18</v>
      </c>
      <c r="D784" s="4" t="str">
        <f t="shared" si="1"/>
        <v>Mr.</v>
      </c>
      <c r="E784" s="3" t="str">
        <f t="shared" si="4"/>
        <v>Mr. Rudra Kumar</v>
      </c>
      <c r="F784" s="3" t="str">
        <f>IFERROR(__xludf.DUMMYFUNCTION("SPLIT(B784,"" "")"),"Rudra")</f>
        <v>Rudra</v>
      </c>
      <c r="G784" s="3" t="str">
        <f>IFERROR(__xludf.DUMMYFUNCTION("""COMPUTED_VALUE"""),"Kumar")</f>
        <v>Kumar</v>
      </c>
      <c r="H784" s="3" t="s">
        <v>25</v>
      </c>
      <c r="I784" s="3">
        <v>2026.0</v>
      </c>
      <c r="J784" s="3">
        <f t="shared" si="2"/>
        <v>10000</v>
      </c>
      <c r="K784" s="3" t="s">
        <v>20</v>
      </c>
      <c r="L784" s="3">
        <v>0.0</v>
      </c>
      <c r="M784" s="3" t="s">
        <v>21</v>
      </c>
      <c r="N784" s="3">
        <v>3.0</v>
      </c>
      <c r="O784" s="3" t="s">
        <v>22</v>
      </c>
      <c r="P784" s="3" t="s">
        <v>31</v>
      </c>
      <c r="Q784" s="6">
        <f t="shared" si="3"/>
        <v>910000</v>
      </c>
    </row>
    <row r="785">
      <c r="A785" s="3">
        <v>65499.0</v>
      </c>
      <c r="B785" s="3" t="s">
        <v>675</v>
      </c>
      <c r="C785" s="3" t="s">
        <v>35</v>
      </c>
      <c r="D785" s="4" t="str">
        <f t="shared" si="1"/>
        <v>Ms.</v>
      </c>
      <c r="E785" s="3" t="str">
        <f t="shared" si="4"/>
        <v>Ms. Kyra Iyer</v>
      </c>
      <c r="F785" s="3" t="str">
        <f>IFERROR(__xludf.DUMMYFUNCTION("SPLIT(B785,"" "")"),"Kyra")</f>
        <v>Kyra</v>
      </c>
      <c r="G785" s="3" t="str">
        <f>IFERROR(__xludf.DUMMYFUNCTION("""COMPUTED_VALUE"""),"Iyer")</f>
        <v>Iyer</v>
      </c>
      <c r="H785" s="3" t="s">
        <v>25</v>
      </c>
      <c r="I785" s="3">
        <v>2025.0</v>
      </c>
      <c r="J785" s="3">
        <f t="shared" si="2"/>
        <v>10000</v>
      </c>
      <c r="K785" s="3" t="s">
        <v>20</v>
      </c>
      <c r="L785" s="3">
        <v>0.0</v>
      </c>
      <c r="M785" s="3" t="s">
        <v>30</v>
      </c>
      <c r="N785" s="3">
        <f>RANDBETWEEN(0,10)</f>
        <v>0</v>
      </c>
      <c r="O785" s="3" t="s">
        <v>22</v>
      </c>
      <c r="P785" s="3" t="s">
        <v>28</v>
      </c>
      <c r="Q785" s="6">
        <f t="shared" si="3"/>
        <v>400000</v>
      </c>
    </row>
    <row r="786">
      <c r="A786" s="3">
        <v>65500.0</v>
      </c>
      <c r="B786" s="3" t="s">
        <v>212</v>
      </c>
      <c r="C786" s="3" t="s">
        <v>35</v>
      </c>
      <c r="D786" s="4" t="str">
        <f t="shared" si="1"/>
        <v>Ms.</v>
      </c>
      <c r="E786" s="3" t="str">
        <f t="shared" si="4"/>
        <v>Ms. Avni Bhatt</v>
      </c>
      <c r="F786" s="3" t="str">
        <f>IFERROR(__xludf.DUMMYFUNCTION("SPLIT(B786,"" "")"),"Avni")</f>
        <v>Avni</v>
      </c>
      <c r="G786" s="3" t="str">
        <f>IFERROR(__xludf.DUMMYFUNCTION("""COMPUTED_VALUE"""),"Bhatt")</f>
        <v>Bhatt</v>
      </c>
      <c r="H786" s="3" t="s">
        <v>25</v>
      </c>
      <c r="I786" s="3">
        <v>2021.0</v>
      </c>
      <c r="J786" s="3">
        <f t="shared" si="2"/>
        <v>10000</v>
      </c>
      <c r="K786" s="3" t="s">
        <v>26</v>
      </c>
      <c r="L786" s="3">
        <v>10552.0</v>
      </c>
      <c r="M786" s="3" t="s">
        <v>21</v>
      </c>
      <c r="N786" s="3">
        <v>45.0</v>
      </c>
      <c r="O786" s="3" t="s">
        <v>22</v>
      </c>
      <c r="P786" s="3" t="s">
        <v>38</v>
      </c>
      <c r="Q786" s="6">
        <f t="shared" si="3"/>
        <v>635000</v>
      </c>
    </row>
    <row r="787">
      <c r="A787" s="3">
        <v>65501.0</v>
      </c>
      <c r="B787" s="3" t="s">
        <v>676</v>
      </c>
      <c r="C787" s="3" t="s">
        <v>18</v>
      </c>
      <c r="D787" s="4" t="str">
        <f t="shared" si="1"/>
        <v>Mr.</v>
      </c>
      <c r="E787" s="3" t="str">
        <f t="shared" si="4"/>
        <v>Mr. Rudra Chopra</v>
      </c>
      <c r="F787" s="3" t="str">
        <f>IFERROR(__xludf.DUMMYFUNCTION("SPLIT(B787,"" "")"),"Rudra")</f>
        <v>Rudra</v>
      </c>
      <c r="G787" s="3" t="str">
        <f>IFERROR(__xludf.DUMMYFUNCTION("""COMPUTED_VALUE"""),"Chopra")</f>
        <v>Chopra</v>
      </c>
      <c r="H787" s="3" t="s">
        <v>33</v>
      </c>
      <c r="I787" s="3">
        <v>2027.0</v>
      </c>
      <c r="J787" s="3">
        <f t="shared" si="2"/>
        <v>10000</v>
      </c>
      <c r="K787" s="3" t="s">
        <v>20</v>
      </c>
      <c r="L787" s="3">
        <v>0.0</v>
      </c>
      <c r="M787" s="3" t="s">
        <v>21</v>
      </c>
      <c r="N787" s="3">
        <v>47.0</v>
      </c>
      <c r="O787" s="3" t="s">
        <v>22</v>
      </c>
      <c r="P787" s="3" t="s">
        <v>28</v>
      </c>
      <c r="Q787" s="6">
        <f t="shared" si="3"/>
        <v>400000</v>
      </c>
    </row>
    <row r="788">
      <c r="A788" s="3">
        <v>65502.0</v>
      </c>
      <c r="B788" s="3" t="s">
        <v>29</v>
      </c>
      <c r="C788" s="3" t="s">
        <v>35</v>
      </c>
      <c r="D788" s="4" t="str">
        <f t="shared" si="1"/>
        <v>Ms.</v>
      </c>
      <c r="E788" s="3" t="str">
        <f t="shared" si="4"/>
        <v>Ms. Manya Sharma</v>
      </c>
      <c r="F788" s="3" t="str">
        <f>IFERROR(__xludf.DUMMYFUNCTION("SPLIT(B788,"" "")"),"Manya")</f>
        <v>Manya</v>
      </c>
      <c r="G788" s="3" t="str">
        <f>IFERROR(__xludf.DUMMYFUNCTION("""COMPUTED_VALUE"""),"Sharma")</f>
        <v>Sharma</v>
      </c>
      <c r="H788" s="3" t="s">
        <v>33</v>
      </c>
      <c r="I788" s="3">
        <v>2024.0</v>
      </c>
      <c r="J788" s="3">
        <f t="shared" si="2"/>
        <v>10000</v>
      </c>
      <c r="K788" s="3" t="s">
        <v>20</v>
      </c>
      <c r="L788" s="3">
        <v>0.0</v>
      </c>
      <c r="M788" s="3" t="s">
        <v>21</v>
      </c>
      <c r="N788" s="3">
        <v>80.0</v>
      </c>
      <c r="O788" s="3" t="s">
        <v>22</v>
      </c>
      <c r="P788" s="3" t="s">
        <v>23</v>
      </c>
      <c r="Q788" s="6">
        <f t="shared" si="3"/>
        <v>430000</v>
      </c>
    </row>
    <row r="789">
      <c r="A789" s="3">
        <v>65503.0</v>
      </c>
      <c r="B789" s="3" t="s">
        <v>111</v>
      </c>
      <c r="C789" s="3" t="s">
        <v>18</v>
      </c>
      <c r="D789" s="4" t="str">
        <f t="shared" si="1"/>
        <v>Mr.</v>
      </c>
      <c r="E789" s="3" t="str">
        <f t="shared" si="4"/>
        <v>Mr. Shaurya Mishra</v>
      </c>
      <c r="F789" s="3" t="str">
        <f>IFERROR(__xludf.DUMMYFUNCTION("SPLIT(B789,"" "")"),"Shaurya")</f>
        <v>Shaurya</v>
      </c>
      <c r="G789" s="3" t="str">
        <f>IFERROR(__xludf.DUMMYFUNCTION("""COMPUTED_VALUE"""),"Mishra")</f>
        <v>Mishra</v>
      </c>
      <c r="H789" s="3" t="s">
        <v>33</v>
      </c>
      <c r="I789" s="3">
        <v>2018.0</v>
      </c>
      <c r="J789" s="3">
        <f t="shared" si="2"/>
        <v>10000</v>
      </c>
      <c r="K789" s="3" t="s">
        <v>20</v>
      </c>
      <c r="L789" s="3">
        <v>0.0</v>
      </c>
      <c r="M789" s="3" t="s">
        <v>21</v>
      </c>
      <c r="N789" s="3">
        <v>46.0</v>
      </c>
      <c r="O789" s="3" t="s">
        <v>22</v>
      </c>
      <c r="P789" s="3" t="s">
        <v>31</v>
      </c>
      <c r="Q789" s="6">
        <f t="shared" si="3"/>
        <v>910000</v>
      </c>
    </row>
    <row r="790">
      <c r="A790" s="3">
        <v>65504.0</v>
      </c>
      <c r="B790" s="3" t="s">
        <v>677</v>
      </c>
      <c r="C790" s="3" t="s">
        <v>18</v>
      </c>
      <c r="D790" s="4" t="str">
        <f t="shared" si="1"/>
        <v>Mr.</v>
      </c>
      <c r="E790" s="3" t="str">
        <f t="shared" si="4"/>
        <v>Mr. Arnav Rao</v>
      </c>
      <c r="F790" s="3" t="str">
        <f>IFERROR(__xludf.DUMMYFUNCTION("SPLIT(B790,"" "")"),"Arnav")</f>
        <v>Arnav</v>
      </c>
      <c r="G790" s="3" t="str">
        <f>IFERROR(__xludf.DUMMYFUNCTION("""COMPUTED_VALUE"""),"Rao")</f>
        <v>Rao</v>
      </c>
      <c r="H790" s="3" t="s">
        <v>25</v>
      </c>
      <c r="I790" s="3">
        <v>2026.0</v>
      </c>
      <c r="J790" s="3">
        <f t="shared" si="2"/>
        <v>10000</v>
      </c>
      <c r="K790" s="3" t="s">
        <v>20</v>
      </c>
      <c r="L790" s="3">
        <v>0.0</v>
      </c>
      <c r="M790" s="3" t="s">
        <v>21</v>
      </c>
      <c r="N790" s="3">
        <v>23.0</v>
      </c>
      <c r="O790" s="3" t="s">
        <v>22</v>
      </c>
      <c r="P790" s="3" t="s">
        <v>23</v>
      </c>
      <c r="Q790" s="6">
        <f t="shared" si="3"/>
        <v>430000</v>
      </c>
    </row>
    <row r="791">
      <c r="A791" s="3">
        <v>65505.0</v>
      </c>
      <c r="B791" s="3" t="s">
        <v>506</v>
      </c>
      <c r="C791" s="3" t="s">
        <v>18</v>
      </c>
      <c r="D791" s="4" t="str">
        <f t="shared" si="1"/>
        <v>Mr.</v>
      </c>
      <c r="E791" s="3" t="str">
        <f t="shared" si="4"/>
        <v>Mr. Rishi Kapoor</v>
      </c>
      <c r="F791" s="3" t="str">
        <f>IFERROR(__xludf.DUMMYFUNCTION("SPLIT(B791,"" "")"),"Rishi")</f>
        <v>Rishi</v>
      </c>
      <c r="G791" s="3" t="str">
        <f>IFERROR(__xludf.DUMMYFUNCTION("""COMPUTED_VALUE"""),"Kapoor")</f>
        <v>Kapoor</v>
      </c>
      <c r="H791" s="3" t="s">
        <v>19</v>
      </c>
      <c r="I791" s="3">
        <v>2024.0</v>
      </c>
      <c r="J791" s="3">
        <f t="shared" si="2"/>
        <v>5000</v>
      </c>
      <c r="K791" s="3" t="s">
        <v>26</v>
      </c>
      <c r="L791" s="3">
        <v>10348.0</v>
      </c>
      <c r="M791" s="3" t="s">
        <v>21</v>
      </c>
      <c r="N791" s="3">
        <v>77.0</v>
      </c>
      <c r="O791" s="3" t="s">
        <v>22</v>
      </c>
      <c r="P791" s="3" t="s">
        <v>38</v>
      </c>
      <c r="Q791" s="6">
        <f t="shared" si="3"/>
        <v>635000</v>
      </c>
    </row>
    <row r="792">
      <c r="A792" s="3">
        <v>65506.0</v>
      </c>
      <c r="B792" s="3" t="s">
        <v>489</v>
      </c>
      <c r="C792" s="3" t="s">
        <v>35</v>
      </c>
      <c r="D792" s="4" t="str">
        <f t="shared" si="1"/>
        <v>Ms.</v>
      </c>
      <c r="E792" s="3" t="str">
        <f t="shared" si="4"/>
        <v>Ms. Sara Kumar</v>
      </c>
      <c r="F792" s="3" t="str">
        <f>IFERROR(__xludf.DUMMYFUNCTION("SPLIT(B792,"" "")"),"Sara")</f>
        <v>Sara</v>
      </c>
      <c r="G792" s="3" t="str">
        <f>IFERROR(__xludf.DUMMYFUNCTION("""COMPUTED_VALUE"""),"Kumar")</f>
        <v>Kumar</v>
      </c>
      <c r="H792" s="3" t="s">
        <v>46</v>
      </c>
      <c r="I792" s="3">
        <v>2025.0</v>
      </c>
      <c r="J792" s="3">
        <f t="shared" si="2"/>
        <v>5000</v>
      </c>
      <c r="K792" s="3" t="s">
        <v>20</v>
      </c>
      <c r="L792" s="10">
        <v>3805.0</v>
      </c>
      <c r="M792" s="3" t="s">
        <v>21</v>
      </c>
      <c r="N792" s="3">
        <v>6.0</v>
      </c>
      <c r="O792" s="3" t="s">
        <v>41</v>
      </c>
      <c r="P792" s="3" t="s">
        <v>78</v>
      </c>
      <c r="Q792" s="6">
        <f t="shared" si="3"/>
        <v>255000</v>
      </c>
    </row>
    <row r="793">
      <c r="A793" s="3">
        <v>65507.0</v>
      </c>
      <c r="B793" s="3" t="s">
        <v>152</v>
      </c>
      <c r="C793" s="3" t="s">
        <v>18</v>
      </c>
      <c r="D793" s="4" t="str">
        <f t="shared" si="1"/>
        <v>Mr.</v>
      </c>
      <c r="E793" s="3" t="str">
        <f t="shared" si="4"/>
        <v>Mr. Krishna Prasad</v>
      </c>
      <c r="F793" s="3" t="str">
        <f>IFERROR(__xludf.DUMMYFUNCTION("SPLIT(B793,"" "")"),"Krishna")</f>
        <v>Krishna</v>
      </c>
      <c r="G793" s="3" t="str">
        <f>IFERROR(__xludf.DUMMYFUNCTION("""COMPUTED_VALUE"""),"Prasad")</f>
        <v>Prasad</v>
      </c>
      <c r="H793" s="3" t="s">
        <v>46</v>
      </c>
      <c r="I793" s="3">
        <v>2020.0</v>
      </c>
      <c r="J793" s="3">
        <f t="shared" si="2"/>
        <v>5000</v>
      </c>
      <c r="K793" s="3" t="s">
        <v>26</v>
      </c>
      <c r="L793" s="10">
        <v>8413.0</v>
      </c>
      <c r="M793" s="3" t="s">
        <v>30</v>
      </c>
      <c r="N793" s="3">
        <f>RANDBETWEEN(0,10)</f>
        <v>6</v>
      </c>
      <c r="O793" s="3" t="s">
        <v>22</v>
      </c>
      <c r="P793" s="3" t="s">
        <v>23</v>
      </c>
      <c r="Q793" s="6">
        <f t="shared" si="3"/>
        <v>430000</v>
      </c>
    </row>
    <row r="794">
      <c r="A794" s="3">
        <v>65508.0</v>
      </c>
      <c r="B794" s="3" t="s">
        <v>678</v>
      </c>
      <c r="C794" s="3" t="s">
        <v>18</v>
      </c>
      <c r="D794" s="4" t="str">
        <f t="shared" si="1"/>
        <v>Mr.</v>
      </c>
      <c r="E794" s="3" t="str">
        <f t="shared" si="4"/>
        <v>Mr. Kian Mehta</v>
      </c>
      <c r="F794" s="3" t="str">
        <f>IFERROR(__xludf.DUMMYFUNCTION("SPLIT(B794,"" "")"),"Kian")</f>
        <v>Kian</v>
      </c>
      <c r="G794" s="3" t="str">
        <f>IFERROR(__xludf.DUMMYFUNCTION("""COMPUTED_VALUE"""),"Mehta")</f>
        <v>Mehta</v>
      </c>
      <c r="H794" s="3" t="s">
        <v>25</v>
      </c>
      <c r="I794" s="3">
        <v>2022.0</v>
      </c>
      <c r="J794" s="3">
        <f t="shared" si="2"/>
        <v>10000</v>
      </c>
      <c r="K794" s="3" t="s">
        <v>20</v>
      </c>
      <c r="L794" s="3">
        <v>0.0</v>
      </c>
      <c r="M794" s="3" t="s">
        <v>21</v>
      </c>
      <c r="N794" s="3">
        <v>18.0</v>
      </c>
      <c r="O794" s="3" t="s">
        <v>22</v>
      </c>
      <c r="P794" s="3" t="s">
        <v>38</v>
      </c>
      <c r="Q794" s="6">
        <f t="shared" si="3"/>
        <v>635000</v>
      </c>
    </row>
    <row r="795">
      <c r="A795" s="3">
        <v>65509.0</v>
      </c>
      <c r="B795" s="3" t="s">
        <v>679</v>
      </c>
      <c r="C795" s="3" t="s">
        <v>35</v>
      </c>
      <c r="D795" s="4" t="str">
        <f t="shared" si="1"/>
        <v>Ms.</v>
      </c>
      <c r="E795" s="3" t="str">
        <f t="shared" si="4"/>
        <v>Ms. Myra Desai</v>
      </c>
      <c r="F795" s="3" t="str">
        <f>IFERROR(__xludf.DUMMYFUNCTION("SPLIT(B795,"" "")"),"Myra")</f>
        <v>Myra</v>
      </c>
      <c r="G795" s="3" t="str">
        <f>IFERROR(__xludf.DUMMYFUNCTION("""COMPUTED_VALUE"""),"Desai")</f>
        <v>Desai</v>
      </c>
      <c r="H795" s="3" t="s">
        <v>19</v>
      </c>
      <c r="I795" s="3">
        <v>2023.0</v>
      </c>
      <c r="J795" s="3">
        <f t="shared" si="2"/>
        <v>5000</v>
      </c>
      <c r="K795" s="3" t="s">
        <v>26</v>
      </c>
      <c r="L795" s="3">
        <v>5133.0</v>
      </c>
      <c r="M795" s="3" t="s">
        <v>21</v>
      </c>
      <c r="N795" s="3">
        <v>57.0</v>
      </c>
      <c r="O795" s="3" t="s">
        <v>22</v>
      </c>
      <c r="P795" s="3" t="s">
        <v>23</v>
      </c>
      <c r="Q795" s="6">
        <f t="shared" si="3"/>
        <v>430000</v>
      </c>
    </row>
    <row r="796">
      <c r="A796" s="3">
        <v>65510.0</v>
      </c>
      <c r="B796" s="3" t="s">
        <v>680</v>
      </c>
      <c r="C796" s="3" t="s">
        <v>18</v>
      </c>
      <c r="D796" s="4" t="str">
        <f t="shared" si="1"/>
        <v>Mr.</v>
      </c>
      <c r="E796" s="3" t="str">
        <f t="shared" si="4"/>
        <v>Mr. Aryan Das</v>
      </c>
      <c r="F796" s="3" t="str">
        <f>IFERROR(__xludf.DUMMYFUNCTION("SPLIT(B796,"" "")"),"Aryan")</f>
        <v>Aryan</v>
      </c>
      <c r="G796" s="3" t="str">
        <f>IFERROR(__xludf.DUMMYFUNCTION("""COMPUTED_VALUE"""),"Das")</f>
        <v>Das</v>
      </c>
      <c r="H796" s="3" t="s">
        <v>46</v>
      </c>
      <c r="I796" s="3">
        <v>2024.0</v>
      </c>
      <c r="J796" s="3">
        <f t="shared" si="2"/>
        <v>5000</v>
      </c>
      <c r="K796" s="3" t="s">
        <v>20</v>
      </c>
      <c r="L796" s="10">
        <v>4025.0</v>
      </c>
      <c r="M796" s="3" t="s">
        <v>21</v>
      </c>
      <c r="N796" s="3">
        <v>41.0</v>
      </c>
      <c r="O796" s="3" t="s">
        <v>22</v>
      </c>
      <c r="P796" s="3" t="s">
        <v>28</v>
      </c>
      <c r="Q796" s="6">
        <f t="shared" si="3"/>
        <v>400000</v>
      </c>
    </row>
    <row r="797">
      <c r="A797" s="3">
        <v>65511.0</v>
      </c>
      <c r="B797" s="3" t="s">
        <v>449</v>
      </c>
      <c r="C797" s="3" t="s">
        <v>35</v>
      </c>
      <c r="D797" s="4" t="str">
        <f t="shared" si="1"/>
        <v>Ms.</v>
      </c>
      <c r="E797" s="3" t="str">
        <f t="shared" si="4"/>
        <v>Ms. Anaya Sharma</v>
      </c>
      <c r="F797" s="3" t="str">
        <f>IFERROR(__xludf.DUMMYFUNCTION("SPLIT(B797,"" "")"),"Anaya")</f>
        <v>Anaya</v>
      </c>
      <c r="G797" s="3" t="str">
        <f>IFERROR(__xludf.DUMMYFUNCTION("""COMPUTED_VALUE"""),"Sharma")</f>
        <v>Sharma</v>
      </c>
      <c r="H797" s="3" t="s">
        <v>19</v>
      </c>
      <c r="I797" s="3">
        <v>2026.0</v>
      </c>
      <c r="J797" s="3">
        <f t="shared" si="2"/>
        <v>5000</v>
      </c>
      <c r="K797" s="3" t="s">
        <v>20</v>
      </c>
      <c r="L797" s="3">
        <v>445.0</v>
      </c>
      <c r="M797" s="3" t="s">
        <v>30</v>
      </c>
      <c r="N797" s="3">
        <v>78.0</v>
      </c>
      <c r="O797" s="3" t="s">
        <v>41</v>
      </c>
      <c r="P797" s="3" t="s">
        <v>31</v>
      </c>
      <c r="Q797" s="6">
        <f t="shared" si="3"/>
        <v>910000</v>
      </c>
    </row>
    <row r="798">
      <c r="A798" s="3">
        <v>65512.0</v>
      </c>
      <c r="B798" s="3" t="s">
        <v>681</v>
      </c>
      <c r="C798" s="3" t="s">
        <v>35</v>
      </c>
      <c r="D798" s="4" t="str">
        <f t="shared" si="1"/>
        <v>Ms.</v>
      </c>
      <c r="E798" s="3" t="str">
        <f t="shared" si="4"/>
        <v>Ms. Vanya Pillai</v>
      </c>
      <c r="F798" s="3" t="str">
        <f>IFERROR(__xludf.DUMMYFUNCTION("SPLIT(B798,"" "")"),"Vanya")</f>
        <v>Vanya</v>
      </c>
      <c r="G798" s="3" t="str">
        <f>IFERROR(__xludf.DUMMYFUNCTION("""COMPUTED_VALUE"""),"Pillai")</f>
        <v>Pillai</v>
      </c>
      <c r="H798" s="3" t="s">
        <v>19</v>
      </c>
      <c r="I798" s="3">
        <v>2025.0</v>
      </c>
      <c r="J798" s="3">
        <f t="shared" si="2"/>
        <v>5000</v>
      </c>
      <c r="K798" s="3" t="s">
        <v>26</v>
      </c>
      <c r="L798" s="3">
        <v>11937.0</v>
      </c>
      <c r="M798" s="3" t="s">
        <v>21</v>
      </c>
      <c r="N798" s="3">
        <f>RANDBETWEEN(0,10)</f>
        <v>7</v>
      </c>
      <c r="O798" s="3" t="s">
        <v>22</v>
      </c>
      <c r="P798" s="3" t="s">
        <v>28</v>
      </c>
      <c r="Q798" s="6">
        <f t="shared" si="3"/>
        <v>400000</v>
      </c>
    </row>
    <row r="799">
      <c r="A799" s="3">
        <v>65513.0</v>
      </c>
      <c r="B799" s="3" t="s">
        <v>682</v>
      </c>
      <c r="C799" s="3" t="s">
        <v>18</v>
      </c>
      <c r="D799" s="4" t="str">
        <f t="shared" si="1"/>
        <v>Mr.</v>
      </c>
      <c r="E799" s="3" t="str">
        <f t="shared" si="4"/>
        <v>Mr. Siddharth Das</v>
      </c>
      <c r="F799" s="3" t="str">
        <f>IFERROR(__xludf.DUMMYFUNCTION("SPLIT(B799,"" "")"),"Siddharth")</f>
        <v>Siddharth</v>
      </c>
      <c r="G799" s="3" t="str">
        <f>IFERROR(__xludf.DUMMYFUNCTION("""COMPUTED_VALUE"""),"Das")</f>
        <v>Das</v>
      </c>
      <c r="H799" s="3" t="s">
        <v>25</v>
      </c>
      <c r="I799" s="3">
        <v>2020.0</v>
      </c>
      <c r="J799" s="3">
        <f t="shared" si="2"/>
        <v>10000</v>
      </c>
      <c r="K799" s="3" t="s">
        <v>20</v>
      </c>
      <c r="L799" s="3">
        <v>0.0</v>
      </c>
      <c r="M799" s="3" t="s">
        <v>21</v>
      </c>
      <c r="N799" s="3">
        <v>0.0</v>
      </c>
      <c r="O799" s="3" t="s">
        <v>22</v>
      </c>
      <c r="P799" s="3" t="s">
        <v>38</v>
      </c>
      <c r="Q799" s="6">
        <f t="shared" si="3"/>
        <v>635000</v>
      </c>
    </row>
    <row r="800">
      <c r="A800" s="3">
        <v>65514.0</v>
      </c>
      <c r="B800" s="3" t="s">
        <v>125</v>
      </c>
      <c r="C800" s="3" t="s">
        <v>18</v>
      </c>
      <c r="D800" s="4" t="str">
        <f t="shared" si="1"/>
        <v>Mr.</v>
      </c>
      <c r="E800" s="3" t="str">
        <f t="shared" si="4"/>
        <v>Mr. Raghav Patel</v>
      </c>
      <c r="F800" s="3" t="str">
        <f>IFERROR(__xludf.DUMMYFUNCTION("SPLIT(B800,"" "")"),"Raghav")</f>
        <v>Raghav</v>
      </c>
      <c r="G800" s="3" t="str">
        <f>IFERROR(__xludf.DUMMYFUNCTION("""COMPUTED_VALUE"""),"Patel")</f>
        <v>Patel</v>
      </c>
      <c r="H800" s="3" t="s">
        <v>19</v>
      </c>
      <c r="I800" s="3">
        <v>2027.0</v>
      </c>
      <c r="J800" s="3">
        <f t="shared" si="2"/>
        <v>5000</v>
      </c>
      <c r="K800" s="3" t="s">
        <v>26</v>
      </c>
      <c r="L800" s="3">
        <v>15713.0</v>
      </c>
      <c r="M800" s="3" t="s">
        <v>21</v>
      </c>
      <c r="N800" s="3">
        <f>RANDBETWEEN(0,10)</f>
        <v>9</v>
      </c>
      <c r="O800" s="3" t="s">
        <v>22</v>
      </c>
      <c r="P800" s="3" t="s">
        <v>38</v>
      </c>
      <c r="Q800" s="6">
        <f t="shared" si="3"/>
        <v>635000</v>
      </c>
    </row>
    <row r="801">
      <c r="A801" s="3">
        <v>65516.0</v>
      </c>
      <c r="B801" s="3" t="s">
        <v>363</v>
      </c>
      <c r="C801" s="3" t="s">
        <v>35</v>
      </c>
      <c r="D801" s="4" t="str">
        <f t="shared" si="1"/>
        <v>Ms.</v>
      </c>
      <c r="E801" s="3" t="str">
        <f t="shared" si="4"/>
        <v>Ms. Siya Chopra</v>
      </c>
      <c r="F801" s="3" t="str">
        <f>IFERROR(__xludf.DUMMYFUNCTION("SPLIT(B801,"" "")"),"Siya")</f>
        <v>Siya</v>
      </c>
      <c r="G801" s="3" t="str">
        <f>IFERROR(__xludf.DUMMYFUNCTION("""COMPUTED_VALUE"""),"Chopra")</f>
        <v>Chopra</v>
      </c>
      <c r="H801" s="3" t="s">
        <v>25</v>
      </c>
      <c r="I801" s="3">
        <v>2024.0</v>
      </c>
      <c r="J801" s="3">
        <f t="shared" si="2"/>
        <v>10000</v>
      </c>
      <c r="K801" s="3" t="s">
        <v>20</v>
      </c>
      <c r="L801" s="3">
        <v>0.0</v>
      </c>
      <c r="M801" s="3" t="s">
        <v>21</v>
      </c>
      <c r="N801" s="3">
        <v>33.0</v>
      </c>
      <c r="O801" s="3" t="s">
        <v>22</v>
      </c>
      <c r="P801" s="3" t="s">
        <v>28</v>
      </c>
      <c r="Q801" s="6">
        <f t="shared" si="3"/>
        <v>400000</v>
      </c>
    </row>
    <row r="802">
      <c r="A802" s="3">
        <v>65517.0</v>
      </c>
      <c r="B802" s="3" t="s">
        <v>441</v>
      </c>
      <c r="C802" s="3" t="s">
        <v>18</v>
      </c>
      <c r="D802" s="4" t="str">
        <f t="shared" si="1"/>
        <v>Mr.</v>
      </c>
      <c r="E802" s="3" t="str">
        <f t="shared" si="4"/>
        <v>Mr. Arnav Mishra</v>
      </c>
      <c r="F802" s="3" t="str">
        <f>IFERROR(__xludf.DUMMYFUNCTION("SPLIT(B802,"" "")"),"Arnav")</f>
        <v>Arnav</v>
      </c>
      <c r="G802" s="3" t="str">
        <f>IFERROR(__xludf.DUMMYFUNCTION("""COMPUTED_VALUE"""),"Mishra")</f>
        <v>Mishra</v>
      </c>
      <c r="H802" s="3" t="s">
        <v>25</v>
      </c>
      <c r="I802" s="3">
        <v>2016.0</v>
      </c>
      <c r="J802" s="3">
        <f t="shared" si="2"/>
        <v>10000</v>
      </c>
      <c r="K802" s="3" t="s">
        <v>26</v>
      </c>
      <c r="L802" s="3">
        <v>5137.0</v>
      </c>
      <c r="M802" s="3" t="s">
        <v>30</v>
      </c>
      <c r="N802" s="3">
        <f>RANDBETWEEN(0,10)</f>
        <v>5</v>
      </c>
      <c r="O802" s="3" t="s">
        <v>22</v>
      </c>
      <c r="P802" s="3" t="s">
        <v>28</v>
      </c>
      <c r="Q802" s="6">
        <f t="shared" si="3"/>
        <v>400000</v>
      </c>
    </row>
    <row r="803">
      <c r="A803" s="3">
        <v>65518.0</v>
      </c>
      <c r="B803" s="3" t="s">
        <v>600</v>
      </c>
      <c r="C803" s="3" t="s">
        <v>35</v>
      </c>
      <c r="D803" s="4" t="str">
        <f t="shared" si="1"/>
        <v>Ms.</v>
      </c>
      <c r="E803" s="3" t="str">
        <f t="shared" si="4"/>
        <v>Ms. Gauri Sinha</v>
      </c>
      <c r="F803" s="3" t="str">
        <f>IFERROR(__xludf.DUMMYFUNCTION("SPLIT(B803,"" "")"),"Gauri")</f>
        <v>Gauri</v>
      </c>
      <c r="G803" s="3" t="str">
        <f>IFERROR(__xludf.DUMMYFUNCTION("""COMPUTED_VALUE"""),"Sinha")</f>
        <v>Sinha</v>
      </c>
      <c r="H803" s="3" t="s">
        <v>25</v>
      </c>
      <c r="I803" s="3">
        <v>2023.0</v>
      </c>
      <c r="J803" s="3">
        <f t="shared" si="2"/>
        <v>10000</v>
      </c>
      <c r="K803" s="3" t="s">
        <v>26</v>
      </c>
      <c r="L803" s="3">
        <v>23877.0</v>
      </c>
      <c r="M803" s="3" t="s">
        <v>21</v>
      </c>
      <c r="N803" s="3">
        <v>24.0</v>
      </c>
      <c r="O803" s="3" t="s">
        <v>41</v>
      </c>
      <c r="P803" s="3" t="s">
        <v>31</v>
      </c>
      <c r="Q803" s="6">
        <f t="shared" si="3"/>
        <v>910000</v>
      </c>
    </row>
    <row r="804">
      <c r="A804" s="3">
        <v>65519.0</v>
      </c>
      <c r="B804" s="3" t="s">
        <v>300</v>
      </c>
      <c r="C804" s="3" t="s">
        <v>35</v>
      </c>
      <c r="D804" s="4" t="str">
        <f t="shared" si="1"/>
        <v>Ms.</v>
      </c>
      <c r="E804" s="3" t="str">
        <f t="shared" si="4"/>
        <v>Ms. Vanya Desai</v>
      </c>
      <c r="F804" s="3" t="str">
        <f>IFERROR(__xludf.DUMMYFUNCTION("SPLIT(B804,"" "")"),"Vanya")</f>
        <v>Vanya</v>
      </c>
      <c r="G804" s="3" t="str">
        <f>IFERROR(__xludf.DUMMYFUNCTION("""COMPUTED_VALUE"""),"Desai")</f>
        <v>Desai</v>
      </c>
      <c r="H804" s="3" t="s">
        <v>33</v>
      </c>
      <c r="I804" s="3">
        <v>2021.0</v>
      </c>
      <c r="J804" s="3">
        <f t="shared" si="2"/>
        <v>10000</v>
      </c>
      <c r="K804" s="3" t="s">
        <v>26</v>
      </c>
      <c r="L804" s="3">
        <v>18008.0</v>
      </c>
      <c r="M804" s="3" t="s">
        <v>30</v>
      </c>
      <c r="N804" s="3">
        <v>46.0</v>
      </c>
      <c r="O804" s="3" t="s">
        <v>22</v>
      </c>
      <c r="P804" s="3" t="s">
        <v>31</v>
      </c>
      <c r="Q804" s="6">
        <f t="shared" si="3"/>
        <v>910000</v>
      </c>
    </row>
    <row r="805">
      <c r="A805" s="3">
        <v>65521.0</v>
      </c>
      <c r="B805" s="3" t="s">
        <v>683</v>
      </c>
      <c r="C805" s="3" t="s">
        <v>18</v>
      </c>
      <c r="D805" s="4" t="str">
        <f t="shared" si="1"/>
        <v>Mr.</v>
      </c>
      <c r="E805" s="3" t="str">
        <f t="shared" si="4"/>
        <v>Mr. Laksh Sharma</v>
      </c>
      <c r="F805" s="3" t="str">
        <f>IFERROR(__xludf.DUMMYFUNCTION("SPLIT(B805,"" "")"),"Laksh")</f>
        <v>Laksh</v>
      </c>
      <c r="G805" s="3" t="str">
        <f>IFERROR(__xludf.DUMMYFUNCTION("""COMPUTED_VALUE"""),"Sharma")</f>
        <v>Sharma</v>
      </c>
      <c r="H805" s="3" t="s">
        <v>25</v>
      </c>
      <c r="I805" s="3">
        <v>2024.0</v>
      </c>
      <c r="J805" s="3">
        <f t="shared" si="2"/>
        <v>10000</v>
      </c>
      <c r="K805" s="3" t="s">
        <v>20</v>
      </c>
      <c r="L805" s="10">
        <v>4455.0</v>
      </c>
      <c r="M805" s="3" t="s">
        <v>21</v>
      </c>
      <c r="N805" s="3">
        <f>RANDBETWEEN(0,10)</f>
        <v>5</v>
      </c>
      <c r="O805" s="3" t="s">
        <v>22</v>
      </c>
      <c r="P805" s="3" t="s">
        <v>23</v>
      </c>
      <c r="Q805" s="6">
        <f t="shared" si="3"/>
        <v>430000</v>
      </c>
    </row>
    <row r="806">
      <c r="A806" s="3">
        <v>65522.0</v>
      </c>
      <c r="B806" s="3" t="s">
        <v>321</v>
      </c>
      <c r="C806" s="3" t="s">
        <v>18</v>
      </c>
      <c r="D806" s="4" t="str">
        <f t="shared" si="1"/>
        <v>Mr.</v>
      </c>
      <c r="E806" s="3" t="str">
        <f t="shared" si="4"/>
        <v>Mr. Vivaan Mishra</v>
      </c>
      <c r="F806" s="3" t="str">
        <f>IFERROR(__xludf.DUMMYFUNCTION("SPLIT(B806,"" "")"),"Vivaan")</f>
        <v>Vivaan</v>
      </c>
      <c r="G806" s="3" t="str">
        <f>IFERROR(__xludf.DUMMYFUNCTION("""COMPUTED_VALUE"""),"Mishra")</f>
        <v>Mishra</v>
      </c>
      <c r="H806" s="3" t="s">
        <v>25</v>
      </c>
      <c r="I806" s="3">
        <v>2025.0</v>
      </c>
      <c r="J806" s="3">
        <f t="shared" si="2"/>
        <v>10000</v>
      </c>
      <c r="K806" s="3" t="s">
        <v>26</v>
      </c>
      <c r="L806" s="3">
        <v>13714.0</v>
      </c>
      <c r="M806" s="3" t="s">
        <v>21</v>
      </c>
      <c r="N806" s="3">
        <v>74.0</v>
      </c>
      <c r="O806" s="3" t="s">
        <v>41</v>
      </c>
      <c r="P806" s="3" t="s">
        <v>23</v>
      </c>
      <c r="Q806" s="6">
        <f t="shared" si="3"/>
        <v>430000</v>
      </c>
    </row>
    <row r="807">
      <c r="A807" s="3">
        <v>65523.0</v>
      </c>
      <c r="B807" s="3" t="s">
        <v>684</v>
      </c>
      <c r="C807" s="3" t="s">
        <v>18</v>
      </c>
      <c r="D807" s="4" t="str">
        <f t="shared" si="1"/>
        <v>Mr.</v>
      </c>
      <c r="E807" s="3" t="str">
        <f t="shared" si="4"/>
        <v>Mr. Aditya Mishra</v>
      </c>
      <c r="F807" s="3" t="str">
        <f>IFERROR(__xludf.DUMMYFUNCTION("SPLIT(B807,"" "")"),"Aditya")</f>
        <v>Aditya</v>
      </c>
      <c r="G807" s="3" t="str">
        <f>IFERROR(__xludf.DUMMYFUNCTION("""COMPUTED_VALUE"""),"Mishra")</f>
        <v>Mishra</v>
      </c>
      <c r="H807" s="3" t="s">
        <v>19</v>
      </c>
      <c r="I807" s="3">
        <v>2028.0</v>
      </c>
      <c r="J807" s="3">
        <f t="shared" si="2"/>
        <v>5000</v>
      </c>
      <c r="K807" s="3" t="s">
        <v>20</v>
      </c>
      <c r="L807" s="3">
        <v>0.0</v>
      </c>
      <c r="M807" s="3" t="s">
        <v>21</v>
      </c>
      <c r="N807" s="3">
        <v>28.0</v>
      </c>
      <c r="O807" s="3" t="s">
        <v>22</v>
      </c>
      <c r="P807" s="3" t="s">
        <v>28</v>
      </c>
      <c r="Q807" s="6">
        <f t="shared" si="3"/>
        <v>400000</v>
      </c>
    </row>
    <row r="808">
      <c r="A808" s="3">
        <v>65524.0</v>
      </c>
      <c r="B808" s="3" t="s">
        <v>685</v>
      </c>
      <c r="C808" s="3" t="s">
        <v>18</v>
      </c>
      <c r="D808" s="4" t="str">
        <f t="shared" si="1"/>
        <v>Mr.</v>
      </c>
      <c r="E808" s="3" t="str">
        <f t="shared" si="4"/>
        <v>Mr. Yashvi Dutta</v>
      </c>
      <c r="F808" s="3" t="str">
        <f>IFERROR(__xludf.DUMMYFUNCTION("SPLIT(B808,"" "")"),"Yashvi")</f>
        <v>Yashvi</v>
      </c>
      <c r="G808" s="3" t="str">
        <f>IFERROR(__xludf.DUMMYFUNCTION("""COMPUTED_VALUE"""),"Dutta")</f>
        <v>Dutta</v>
      </c>
      <c r="H808" s="3" t="s">
        <v>19</v>
      </c>
      <c r="I808" s="3">
        <v>2024.0</v>
      </c>
      <c r="J808" s="3">
        <f t="shared" si="2"/>
        <v>5000</v>
      </c>
      <c r="K808" s="3" t="s">
        <v>20</v>
      </c>
      <c r="L808" s="10">
        <v>10444.0</v>
      </c>
      <c r="M808" s="3" t="s">
        <v>30</v>
      </c>
      <c r="N808" s="3">
        <v>12.0</v>
      </c>
      <c r="O808" s="3" t="s">
        <v>22</v>
      </c>
      <c r="P808" s="3" t="s">
        <v>23</v>
      </c>
      <c r="Q808" s="6">
        <f t="shared" si="3"/>
        <v>430000</v>
      </c>
    </row>
    <row r="809">
      <c r="A809" s="3">
        <v>65525.0</v>
      </c>
      <c r="B809" s="3" t="s">
        <v>686</v>
      </c>
      <c r="C809" s="3" t="s">
        <v>18</v>
      </c>
      <c r="D809" s="4" t="str">
        <f t="shared" si="1"/>
        <v>Mr.</v>
      </c>
      <c r="E809" s="3" t="str">
        <f t="shared" si="4"/>
        <v>Mr. Parth Mishra</v>
      </c>
      <c r="F809" s="3" t="str">
        <f>IFERROR(__xludf.DUMMYFUNCTION("SPLIT(B809,"" "")"),"Parth")</f>
        <v>Parth</v>
      </c>
      <c r="G809" s="3" t="str">
        <f>IFERROR(__xludf.DUMMYFUNCTION("""COMPUTED_VALUE"""),"Mishra")</f>
        <v>Mishra</v>
      </c>
      <c r="H809" s="3" t="s">
        <v>46</v>
      </c>
      <c r="I809" s="3">
        <v>2028.0</v>
      </c>
      <c r="J809" s="3">
        <f t="shared" si="2"/>
        <v>5000</v>
      </c>
      <c r="K809" s="3" t="s">
        <v>20</v>
      </c>
      <c r="L809" s="3">
        <v>0.0</v>
      </c>
      <c r="M809" s="3" t="s">
        <v>21</v>
      </c>
      <c r="N809" s="3">
        <v>60.0</v>
      </c>
      <c r="O809" s="3" t="s">
        <v>22</v>
      </c>
      <c r="P809" s="3" t="s">
        <v>31</v>
      </c>
      <c r="Q809" s="6">
        <f t="shared" si="3"/>
        <v>910000</v>
      </c>
    </row>
    <row r="810">
      <c r="A810" s="3">
        <v>65526.0</v>
      </c>
      <c r="B810" s="3" t="s">
        <v>687</v>
      </c>
      <c r="C810" s="3" t="s">
        <v>18</v>
      </c>
      <c r="D810" s="4" t="str">
        <f t="shared" si="1"/>
        <v>Mr.</v>
      </c>
      <c r="E810" s="3" t="str">
        <f t="shared" si="4"/>
        <v>Mr. Ayaan Rao</v>
      </c>
      <c r="F810" s="3" t="str">
        <f>IFERROR(__xludf.DUMMYFUNCTION("SPLIT(B810,"" "")"),"Ayaan")</f>
        <v>Ayaan</v>
      </c>
      <c r="G810" s="3" t="str">
        <f>IFERROR(__xludf.DUMMYFUNCTION("""COMPUTED_VALUE"""),"Rao")</f>
        <v>Rao</v>
      </c>
      <c r="H810" s="3" t="s">
        <v>19</v>
      </c>
      <c r="I810" s="3">
        <v>2025.0</v>
      </c>
      <c r="J810" s="3">
        <f t="shared" si="2"/>
        <v>5000</v>
      </c>
      <c r="K810" s="3" t="s">
        <v>20</v>
      </c>
      <c r="L810" s="3">
        <v>463.0</v>
      </c>
      <c r="M810" s="3" t="s">
        <v>21</v>
      </c>
      <c r="N810" s="3">
        <v>22.0</v>
      </c>
      <c r="O810" s="3" t="s">
        <v>41</v>
      </c>
      <c r="P810" s="3" t="s">
        <v>23</v>
      </c>
      <c r="Q810" s="6">
        <f t="shared" si="3"/>
        <v>430000</v>
      </c>
    </row>
    <row r="811">
      <c r="A811" s="3">
        <v>65527.0</v>
      </c>
      <c r="B811" s="3" t="s">
        <v>688</v>
      </c>
      <c r="C811" s="3" t="s">
        <v>18</v>
      </c>
      <c r="D811" s="4" t="str">
        <f t="shared" si="1"/>
        <v>Mr.</v>
      </c>
      <c r="E811" s="3" t="str">
        <f t="shared" si="4"/>
        <v>Mr. Ishaan Prasad</v>
      </c>
      <c r="F811" s="3" t="str">
        <f>IFERROR(__xludf.DUMMYFUNCTION("SPLIT(B811,"" "")"),"Ishaan")</f>
        <v>Ishaan</v>
      </c>
      <c r="G811" s="3" t="str">
        <f>IFERROR(__xludf.DUMMYFUNCTION("""COMPUTED_VALUE"""),"Prasad")</f>
        <v>Prasad</v>
      </c>
      <c r="H811" s="3" t="s">
        <v>46</v>
      </c>
      <c r="I811" s="3">
        <v>2026.0</v>
      </c>
      <c r="J811" s="3">
        <f t="shared" si="2"/>
        <v>5000</v>
      </c>
      <c r="K811" s="3" t="s">
        <v>20</v>
      </c>
      <c r="L811" s="3">
        <v>0.0</v>
      </c>
      <c r="M811" s="3" t="s">
        <v>21</v>
      </c>
      <c r="N811" s="3">
        <v>8.0</v>
      </c>
      <c r="O811" s="3" t="s">
        <v>22</v>
      </c>
      <c r="P811" s="3" t="s">
        <v>28</v>
      </c>
      <c r="Q811" s="6">
        <f t="shared" si="3"/>
        <v>400000</v>
      </c>
    </row>
    <row r="812">
      <c r="A812" s="3">
        <v>65528.0</v>
      </c>
      <c r="B812" s="3" t="s">
        <v>689</v>
      </c>
      <c r="C812" s="3" t="s">
        <v>18</v>
      </c>
      <c r="D812" s="4" t="str">
        <f t="shared" si="1"/>
        <v>Mr.</v>
      </c>
      <c r="E812" s="3" t="str">
        <f t="shared" si="4"/>
        <v>Mr. Reyansh Malik</v>
      </c>
      <c r="F812" s="3" t="str">
        <f>IFERROR(__xludf.DUMMYFUNCTION("SPLIT(B812,"" "")"),"Reyansh")</f>
        <v>Reyansh</v>
      </c>
      <c r="G812" s="3" t="str">
        <f>IFERROR(__xludf.DUMMYFUNCTION("""COMPUTED_VALUE"""),"Malik")</f>
        <v>Malik</v>
      </c>
      <c r="H812" s="3" t="s">
        <v>46</v>
      </c>
      <c r="I812" s="3">
        <v>2025.0</v>
      </c>
      <c r="J812" s="3">
        <f t="shared" si="2"/>
        <v>5000</v>
      </c>
      <c r="K812" s="3" t="s">
        <v>20</v>
      </c>
      <c r="L812" s="10">
        <v>7429.0</v>
      </c>
      <c r="M812" s="3" t="s">
        <v>21</v>
      </c>
      <c r="N812" s="3">
        <v>3.0</v>
      </c>
      <c r="O812" s="3" t="s">
        <v>22</v>
      </c>
      <c r="P812" s="3" t="s">
        <v>28</v>
      </c>
      <c r="Q812" s="6">
        <f t="shared" si="3"/>
        <v>400000</v>
      </c>
    </row>
    <row r="813">
      <c r="A813" s="3">
        <v>65529.0</v>
      </c>
      <c r="B813" s="3" t="s">
        <v>675</v>
      </c>
      <c r="C813" s="3" t="s">
        <v>35</v>
      </c>
      <c r="D813" s="4" t="str">
        <f t="shared" si="1"/>
        <v>Ms.</v>
      </c>
      <c r="E813" s="3" t="str">
        <f t="shared" si="4"/>
        <v>Ms. Kyra Iyer</v>
      </c>
      <c r="F813" s="3" t="str">
        <f>IFERROR(__xludf.DUMMYFUNCTION("SPLIT(B813,"" "")"),"Kyra")</f>
        <v>Kyra</v>
      </c>
      <c r="G813" s="3" t="str">
        <f>IFERROR(__xludf.DUMMYFUNCTION("""COMPUTED_VALUE"""),"Iyer")</f>
        <v>Iyer</v>
      </c>
      <c r="H813" s="3" t="s">
        <v>25</v>
      </c>
      <c r="I813" s="3">
        <v>2025.0</v>
      </c>
      <c r="J813" s="3">
        <f t="shared" si="2"/>
        <v>10000</v>
      </c>
      <c r="K813" s="3" t="s">
        <v>20</v>
      </c>
      <c r="L813" s="3">
        <v>0.0</v>
      </c>
      <c r="M813" s="3" t="s">
        <v>21</v>
      </c>
      <c r="N813" s="3">
        <v>52.0</v>
      </c>
      <c r="O813" s="3" t="s">
        <v>22</v>
      </c>
      <c r="P813" s="3" t="s">
        <v>31</v>
      </c>
      <c r="Q813" s="6">
        <f t="shared" si="3"/>
        <v>910000</v>
      </c>
    </row>
    <row r="814">
      <c r="A814" s="3">
        <v>65530.0</v>
      </c>
      <c r="B814" s="3" t="s">
        <v>690</v>
      </c>
      <c r="C814" s="3" t="s">
        <v>18</v>
      </c>
      <c r="D814" s="4" t="str">
        <f t="shared" si="1"/>
        <v>Mr.</v>
      </c>
      <c r="E814" s="3" t="str">
        <f t="shared" si="4"/>
        <v>Mr. Shaurya Desai</v>
      </c>
      <c r="F814" s="3" t="str">
        <f>IFERROR(__xludf.DUMMYFUNCTION("SPLIT(B814,"" "")"),"Shaurya")</f>
        <v>Shaurya</v>
      </c>
      <c r="G814" s="3" t="str">
        <f>IFERROR(__xludf.DUMMYFUNCTION("""COMPUTED_VALUE"""),"Desai")</f>
        <v>Desai</v>
      </c>
      <c r="H814" s="3" t="s">
        <v>25</v>
      </c>
      <c r="I814" s="3">
        <v>2026.0</v>
      </c>
      <c r="J814" s="3">
        <f t="shared" si="2"/>
        <v>10000</v>
      </c>
      <c r="K814" s="3" t="s">
        <v>26</v>
      </c>
      <c r="L814" s="3">
        <v>7076.0</v>
      </c>
      <c r="M814" s="3" t="s">
        <v>21</v>
      </c>
      <c r="N814" s="3">
        <f>RANDBETWEEN(0,10)</f>
        <v>5</v>
      </c>
      <c r="O814" s="3" t="s">
        <v>22</v>
      </c>
      <c r="P814" s="3" t="s">
        <v>31</v>
      </c>
      <c r="Q814" s="6">
        <f t="shared" si="3"/>
        <v>910000</v>
      </c>
    </row>
    <row r="815">
      <c r="A815" s="3">
        <v>65531.0</v>
      </c>
      <c r="B815" s="3" t="s">
        <v>372</v>
      </c>
      <c r="C815" s="3" t="s">
        <v>35</v>
      </c>
      <c r="D815" s="4" t="str">
        <f t="shared" si="1"/>
        <v>Ms.</v>
      </c>
      <c r="E815" s="3" t="str">
        <f t="shared" si="4"/>
        <v>Ms. Kyra Agarwal</v>
      </c>
      <c r="F815" s="3" t="str">
        <f>IFERROR(__xludf.DUMMYFUNCTION("SPLIT(B815,"" "")"),"Kyra")</f>
        <v>Kyra</v>
      </c>
      <c r="G815" s="3" t="str">
        <f>IFERROR(__xludf.DUMMYFUNCTION("""COMPUTED_VALUE"""),"Agarwal")</f>
        <v>Agarwal</v>
      </c>
      <c r="H815" s="3" t="s">
        <v>25</v>
      </c>
      <c r="I815" s="3">
        <v>2028.0</v>
      </c>
      <c r="J815" s="3">
        <f t="shared" si="2"/>
        <v>10000</v>
      </c>
      <c r="K815" s="3" t="s">
        <v>20</v>
      </c>
      <c r="L815" s="3">
        <v>0.0</v>
      </c>
      <c r="M815" s="3" t="s">
        <v>21</v>
      </c>
      <c r="N815" s="3">
        <v>12.0</v>
      </c>
      <c r="O815" s="3" t="s">
        <v>22</v>
      </c>
      <c r="P815" s="3" t="s">
        <v>31</v>
      </c>
      <c r="Q815" s="6">
        <f t="shared" si="3"/>
        <v>910000</v>
      </c>
    </row>
    <row r="816">
      <c r="A816" s="3">
        <v>65532.0</v>
      </c>
      <c r="B816" s="3" t="s">
        <v>499</v>
      </c>
      <c r="C816" s="3" t="s">
        <v>18</v>
      </c>
      <c r="D816" s="4" t="str">
        <f t="shared" si="1"/>
        <v>Mr.</v>
      </c>
      <c r="E816" s="3" t="str">
        <f t="shared" si="4"/>
        <v>Mr. Shivansh Naidu</v>
      </c>
      <c r="F816" s="3" t="str">
        <f>IFERROR(__xludf.DUMMYFUNCTION("SPLIT(B816,"" "")"),"Shivansh")</f>
        <v>Shivansh</v>
      </c>
      <c r="G816" s="3" t="str">
        <f>IFERROR(__xludf.DUMMYFUNCTION("""COMPUTED_VALUE"""),"Naidu")</f>
        <v>Naidu</v>
      </c>
      <c r="H816" s="3" t="s">
        <v>25</v>
      </c>
      <c r="I816" s="3">
        <v>2022.0</v>
      </c>
      <c r="J816" s="3">
        <f t="shared" si="2"/>
        <v>10000</v>
      </c>
      <c r="K816" s="3" t="s">
        <v>20</v>
      </c>
      <c r="L816" s="10">
        <v>2292.0</v>
      </c>
      <c r="M816" s="3" t="s">
        <v>30</v>
      </c>
      <c r="N816" s="3">
        <v>42.0</v>
      </c>
      <c r="O816" s="3" t="s">
        <v>22</v>
      </c>
      <c r="P816" s="3" t="s">
        <v>28</v>
      </c>
      <c r="Q816" s="6">
        <f t="shared" si="3"/>
        <v>400000</v>
      </c>
    </row>
    <row r="817">
      <c r="A817" s="3">
        <v>65533.0</v>
      </c>
      <c r="B817" s="3" t="s">
        <v>691</v>
      </c>
      <c r="C817" s="3" t="s">
        <v>18</v>
      </c>
      <c r="D817" s="4" t="str">
        <f t="shared" si="1"/>
        <v>Mr.</v>
      </c>
      <c r="E817" s="3" t="str">
        <f t="shared" si="4"/>
        <v>Mr. Aditya Jain</v>
      </c>
      <c r="F817" s="3" t="str">
        <f>IFERROR(__xludf.DUMMYFUNCTION("SPLIT(B817,"" "")"),"Aditya")</f>
        <v>Aditya</v>
      </c>
      <c r="G817" s="3" t="str">
        <f>IFERROR(__xludf.DUMMYFUNCTION("""COMPUTED_VALUE"""),"Jain")</f>
        <v>Jain</v>
      </c>
      <c r="H817" s="3" t="s">
        <v>46</v>
      </c>
      <c r="I817" s="3">
        <v>2021.0</v>
      </c>
      <c r="J817" s="3">
        <f t="shared" si="2"/>
        <v>5000</v>
      </c>
      <c r="K817" s="3" t="s">
        <v>20</v>
      </c>
      <c r="L817" s="3">
        <v>0.0</v>
      </c>
      <c r="M817" s="3" t="s">
        <v>21</v>
      </c>
      <c r="N817" s="3">
        <v>68.0</v>
      </c>
      <c r="O817" s="3" t="s">
        <v>41</v>
      </c>
      <c r="P817" s="3" t="s">
        <v>38</v>
      </c>
      <c r="Q817" s="6">
        <f t="shared" si="3"/>
        <v>635000</v>
      </c>
    </row>
    <row r="818">
      <c r="A818" s="3">
        <v>65534.0</v>
      </c>
      <c r="B818" s="3" t="s">
        <v>649</v>
      </c>
      <c r="C818" s="3" t="s">
        <v>18</v>
      </c>
      <c r="D818" s="4" t="str">
        <f t="shared" si="1"/>
        <v>Mr.</v>
      </c>
      <c r="E818" s="3" t="str">
        <f t="shared" si="4"/>
        <v>Mr. Reyansh Kulkarni</v>
      </c>
      <c r="F818" s="3" t="str">
        <f>IFERROR(__xludf.DUMMYFUNCTION("SPLIT(B818,"" "")"),"Reyansh")</f>
        <v>Reyansh</v>
      </c>
      <c r="G818" s="3" t="str">
        <f>IFERROR(__xludf.DUMMYFUNCTION("""COMPUTED_VALUE"""),"Kulkarni")</f>
        <v>Kulkarni</v>
      </c>
      <c r="H818" s="3" t="s">
        <v>25</v>
      </c>
      <c r="I818" s="3">
        <v>2023.0</v>
      </c>
      <c r="J818" s="3">
        <f t="shared" si="2"/>
        <v>10000</v>
      </c>
      <c r="K818" s="3" t="s">
        <v>20</v>
      </c>
      <c r="L818" s="3">
        <v>0.0</v>
      </c>
      <c r="M818" s="3" t="s">
        <v>21</v>
      </c>
      <c r="N818" s="3">
        <v>29.0</v>
      </c>
      <c r="O818" s="3" t="s">
        <v>22</v>
      </c>
      <c r="P818" s="3" t="s">
        <v>28</v>
      </c>
      <c r="Q818" s="6">
        <f t="shared" si="3"/>
        <v>400000</v>
      </c>
    </row>
    <row r="819">
      <c r="A819" s="3">
        <v>65535.0</v>
      </c>
      <c r="B819" s="3" t="s">
        <v>582</v>
      </c>
      <c r="C819" s="3" t="s">
        <v>18</v>
      </c>
      <c r="D819" s="4" t="str">
        <f t="shared" si="1"/>
        <v>Mr.</v>
      </c>
      <c r="E819" s="3" t="str">
        <f t="shared" si="4"/>
        <v>Mr. Harsh Malik</v>
      </c>
      <c r="F819" s="3" t="str">
        <f>IFERROR(__xludf.DUMMYFUNCTION("SPLIT(B819,"" "")"),"Harsh")</f>
        <v>Harsh</v>
      </c>
      <c r="G819" s="3" t="str">
        <f>IFERROR(__xludf.DUMMYFUNCTION("""COMPUTED_VALUE"""),"Malik")</f>
        <v>Malik</v>
      </c>
      <c r="H819" s="3" t="s">
        <v>19</v>
      </c>
      <c r="I819" s="3">
        <v>2017.0</v>
      </c>
      <c r="J819" s="3">
        <f t="shared" si="2"/>
        <v>5000</v>
      </c>
      <c r="K819" s="3" t="s">
        <v>20</v>
      </c>
      <c r="L819" s="3">
        <v>0.0</v>
      </c>
      <c r="M819" s="3" t="s">
        <v>21</v>
      </c>
      <c r="N819" s="3">
        <v>39.0</v>
      </c>
      <c r="O819" s="3" t="s">
        <v>22</v>
      </c>
      <c r="P819" s="3" t="s">
        <v>31</v>
      </c>
      <c r="Q819" s="6">
        <f t="shared" si="3"/>
        <v>910000</v>
      </c>
    </row>
    <row r="820">
      <c r="A820" s="3">
        <v>65536.0</v>
      </c>
      <c r="B820" s="3" t="s">
        <v>692</v>
      </c>
      <c r="C820" s="3" t="s">
        <v>35</v>
      </c>
      <c r="D820" s="4" t="str">
        <f t="shared" si="1"/>
        <v>Ms.</v>
      </c>
      <c r="E820" s="3" t="str">
        <f t="shared" si="4"/>
        <v>Ms. Kashvi Dutta</v>
      </c>
      <c r="F820" s="3" t="str">
        <f>IFERROR(__xludf.DUMMYFUNCTION("SPLIT(B820,"" "")"),"Kashvi")</f>
        <v>Kashvi</v>
      </c>
      <c r="G820" s="3" t="str">
        <f>IFERROR(__xludf.DUMMYFUNCTION("""COMPUTED_VALUE"""),"Dutta")</f>
        <v>Dutta</v>
      </c>
      <c r="H820" s="3" t="s">
        <v>25</v>
      </c>
      <c r="I820" s="3">
        <v>2023.0</v>
      </c>
      <c r="J820" s="3">
        <f t="shared" si="2"/>
        <v>10000</v>
      </c>
      <c r="K820" s="3" t="s">
        <v>26</v>
      </c>
      <c r="L820" s="3">
        <v>22727.0</v>
      </c>
      <c r="M820" s="3" t="s">
        <v>30</v>
      </c>
      <c r="N820" s="3">
        <v>49.0</v>
      </c>
      <c r="O820" s="3" t="s">
        <v>22</v>
      </c>
      <c r="P820" s="3" t="s">
        <v>31</v>
      </c>
      <c r="Q820" s="6">
        <f t="shared" si="3"/>
        <v>910000</v>
      </c>
    </row>
    <row r="821">
      <c r="A821" s="3">
        <v>65537.0</v>
      </c>
      <c r="B821" s="3" t="s">
        <v>693</v>
      </c>
      <c r="C821" s="3" t="s">
        <v>35</v>
      </c>
      <c r="D821" s="4" t="str">
        <f t="shared" si="1"/>
        <v>Ms.</v>
      </c>
      <c r="E821" s="3" t="str">
        <f t="shared" si="4"/>
        <v>Ms. Siya Kulkarni</v>
      </c>
      <c r="F821" s="3" t="str">
        <f>IFERROR(__xludf.DUMMYFUNCTION("SPLIT(B821,"" "")"),"Siya")</f>
        <v>Siya</v>
      </c>
      <c r="G821" s="3" t="str">
        <f>IFERROR(__xludf.DUMMYFUNCTION("""COMPUTED_VALUE"""),"Kulkarni")</f>
        <v>Kulkarni</v>
      </c>
      <c r="H821" s="3" t="s">
        <v>25</v>
      </c>
      <c r="I821" s="3">
        <v>2026.0</v>
      </c>
      <c r="J821" s="3">
        <f t="shared" si="2"/>
        <v>10000</v>
      </c>
      <c r="K821" s="3" t="s">
        <v>26</v>
      </c>
      <c r="L821" s="3">
        <v>1399.0</v>
      </c>
      <c r="M821" s="3" t="s">
        <v>21</v>
      </c>
      <c r="N821" s="3">
        <v>19.0</v>
      </c>
      <c r="O821" s="3" t="s">
        <v>22</v>
      </c>
      <c r="P821" s="3" t="s">
        <v>28</v>
      </c>
      <c r="Q821" s="6">
        <f t="shared" si="3"/>
        <v>400000</v>
      </c>
    </row>
    <row r="822">
      <c r="A822" s="3">
        <v>65538.0</v>
      </c>
      <c r="B822" s="3" t="s">
        <v>694</v>
      </c>
      <c r="C822" s="3" t="s">
        <v>18</v>
      </c>
      <c r="D822" s="4" t="str">
        <f t="shared" si="1"/>
        <v>Mr.</v>
      </c>
      <c r="E822" s="3" t="str">
        <f t="shared" si="4"/>
        <v>Mr. Yashvi Sharma</v>
      </c>
      <c r="F822" s="3" t="str">
        <f>IFERROR(__xludf.DUMMYFUNCTION("SPLIT(B822,"" "")"),"Yashvi")</f>
        <v>Yashvi</v>
      </c>
      <c r="G822" s="3" t="str">
        <f>IFERROR(__xludf.DUMMYFUNCTION("""COMPUTED_VALUE"""),"Sharma")</f>
        <v>Sharma</v>
      </c>
      <c r="H822" s="3" t="s">
        <v>33</v>
      </c>
      <c r="I822" s="3">
        <v>2024.0</v>
      </c>
      <c r="J822" s="3">
        <f t="shared" si="2"/>
        <v>10000</v>
      </c>
      <c r="K822" s="3" t="s">
        <v>20</v>
      </c>
      <c r="L822" s="3">
        <v>0.0</v>
      </c>
      <c r="M822" s="3" t="s">
        <v>21</v>
      </c>
      <c r="N822" s="3">
        <f t="shared" ref="N822:N823" si="38">RANDBETWEEN(0,10)</f>
        <v>7</v>
      </c>
      <c r="O822" s="3" t="s">
        <v>22</v>
      </c>
      <c r="P822" s="3" t="s">
        <v>31</v>
      </c>
      <c r="Q822" s="6">
        <f t="shared" si="3"/>
        <v>910000</v>
      </c>
    </row>
    <row r="823">
      <c r="A823" s="3">
        <v>65539.0</v>
      </c>
      <c r="B823" s="3" t="s">
        <v>695</v>
      </c>
      <c r="C823" s="3" t="s">
        <v>35</v>
      </c>
      <c r="D823" s="4" t="str">
        <f t="shared" si="1"/>
        <v>Ms.</v>
      </c>
      <c r="E823" s="3" t="str">
        <f t="shared" si="4"/>
        <v>Ms. Eva Reddy</v>
      </c>
      <c r="F823" s="3" t="str">
        <f>IFERROR(__xludf.DUMMYFUNCTION("SPLIT(B823,"" "")"),"Eva")</f>
        <v>Eva</v>
      </c>
      <c r="G823" s="3" t="str">
        <f>IFERROR(__xludf.DUMMYFUNCTION("""COMPUTED_VALUE"""),"Reddy")</f>
        <v>Reddy</v>
      </c>
      <c r="H823" s="3" t="s">
        <v>25</v>
      </c>
      <c r="I823" s="3">
        <v>2024.0</v>
      </c>
      <c r="J823" s="3">
        <f t="shared" si="2"/>
        <v>10000</v>
      </c>
      <c r="K823" s="3" t="s">
        <v>20</v>
      </c>
      <c r="L823" s="3">
        <v>320.0</v>
      </c>
      <c r="M823" s="3" t="s">
        <v>21</v>
      </c>
      <c r="N823" s="3">
        <f t="shared" si="38"/>
        <v>0</v>
      </c>
      <c r="O823" s="3" t="s">
        <v>41</v>
      </c>
      <c r="P823" s="3" t="s">
        <v>31</v>
      </c>
      <c r="Q823" s="6">
        <f t="shared" si="3"/>
        <v>910000</v>
      </c>
    </row>
    <row r="824">
      <c r="A824" s="3">
        <v>65540.0</v>
      </c>
      <c r="B824" s="3" t="s">
        <v>32</v>
      </c>
      <c r="C824" s="3" t="s">
        <v>18</v>
      </c>
      <c r="D824" s="4" t="str">
        <f t="shared" si="1"/>
        <v>Mr.</v>
      </c>
      <c r="E824" s="3" t="str">
        <f t="shared" si="4"/>
        <v>Mr. Samarth Iyer</v>
      </c>
      <c r="F824" s="3" t="str">
        <f>IFERROR(__xludf.DUMMYFUNCTION("SPLIT(B824,"" "")"),"Samarth")</f>
        <v>Samarth</v>
      </c>
      <c r="G824" s="3" t="str">
        <f>IFERROR(__xludf.DUMMYFUNCTION("""COMPUTED_VALUE"""),"Iyer")</f>
        <v>Iyer</v>
      </c>
      <c r="H824" s="3" t="s">
        <v>46</v>
      </c>
      <c r="I824" s="3">
        <v>2028.0</v>
      </c>
      <c r="J824" s="3">
        <f t="shared" si="2"/>
        <v>5000</v>
      </c>
      <c r="K824" s="3" t="s">
        <v>20</v>
      </c>
      <c r="L824" s="3">
        <v>13.0</v>
      </c>
      <c r="M824" s="3" t="s">
        <v>21</v>
      </c>
      <c r="N824" s="3">
        <v>68.0</v>
      </c>
      <c r="O824" s="3" t="s">
        <v>41</v>
      </c>
      <c r="P824" s="3" t="s">
        <v>23</v>
      </c>
      <c r="Q824" s="6">
        <f t="shared" si="3"/>
        <v>430000</v>
      </c>
    </row>
    <row r="825">
      <c r="A825" s="3">
        <v>65544.0</v>
      </c>
      <c r="B825" s="3" t="s">
        <v>696</v>
      </c>
      <c r="C825" s="3" t="s">
        <v>18</v>
      </c>
      <c r="D825" s="4" t="str">
        <f t="shared" si="1"/>
        <v>Mr.</v>
      </c>
      <c r="E825" s="3" t="str">
        <f t="shared" si="4"/>
        <v>Mr. Om Iyer</v>
      </c>
      <c r="F825" s="3" t="str">
        <f>IFERROR(__xludf.DUMMYFUNCTION("SPLIT(B825,"" "")"),"Om")</f>
        <v>Om</v>
      </c>
      <c r="G825" s="3" t="str">
        <f>IFERROR(__xludf.DUMMYFUNCTION("""COMPUTED_VALUE"""),"Iyer")</f>
        <v>Iyer</v>
      </c>
      <c r="H825" s="3" t="s">
        <v>33</v>
      </c>
      <c r="I825" s="3">
        <v>2018.0</v>
      </c>
      <c r="J825" s="3">
        <f t="shared" si="2"/>
        <v>10000</v>
      </c>
      <c r="K825" s="3" t="s">
        <v>20</v>
      </c>
      <c r="L825" s="3">
        <v>0.0</v>
      </c>
      <c r="M825" s="3" t="s">
        <v>21</v>
      </c>
      <c r="N825" s="3">
        <f>RANDBETWEEN(0,10)</f>
        <v>7</v>
      </c>
      <c r="O825" s="3" t="s">
        <v>22</v>
      </c>
      <c r="P825" s="3" t="s">
        <v>31</v>
      </c>
      <c r="Q825" s="6">
        <f t="shared" si="3"/>
        <v>910000</v>
      </c>
    </row>
    <row r="826">
      <c r="A826" s="3">
        <v>65546.0</v>
      </c>
      <c r="B826" s="3" t="s">
        <v>697</v>
      </c>
      <c r="C826" s="3" t="s">
        <v>35</v>
      </c>
      <c r="D826" s="4" t="str">
        <f t="shared" si="1"/>
        <v>Ms.</v>
      </c>
      <c r="E826" s="3" t="str">
        <f t="shared" si="4"/>
        <v>Ms. Aarohi Agarwal</v>
      </c>
      <c r="F826" s="3" t="str">
        <f>IFERROR(__xludf.DUMMYFUNCTION("SPLIT(B826,"" "")"),"Aarohi")</f>
        <v>Aarohi</v>
      </c>
      <c r="G826" s="3" t="str">
        <f>IFERROR(__xludf.DUMMYFUNCTION("""COMPUTED_VALUE"""),"Agarwal")</f>
        <v>Agarwal</v>
      </c>
      <c r="H826" s="3" t="s">
        <v>46</v>
      </c>
      <c r="I826" s="3">
        <v>2018.0</v>
      </c>
      <c r="J826" s="3">
        <f t="shared" si="2"/>
        <v>5000</v>
      </c>
      <c r="K826" s="3" t="s">
        <v>20</v>
      </c>
      <c r="L826" s="3">
        <v>0.0</v>
      </c>
      <c r="M826" s="3" t="s">
        <v>21</v>
      </c>
      <c r="N826" s="3">
        <v>69.0</v>
      </c>
      <c r="O826" s="3" t="s">
        <v>22</v>
      </c>
      <c r="P826" s="3" t="s">
        <v>38</v>
      </c>
      <c r="Q826" s="6">
        <f t="shared" si="3"/>
        <v>635000</v>
      </c>
    </row>
    <row r="827">
      <c r="A827" s="3">
        <v>65547.0</v>
      </c>
      <c r="B827" s="3" t="s">
        <v>575</v>
      </c>
      <c r="C827" s="3" t="s">
        <v>35</v>
      </c>
      <c r="D827" s="4" t="str">
        <f t="shared" si="1"/>
        <v>Ms.</v>
      </c>
      <c r="E827" s="3" t="str">
        <f t="shared" si="4"/>
        <v>Ms. Manya Naidu</v>
      </c>
      <c r="F827" s="3" t="str">
        <f>IFERROR(__xludf.DUMMYFUNCTION("SPLIT(B827,"" "")"),"Manya")</f>
        <v>Manya</v>
      </c>
      <c r="G827" s="3" t="str">
        <f>IFERROR(__xludf.DUMMYFUNCTION("""COMPUTED_VALUE"""),"Naidu")</f>
        <v>Naidu</v>
      </c>
      <c r="H827" s="3" t="s">
        <v>25</v>
      </c>
      <c r="I827" s="3">
        <v>2026.0</v>
      </c>
      <c r="J827" s="3">
        <f t="shared" si="2"/>
        <v>10000</v>
      </c>
      <c r="K827" s="3" t="s">
        <v>26</v>
      </c>
      <c r="L827" s="3">
        <v>3081.0</v>
      </c>
      <c r="M827" s="3" t="s">
        <v>21</v>
      </c>
      <c r="N827" s="3">
        <v>67.0</v>
      </c>
      <c r="O827" s="3" t="s">
        <v>41</v>
      </c>
      <c r="P827" s="3" t="s">
        <v>31</v>
      </c>
      <c r="Q827" s="6">
        <f t="shared" si="3"/>
        <v>910000</v>
      </c>
    </row>
    <row r="828">
      <c r="A828" s="3">
        <v>65548.0</v>
      </c>
      <c r="B828" s="3" t="s">
        <v>698</v>
      </c>
      <c r="C828" s="3" t="s">
        <v>35</v>
      </c>
      <c r="D828" s="4" t="str">
        <f t="shared" si="1"/>
        <v>Ms.</v>
      </c>
      <c r="E828" s="3" t="str">
        <f t="shared" si="4"/>
        <v>Ms. Vanya Mehta</v>
      </c>
      <c r="F828" s="3" t="str">
        <f>IFERROR(__xludf.DUMMYFUNCTION("SPLIT(B828,"" "")"),"Vanya")</f>
        <v>Vanya</v>
      </c>
      <c r="G828" s="3" t="str">
        <f>IFERROR(__xludf.DUMMYFUNCTION("""COMPUTED_VALUE"""),"Mehta")</f>
        <v>Mehta</v>
      </c>
      <c r="H828" s="3" t="s">
        <v>19</v>
      </c>
      <c r="I828" s="3">
        <v>2026.0</v>
      </c>
      <c r="J828" s="3">
        <f t="shared" si="2"/>
        <v>5000</v>
      </c>
      <c r="K828" s="3" t="s">
        <v>20</v>
      </c>
      <c r="L828" s="3">
        <v>0.0</v>
      </c>
      <c r="M828" s="3" t="s">
        <v>21</v>
      </c>
      <c r="N828" s="3">
        <f t="shared" ref="N828:N830" si="39">RANDBETWEEN(0,10)</f>
        <v>3</v>
      </c>
      <c r="O828" s="3" t="s">
        <v>22</v>
      </c>
      <c r="P828" s="3" t="s">
        <v>31</v>
      </c>
      <c r="Q828" s="6">
        <f t="shared" si="3"/>
        <v>910000</v>
      </c>
    </row>
    <row r="829">
      <c r="A829" s="3">
        <v>65549.0</v>
      </c>
      <c r="B829" s="3" t="s">
        <v>699</v>
      </c>
      <c r="C829" s="3" t="s">
        <v>18</v>
      </c>
      <c r="D829" s="4" t="str">
        <f t="shared" si="1"/>
        <v>Mr.</v>
      </c>
      <c r="E829" s="3" t="str">
        <f t="shared" si="4"/>
        <v>Mr. Laksh Prasad</v>
      </c>
      <c r="F829" s="3" t="str">
        <f>IFERROR(__xludf.DUMMYFUNCTION("SPLIT(B829,"" "")"),"Laksh")</f>
        <v>Laksh</v>
      </c>
      <c r="G829" s="3" t="str">
        <f>IFERROR(__xludf.DUMMYFUNCTION("""COMPUTED_VALUE"""),"Prasad")</f>
        <v>Prasad</v>
      </c>
      <c r="H829" s="3" t="s">
        <v>25</v>
      </c>
      <c r="I829" s="3">
        <v>2026.0</v>
      </c>
      <c r="J829" s="3">
        <f t="shared" si="2"/>
        <v>10000</v>
      </c>
      <c r="K829" s="3" t="s">
        <v>20</v>
      </c>
      <c r="L829" s="3">
        <v>0.0</v>
      </c>
      <c r="M829" s="3" t="s">
        <v>21</v>
      </c>
      <c r="N829" s="3">
        <f t="shared" si="39"/>
        <v>9</v>
      </c>
      <c r="O829" s="3" t="s">
        <v>22</v>
      </c>
      <c r="P829" s="3" t="s">
        <v>31</v>
      </c>
      <c r="Q829" s="6">
        <f t="shared" si="3"/>
        <v>910000</v>
      </c>
    </row>
    <row r="830">
      <c r="A830" s="3">
        <v>65550.0</v>
      </c>
      <c r="B830" s="3" t="s">
        <v>700</v>
      </c>
      <c r="C830" s="3" t="s">
        <v>35</v>
      </c>
      <c r="D830" s="4" t="str">
        <f t="shared" si="1"/>
        <v>Ms.</v>
      </c>
      <c r="E830" s="3" t="str">
        <f t="shared" si="4"/>
        <v>Ms. Mahira Desai</v>
      </c>
      <c r="F830" s="3" t="str">
        <f>IFERROR(__xludf.DUMMYFUNCTION("SPLIT(B830,"" "")"),"Mahira")</f>
        <v>Mahira</v>
      </c>
      <c r="G830" s="3" t="str">
        <f>IFERROR(__xludf.DUMMYFUNCTION("""COMPUTED_VALUE"""),"Desai")</f>
        <v>Desai</v>
      </c>
      <c r="H830" s="3" t="s">
        <v>25</v>
      </c>
      <c r="I830" s="3">
        <v>2027.0</v>
      </c>
      <c r="J830" s="3">
        <f t="shared" si="2"/>
        <v>10000</v>
      </c>
      <c r="K830" s="3" t="s">
        <v>20</v>
      </c>
      <c r="L830" s="3">
        <v>0.0</v>
      </c>
      <c r="M830" s="3" t="s">
        <v>21</v>
      </c>
      <c r="N830" s="3">
        <f t="shared" si="39"/>
        <v>9</v>
      </c>
      <c r="O830" s="3" t="s">
        <v>22</v>
      </c>
      <c r="P830" s="3" t="s">
        <v>78</v>
      </c>
      <c r="Q830" s="6">
        <f t="shared" si="3"/>
        <v>255000</v>
      </c>
    </row>
    <row r="831">
      <c r="A831" s="3">
        <v>65551.0</v>
      </c>
      <c r="B831" s="3" t="s">
        <v>651</v>
      </c>
      <c r="C831" s="3" t="s">
        <v>35</v>
      </c>
      <c r="D831" s="4" t="str">
        <f t="shared" si="1"/>
        <v>Ms.</v>
      </c>
      <c r="E831" s="3" t="str">
        <f t="shared" si="4"/>
        <v>Ms. Anaya Reddy</v>
      </c>
      <c r="F831" s="3" t="str">
        <f>IFERROR(__xludf.DUMMYFUNCTION("SPLIT(B831,"" "")"),"Anaya")</f>
        <v>Anaya</v>
      </c>
      <c r="G831" s="3" t="str">
        <f>IFERROR(__xludf.DUMMYFUNCTION("""COMPUTED_VALUE"""),"Reddy")</f>
        <v>Reddy</v>
      </c>
      <c r="H831" s="3" t="s">
        <v>19</v>
      </c>
      <c r="I831" s="3">
        <v>2021.0</v>
      </c>
      <c r="J831" s="3">
        <f t="shared" si="2"/>
        <v>5000</v>
      </c>
      <c r="K831" s="3" t="s">
        <v>20</v>
      </c>
      <c r="L831" s="10">
        <v>7430.0</v>
      </c>
      <c r="M831" s="3" t="s">
        <v>21</v>
      </c>
      <c r="N831" s="3">
        <v>52.0</v>
      </c>
      <c r="O831" s="3" t="s">
        <v>22</v>
      </c>
      <c r="P831" s="3" t="s">
        <v>38</v>
      </c>
      <c r="Q831" s="6">
        <f t="shared" si="3"/>
        <v>635000</v>
      </c>
    </row>
    <row r="832">
      <c r="A832" s="3">
        <v>65552.0</v>
      </c>
      <c r="B832" s="3" t="s">
        <v>679</v>
      </c>
      <c r="C832" s="3" t="s">
        <v>35</v>
      </c>
      <c r="D832" s="4" t="str">
        <f t="shared" si="1"/>
        <v>Ms.</v>
      </c>
      <c r="E832" s="3" t="str">
        <f t="shared" si="4"/>
        <v>Ms. Myra Desai</v>
      </c>
      <c r="F832" s="3" t="str">
        <f>IFERROR(__xludf.DUMMYFUNCTION("SPLIT(B832,"" "")"),"Myra")</f>
        <v>Myra</v>
      </c>
      <c r="G832" s="3" t="str">
        <f>IFERROR(__xludf.DUMMYFUNCTION("""COMPUTED_VALUE"""),"Desai")</f>
        <v>Desai</v>
      </c>
      <c r="H832" s="3" t="s">
        <v>33</v>
      </c>
      <c r="I832" s="3">
        <v>2021.0</v>
      </c>
      <c r="J832" s="3">
        <f t="shared" si="2"/>
        <v>10000</v>
      </c>
      <c r="K832" s="3" t="s">
        <v>26</v>
      </c>
      <c r="L832" s="3">
        <v>923.0</v>
      </c>
      <c r="M832" s="3" t="s">
        <v>21</v>
      </c>
      <c r="N832" s="3">
        <f>RANDBETWEEN(0,10)</f>
        <v>4</v>
      </c>
      <c r="O832" s="3" t="s">
        <v>22</v>
      </c>
      <c r="P832" s="3" t="s">
        <v>31</v>
      </c>
      <c r="Q832" s="6">
        <f t="shared" si="3"/>
        <v>910000</v>
      </c>
    </row>
    <row r="833">
      <c r="A833" s="3">
        <v>65553.0</v>
      </c>
      <c r="B833" s="3" t="s">
        <v>701</v>
      </c>
      <c r="C833" s="3" t="s">
        <v>35</v>
      </c>
      <c r="D833" s="4" t="str">
        <f t="shared" si="1"/>
        <v>Ms.</v>
      </c>
      <c r="E833" s="3" t="str">
        <f t="shared" si="4"/>
        <v>Ms. Aaradhya Bhat</v>
      </c>
      <c r="F833" s="3" t="str">
        <f>IFERROR(__xludf.DUMMYFUNCTION("SPLIT(B833,"" "")"),"Aaradhya")</f>
        <v>Aaradhya</v>
      </c>
      <c r="G833" s="3" t="str">
        <f>IFERROR(__xludf.DUMMYFUNCTION("""COMPUTED_VALUE"""),"Bhat")</f>
        <v>Bhat</v>
      </c>
      <c r="H833" s="3" t="s">
        <v>25</v>
      </c>
      <c r="I833" s="3">
        <v>2021.0</v>
      </c>
      <c r="J833" s="3">
        <f t="shared" si="2"/>
        <v>10000</v>
      </c>
      <c r="K833" s="3" t="s">
        <v>26</v>
      </c>
      <c r="L833" s="3">
        <v>21920.0</v>
      </c>
      <c r="M833" s="3" t="s">
        <v>21</v>
      </c>
      <c r="N833" s="3">
        <v>43.0</v>
      </c>
      <c r="O833" s="3" t="s">
        <v>22</v>
      </c>
      <c r="P833" s="3" t="s">
        <v>23</v>
      </c>
      <c r="Q833" s="6">
        <f t="shared" si="3"/>
        <v>430000</v>
      </c>
    </row>
    <row r="834">
      <c r="A834" s="3">
        <v>65554.0</v>
      </c>
      <c r="B834" s="3" t="s">
        <v>377</v>
      </c>
      <c r="C834" s="3" t="s">
        <v>35</v>
      </c>
      <c r="D834" s="4" t="str">
        <f t="shared" si="1"/>
        <v>Ms.</v>
      </c>
      <c r="E834" s="3" t="str">
        <f t="shared" si="4"/>
        <v>Ms. Siya Bhatt</v>
      </c>
      <c r="F834" s="3" t="str">
        <f>IFERROR(__xludf.DUMMYFUNCTION("SPLIT(B834,"" "")"),"Siya")</f>
        <v>Siya</v>
      </c>
      <c r="G834" s="3" t="str">
        <f>IFERROR(__xludf.DUMMYFUNCTION("""COMPUTED_VALUE"""),"Bhatt")</f>
        <v>Bhatt</v>
      </c>
      <c r="H834" s="3" t="s">
        <v>33</v>
      </c>
      <c r="I834" s="3">
        <v>2019.0</v>
      </c>
      <c r="J834" s="3">
        <f t="shared" si="2"/>
        <v>10000</v>
      </c>
      <c r="K834" s="3" t="s">
        <v>20</v>
      </c>
      <c r="L834" s="3">
        <v>0.0</v>
      </c>
      <c r="M834" s="3" t="s">
        <v>21</v>
      </c>
      <c r="N834" s="3">
        <v>3.0</v>
      </c>
      <c r="O834" s="3" t="s">
        <v>22</v>
      </c>
      <c r="P834" s="3" t="s">
        <v>31</v>
      </c>
      <c r="Q834" s="6">
        <f t="shared" si="3"/>
        <v>910000</v>
      </c>
    </row>
    <row r="835">
      <c r="A835" s="3">
        <v>65555.0</v>
      </c>
      <c r="B835" s="3" t="s">
        <v>111</v>
      </c>
      <c r="C835" s="3" t="s">
        <v>18</v>
      </c>
      <c r="D835" s="4" t="str">
        <f t="shared" si="1"/>
        <v>Mr.</v>
      </c>
      <c r="E835" s="3" t="str">
        <f t="shared" si="4"/>
        <v>Mr. Shaurya Mishra</v>
      </c>
      <c r="F835" s="3" t="str">
        <f>IFERROR(__xludf.DUMMYFUNCTION("SPLIT(B835,"" "")"),"Shaurya")</f>
        <v>Shaurya</v>
      </c>
      <c r="G835" s="3" t="str">
        <f>IFERROR(__xludf.DUMMYFUNCTION("""COMPUTED_VALUE"""),"Mishra")</f>
        <v>Mishra</v>
      </c>
      <c r="H835" s="3" t="s">
        <v>33</v>
      </c>
      <c r="I835" s="3">
        <v>2019.0</v>
      </c>
      <c r="J835" s="3">
        <f t="shared" si="2"/>
        <v>10000</v>
      </c>
      <c r="K835" s="3" t="s">
        <v>20</v>
      </c>
      <c r="L835" s="3">
        <v>25.0</v>
      </c>
      <c r="M835" s="3" t="s">
        <v>21</v>
      </c>
      <c r="N835" s="3">
        <v>55.0</v>
      </c>
      <c r="O835" s="3" t="s">
        <v>22</v>
      </c>
      <c r="P835" s="3" t="s">
        <v>31</v>
      </c>
      <c r="Q835" s="6">
        <f t="shared" si="3"/>
        <v>910000</v>
      </c>
    </row>
    <row r="836">
      <c r="A836" s="3">
        <v>65556.0</v>
      </c>
      <c r="B836" s="3" t="s">
        <v>702</v>
      </c>
      <c r="C836" s="3" t="s">
        <v>18</v>
      </c>
      <c r="D836" s="4" t="str">
        <f t="shared" si="1"/>
        <v>Mr.</v>
      </c>
      <c r="E836" s="3" t="str">
        <f t="shared" si="4"/>
        <v>Mr. Anirudh Bhatt</v>
      </c>
      <c r="F836" s="3" t="str">
        <f>IFERROR(__xludf.DUMMYFUNCTION("SPLIT(B836,"" "")"),"Anirudh")</f>
        <v>Anirudh</v>
      </c>
      <c r="G836" s="3" t="str">
        <f>IFERROR(__xludf.DUMMYFUNCTION("""COMPUTED_VALUE"""),"Bhatt")</f>
        <v>Bhatt</v>
      </c>
      <c r="H836" s="3" t="s">
        <v>33</v>
      </c>
      <c r="I836" s="3">
        <v>2025.0</v>
      </c>
      <c r="J836" s="3">
        <f t="shared" si="2"/>
        <v>10000</v>
      </c>
      <c r="K836" s="3" t="s">
        <v>20</v>
      </c>
      <c r="L836" s="3">
        <v>0.0</v>
      </c>
      <c r="M836" s="3" t="s">
        <v>21</v>
      </c>
      <c r="N836" s="3">
        <v>35.0</v>
      </c>
      <c r="O836" s="3" t="s">
        <v>22</v>
      </c>
      <c r="P836" s="3" t="s">
        <v>23</v>
      </c>
      <c r="Q836" s="6">
        <f t="shared" si="3"/>
        <v>430000</v>
      </c>
    </row>
    <row r="837">
      <c r="A837" s="3">
        <v>65557.0</v>
      </c>
      <c r="B837" s="3" t="s">
        <v>497</v>
      </c>
      <c r="C837" s="3" t="s">
        <v>35</v>
      </c>
      <c r="D837" s="4" t="str">
        <f t="shared" si="1"/>
        <v>Ms.</v>
      </c>
      <c r="E837" s="3" t="str">
        <f t="shared" si="4"/>
        <v>Ms. Aaradhya Das</v>
      </c>
      <c r="F837" s="3" t="str">
        <f>IFERROR(__xludf.DUMMYFUNCTION("SPLIT(B837,"" "")"),"Aaradhya")</f>
        <v>Aaradhya</v>
      </c>
      <c r="G837" s="3" t="str">
        <f>IFERROR(__xludf.DUMMYFUNCTION("""COMPUTED_VALUE"""),"Das")</f>
        <v>Das</v>
      </c>
      <c r="H837" s="3" t="s">
        <v>25</v>
      </c>
      <c r="I837" s="3">
        <v>2025.0</v>
      </c>
      <c r="J837" s="3">
        <f t="shared" si="2"/>
        <v>10000</v>
      </c>
      <c r="K837" s="3" t="s">
        <v>20</v>
      </c>
      <c r="L837" s="3">
        <v>0.0</v>
      </c>
      <c r="M837" s="3" t="s">
        <v>30</v>
      </c>
      <c r="N837" s="3">
        <f>RANDBETWEEN(0,10)</f>
        <v>0</v>
      </c>
      <c r="O837" s="3" t="s">
        <v>22</v>
      </c>
      <c r="P837" s="3" t="s">
        <v>31</v>
      </c>
      <c r="Q837" s="6">
        <f t="shared" si="3"/>
        <v>910000</v>
      </c>
    </row>
    <row r="838">
      <c r="A838" s="3">
        <v>65558.0</v>
      </c>
      <c r="B838" s="3" t="s">
        <v>568</v>
      </c>
      <c r="C838" s="3" t="s">
        <v>35</v>
      </c>
      <c r="D838" s="4" t="str">
        <f t="shared" si="1"/>
        <v>Ms.</v>
      </c>
      <c r="E838" s="3" t="str">
        <f t="shared" si="4"/>
        <v>Ms. Sara Joshi</v>
      </c>
      <c r="F838" s="3" t="str">
        <f>IFERROR(__xludf.DUMMYFUNCTION("SPLIT(B838,"" "")"),"Sara")</f>
        <v>Sara</v>
      </c>
      <c r="G838" s="3" t="str">
        <f>IFERROR(__xludf.DUMMYFUNCTION("""COMPUTED_VALUE"""),"Joshi")</f>
        <v>Joshi</v>
      </c>
      <c r="H838" s="3" t="s">
        <v>46</v>
      </c>
      <c r="I838" s="3">
        <v>2028.0</v>
      </c>
      <c r="J838" s="3">
        <f t="shared" si="2"/>
        <v>5000</v>
      </c>
      <c r="K838" s="3" t="s">
        <v>20</v>
      </c>
      <c r="L838" s="3">
        <v>0.0</v>
      </c>
      <c r="M838" s="3" t="s">
        <v>21</v>
      </c>
      <c r="N838" s="3">
        <v>58.0</v>
      </c>
      <c r="O838" s="3" t="s">
        <v>22</v>
      </c>
      <c r="P838" s="3" t="s">
        <v>31</v>
      </c>
      <c r="Q838" s="6">
        <f t="shared" si="3"/>
        <v>910000</v>
      </c>
    </row>
    <row r="839">
      <c r="A839" s="3">
        <v>65559.0</v>
      </c>
      <c r="B839" s="3" t="s">
        <v>703</v>
      </c>
      <c r="C839" s="3" t="s">
        <v>35</v>
      </c>
      <c r="D839" s="4" t="str">
        <f t="shared" si="1"/>
        <v>Ms.</v>
      </c>
      <c r="E839" s="3" t="str">
        <f t="shared" si="4"/>
        <v>Ms. Manya Reddy</v>
      </c>
      <c r="F839" s="3" t="str">
        <f>IFERROR(__xludf.DUMMYFUNCTION("SPLIT(B839,"" "")"),"Manya")</f>
        <v>Manya</v>
      </c>
      <c r="G839" s="3" t="str">
        <f>IFERROR(__xludf.DUMMYFUNCTION("""COMPUTED_VALUE"""),"Reddy")</f>
        <v>Reddy</v>
      </c>
      <c r="H839" s="3" t="s">
        <v>19</v>
      </c>
      <c r="I839" s="3">
        <v>2023.0</v>
      </c>
      <c r="J839" s="3">
        <f t="shared" si="2"/>
        <v>5000</v>
      </c>
      <c r="K839" s="3" t="s">
        <v>20</v>
      </c>
      <c r="L839" s="3">
        <v>0.0</v>
      </c>
      <c r="M839" s="3" t="s">
        <v>21</v>
      </c>
      <c r="N839" s="3">
        <v>9.0</v>
      </c>
      <c r="O839" s="3" t="s">
        <v>22</v>
      </c>
      <c r="P839" s="3" t="s">
        <v>31</v>
      </c>
      <c r="Q839" s="6">
        <f t="shared" si="3"/>
        <v>910000</v>
      </c>
    </row>
    <row r="840">
      <c r="A840" s="3">
        <v>65560.0</v>
      </c>
      <c r="B840" s="3" t="s">
        <v>704</v>
      </c>
      <c r="C840" s="3" t="s">
        <v>35</v>
      </c>
      <c r="D840" s="4" t="str">
        <f t="shared" si="1"/>
        <v>Ms.</v>
      </c>
      <c r="E840" s="3" t="str">
        <f t="shared" si="4"/>
        <v>Ms. Manya Thakur</v>
      </c>
      <c r="F840" s="3" t="str">
        <f>IFERROR(__xludf.DUMMYFUNCTION("SPLIT(B840,"" "")"),"Manya")</f>
        <v>Manya</v>
      </c>
      <c r="G840" s="3" t="str">
        <f>IFERROR(__xludf.DUMMYFUNCTION("""COMPUTED_VALUE"""),"Thakur")</f>
        <v>Thakur</v>
      </c>
      <c r="H840" s="3" t="s">
        <v>19</v>
      </c>
      <c r="I840" s="3">
        <v>2023.0</v>
      </c>
      <c r="J840" s="3">
        <f t="shared" si="2"/>
        <v>5000</v>
      </c>
      <c r="K840" s="3" t="s">
        <v>26</v>
      </c>
      <c r="L840" s="3">
        <v>11736.0</v>
      </c>
      <c r="M840" s="3" t="s">
        <v>21</v>
      </c>
      <c r="N840" s="3">
        <v>20.0</v>
      </c>
      <c r="O840" s="3" t="s">
        <v>22</v>
      </c>
      <c r="P840" s="3" t="s">
        <v>23</v>
      </c>
      <c r="Q840" s="6">
        <f t="shared" si="3"/>
        <v>430000</v>
      </c>
    </row>
    <row r="841">
      <c r="A841" s="3">
        <v>65561.0</v>
      </c>
      <c r="B841" s="3" t="s">
        <v>705</v>
      </c>
      <c r="C841" s="3" t="s">
        <v>35</v>
      </c>
      <c r="D841" s="4" t="str">
        <f t="shared" si="1"/>
        <v>Ms.</v>
      </c>
      <c r="E841" s="3" t="str">
        <f t="shared" si="4"/>
        <v>Ms. Kyra Nair</v>
      </c>
      <c r="F841" s="3" t="str">
        <f>IFERROR(__xludf.DUMMYFUNCTION("SPLIT(B841,"" "")"),"Kyra")</f>
        <v>Kyra</v>
      </c>
      <c r="G841" s="3" t="str">
        <f>IFERROR(__xludf.DUMMYFUNCTION("""COMPUTED_VALUE"""),"Nair")</f>
        <v>Nair</v>
      </c>
      <c r="H841" s="3" t="s">
        <v>46</v>
      </c>
      <c r="I841" s="3">
        <v>2027.0</v>
      </c>
      <c r="J841" s="3">
        <f t="shared" si="2"/>
        <v>5000</v>
      </c>
      <c r="K841" s="3" t="s">
        <v>20</v>
      </c>
      <c r="L841" s="3">
        <v>0.0</v>
      </c>
      <c r="M841" s="3" t="s">
        <v>21</v>
      </c>
      <c r="N841" s="3">
        <f>RANDBETWEEN(0,10)</f>
        <v>0</v>
      </c>
      <c r="O841" s="3" t="s">
        <v>22</v>
      </c>
      <c r="P841" s="3" t="s">
        <v>78</v>
      </c>
      <c r="Q841" s="6">
        <f t="shared" si="3"/>
        <v>255000</v>
      </c>
    </row>
    <row r="842">
      <c r="A842" s="3">
        <v>65562.0</v>
      </c>
      <c r="B842" s="3" t="s">
        <v>118</v>
      </c>
      <c r="C842" s="3" t="s">
        <v>18</v>
      </c>
      <c r="D842" s="4" t="str">
        <f t="shared" si="1"/>
        <v>Mr.</v>
      </c>
      <c r="E842" s="3" t="str">
        <f t="shared" si="4"/>
        <v>Mr. Vivaan Patel</v>
      </c>
      <c r="F842" s="3" t="str">
        <f>IFERROR(__xludf.DUMMYFUNCTION("SPLIT(B842,"" "")"),"Vivaan")</f>
        <v>Vivaan</v>
      </c>
      <c r="G842" s="3" t="str">
        <f>IFERROR(__xludf.DUMMYFUNCTION("""COMPUTED_VALUE"""),"Patel")</f>
        <v>Patel</v>
      </c>
      <c r="H842" s="3" t="s">
        <v>25</v>
      </c>
      <c r="I842" s="3">
        <v>2027.0</v>
      </c>
      <c r="J842" s="3">
        <f t="shared" si="2"/>
        <v>10000</v>
      </c>
      <c r="K842" s="3" t="s">
        <v>20</v>
      </c>
      <c r="L842" s="3">
        <v>0.0</v>
      </c>
      <c r="M842" s="3" t="s">
        <v>21</v>
      </c>
      <c r="N842" s="3">
        <v>11.0</v>
      </c>
      <c r="O842" s="3" t="s">
        <v>22</v>
      </c>
      <c r="P842" s="3" t="s">
        <v>23</v>
      </c>
      <c r="Q842" s="6">
        <f t="shared" si="3"/>
        <v>430000</v>
      </c>
    </row>
    <row r="843">
      <c r="A843" s="3">
        <v>65563.0</v>
      </c>
      <c r="B843" s="3" t="s">
        <v>232</v>
      </c>
      <c r="C843" s="3" t="s">
        <v>35</v>
      </c>
      <c r="D843" s="4" t="str">
        <f t="shared" si="1"/>
        <v>Ms.</v>
      </c>
      <c r="E843" s="3" t="str">
        <f t="shared" si="4"/>
        <v>Ms. Inaaya Nair</v>
      </c>
      <c r="F843" s="3" t="str">
        <f>IFERROR(__xludf.DUMMYFUNCTION("SPLIT(B843,"" "")"),"Inaaya")</f>
        <v>Inaaya</v>
      </c>
      <c r="G843" s="3" t="str">
        <f>IFERROR(__xludf.DUMMYFUNCTION("""COMPUTED_VALUE"""),"Nair")</f>
        <v>Nair</v>
      </c>
      <c r="H843" s="3" t="s">
        <v>33</v>
      </c>
      <c r="I843" s="3">
        <v>2027.0</v>
      </c>
      <c r="J843" s="3">
        <f t="shared" si="2"/>
        <v>10000</v>
      </c>
      <c r="K843" s="3" t="s">
        <v>20</v>
      </c>
      <c r="L843" s="3">
        <v>0.0</v>
      </c>
      <c r="M843" s="3" t="s">
        <v>21</v>
      </c>
      <c r="N843" s="3">
        <v>32.0</v>
      </c>
      <c r="O843" s="3" t="s">
        <v>22</v>
      </c>
      <c r="P843" s="3" t="s">
        <v>78</v>
      </c>
      <c r="Q843" s="6">
        <f t="shared" si="3"/>
        <v>255000</v>
      </c>
    </row>
    <row r="844">
      <c r="A844" s="3">
        <v>65564.0</v>
      </c>
      <c r="B844" s="3" t="s">
        <v>706</v>
      </c>
      <c r="C844" s="3" t="s">
        <v>35</v>
      </c>
      <c r="D844" s="4" t="str">
        <f t="shared" si="1"/>
        <v>Ms.</v>
      </c>
      <c r="E844" s="3" t="str">
        <f t="shared" si="4"/>
        <v>Ms. Charvi Iyer</v>
      </c>
      <c r="F844" s="3" t="str">
        <f>IFERROR(__xludf.DUMMYFUNCTION("SPLIT(B844,"" "")"),"Charvi")</f>
        <v>Charvi</v>
      </c>
      <c r="G844" s="3" t="str">
        <f>IFERROR(__xludf.DUMMYFUNCTION("""COMPUTED_VALUE"""),"Iyer")</f>
        <v>Iyer</v>
      </c>
      <c r="H844" s="3" t="s">
        <v>33</v>
      </c>
      <c r="I844" s="3">
        <v>2021.0</v>
      </c>
      <c r="J844" s="3">
        <f t="shared" si="2"/>
        <v>10000</v>
      </c>
      <c r="K844" s="3" t="s">
        <v>37</v>
      </c>
      <c r="L844" s="3">
        <v>0.0</v>
      </c>
      <c r="M844" s="3" t="s">
        <v>21</v>
      </c>
      <c r="N844" s="3">
        <v>13.0</v>
      </c>
      <c r="O844" s="3" t="s">
        <v>22</v>
      </c>
      <c r="P844" s="3" t="s">
        <v>31</v>
      </c>
      <c r="Q844" s="6">
        <f t="shared" si="3"/>
        <v>910000</v>
      </c>
    </row>
    <row r="845">
      <c r="A845" s="3">
        <v>65565.0</v>
      </c>
      <c r="B845" s="3" t="s">
        <v>707</v>
      </c>
      <c r="C845" s="3" t="s">
        <v>35</v>
      </c>
      <c r="D845" s="4" t="str">
        <f t="shared" si="1"/>
        <v>Ms.</v>
      </c>
      <c r="E845" s="3" t="str">
        <f t="shared" si="4"/>
        <v>Ms. Avni Das</v>
      </c>
      <c r="F845" s="3" t="str">
        <f>IFERROR(__xludf.DUMMYFUNCTION("SPLIT(B845,"" "")"),"Avni")</f>
        <v>Avni</v>
      </c>
      <c r="G845" s="3" t="str">
        <f>IFERROR(__xludf.DUMMYFUNCTION("""COMPUTED_VALUE"""),"Das")</f>
        <v>Das</v>
      </c>
      <c r="H845" s="3" t="s">
        <v>25</v>
      </c>
      <c r="I845" s="3">
        <v>2024.0</v>
      </c>
      <c r="J845" s="3">
        <f t="shared" si="2"/>
        <v>10000</v>
      </c>
      <c r="K845" s="3" t="s">
        <v>20</v>
      </c>
      <c r="L845" s="3">
        <v>0.0</v>
      </c>
      <c r="M845" s="3" t="s">
        <v>21</v>
      </c>
      <c r="N845" s="3">
        <v>40.0</v>
      </c>
      <c r="O845" s="3" t="s">
        <v>22</v>
      </c>
      <c r="P845" s="3" t="s">
        <v>23</v>
      </c>
      <c r="Q845" s="6">
        <f t="shared" si="3"/>
        <v>430000</v>
      </c>
    </row>
    <row r="846">
      <c r="A846" s="3">
        <v>65566.0</v>
      </c>
      <c r="B846" s="3" t="s">
        <v>708</v>
      </c>
      <c r="C846" s="3" t="s">
        <v>18</v>
      </c>
      <c r="D846" s="4" t="str">
        <f t="shared" si="1"/>
        <v>Mr.</v>
      </c>
      <c r="E846" s="3" t="str">
        <f t="shared" si="4"/>
        <v>Mr. Parth Chowdhury</v>
      </c>
      <c r="F846" s="3" t="str">
        <f>IFERROR(__xludf.DUMMYFUNCTION("SPLIT(B846,"" "")"),"Parth")</f>
        <v>Parth</v>
      </c>
      <c r="G846" s="3" t="str">
        <f>IFERROR(__xludf.DUMMYFUNCTION("""COMPUTED_VALUE"""),"Chowdhury")</f>
        <v>Chowdhury</v>
      </c>
      <c r="H846" s="3" t="s">
        <v>25</v>
      </c>
      <c r="I846" s="3">
        <v>2020.0</v>
      </c>
      <c r="J846" s="3">
        <f t="shared" si="2"/>
        <v>10000</v>
      </c>
      <c r="K846" s="3" t="s">
        <v>20</v>
      </c>
      <c r="L846" s="10">
        <v>3621.0</v>
      </c>
      <c r="M846" s="3" t="s">
        <v>21</v>
      </c>
      <c r="N846" s="3">
        <v>77.0</v>
      </c>
      <c r="O846" s="3" t="s">
        <v>22</v>
      </c>
      <c r="P846" s="3" t="s">
        <v>31</v>
      </c>
      <c r="Q846" s="6">
        <f t="shared" si="3"/>
        <v>910000</v>
      </c>
    </row>
    <row r="847">
      <c r="A847" s="3">
        <v>65567.0</v>
      </c>
      <c r="B847" s="3" t="s">
        <v>709</v>
      </c>
      <c r="C847" s="3" t="s">
        <v>18</v>
      </c>
      <c r="D847" s="4" t="str">
        <f t="shared" si="1"/>
        <v>Mr.</v>
      </c>
      <c r="E847" s="3" t="str">
        <f t="shared" si="4"/>
        <v>Mr. Aditya Sinha</v>
      </c>
      <c r="F847" s="3" t="str">
        <f>IFERROR(__xludf.DUMMYFUNCTION("SPLIT(B847,"" "")"),"Aditya")</f>
        <v>Aditya</v>
      </c>
      <c r="G847" s="3" t="str">
        <f>IFERROR(__xludf.DUMMYFUNCTION("""COMPUTED_VALUE"""),"Sinha")</f>
        <v>Sinha</v>
      </c>
      <c r="H847" s="3" t="s">
        <v>33</v>
      </c>
      <c r="I847" s="3">
        <v>2023.0</v>
      </c>
      <c r="J847" s="3">
        <f t="shared" si="2"/>
        <v>10000</v>
      </c>
      <c r="K847" s="3" t="s">
        <v>26</v>
      </c>
      <c r="L847" s="10">
        <v>5138.0</v>
      </c>
      <c r="M847" s="3" t="s">
        <v>30</v>
      </c>
      <c r="N847" s="3">
        <v>8.0</v>
      </c>
      <c r="O847" s="3" t="s">
        <v>22</v>
      </c>
      <c r="P847" s="3" t="s">
        <v>23</v>
      </c>
      <c r="Q847" s="6">
        <f t="shared" si="3"/>
        <v>430000</v>
      </c>
    </row>
    <row r="848">
      <c r="A848" s="3">
        <v>65569.0</v>
      </c>
      <c r="B848" s="3" t="s">
        <v>672</v>
      </c>
      <c r="C848" s="3" t="s">
        <v>18</v>
      </c>
      <c r="D848" s="4" t="str">
        <f t="shared" si="1"/>
        <v>Mr.</v>
      </c>
      <c r="E848" s="3" t="str">
        <f t="shared" si="4"/>
        <v>Mr. Arjun Jain</v>
      </c>
      <c r="F848" s="3" t="str">
        <f>IFERROR(__xludf.DUMMYFUNCTION("SPLIT(B848,"" "")"),"Arjun")</f>
        <v>Arjun</v>
      </c>
      <c r="G848" s="3" t="str">
        <f>IFERROR(__xludf.DUMMYFUNCTION("""COMPUTED_VALUE"""),"Jain")</f>
        <v>Jain</v>
      </c>
      <c r="H848" s="3" t="s">
        <v>25</v>
      </c>
      <c r="I848" s="3">
        <v>2023.0</v>
      </c>
      <c r="J848" s="3">
        <f t="shared" si="2"/>
        <v>10000</v>
      </c>
      <c r="K848" s="3" t="s">
        <v>20</v>
      </c>
      <c r="L848" s="3">
        <v>0.0</v>
      </c>
      <c r="M848" s="3" t="s">
        <v>21</v>
      </c>
      <c r="N848" s="3">
        <f>RANDBETWEEN(0,10)</f>
        <v>1</v>
      </c>
      <c r="O848" s="3" t="s">
        <v>41</v>
      </c>
      <c r="P848" s="3" t="s">
        <v>31</v>
      </c>
      <c r="Q848" s="6">
        <f t="shared" si="3"/>
        <v>910000</v>
      </c>
    </row>
    <row r="849">
      <c r="A849" s="3">
        <v>65570.0</v>
      </c>
      <c r="B849" s="3" t="s">
        <v>647</v>
      </c>
      <c r="C849" s="3" t="s">
        <v>18</v>
      </c>
      <c r="D849" s="4" t="str">
        <f t="shared" si="1"/>
        <v>Mr.</v>
      </c>
      <c r="E849" s="3" t="str">
        <f t="shared" si="4"/>
        <v>Mr. Ayaan Thakur</v>
      </c>
      <c r="F849" s="3" t="str">
        <f>IFERROR(__xludf.DUMMYFUNCTION("SPLIT(B849,"" "")"),"Ayaan")</f>
        <v>Ayaan</v>
      </c>
      <c r="G849" s="3" t="str">
        <f>IFERROR(__xludf.DUMMYFUNCTION("""COMPUTED_VALUE"""),"Thakur")</f>
        <v>Thakur</v>
      </c>
      <c r="H849" s="3" t="s">
        <v>19</v>
      </c>
      <c r="I849" s="3">
        <v>2028.0</v>
      </c>
      <c r="J849" s="3">
        <f t="shared" si="2"/>
        <v>5000</v>
      </c>
      <c r="K849" s="3" t="s">
        <v>20</v>
      </c>
      <c r="L849" s="3">
        <v>0.0</v>
      </c>
      <c r="M849" s="3" t="s">
        <v>21</v>
      </c>
      <c r="N849" s="3">
        <v>60.0</v>
      </c>
      <c r="O849" s="3" t="s">
        <v>22</v>
      </c>
      <c r="P849" s="3" t="s">
        <v>31</v>
      </c>
      <c r="Q849" s="6">
        <f t="shared" si="3"/>
        <v>910000</v>
      </c>
    </row>
    <row r="850">
      <c r="A850" s="3">
        <v>65571.0</v>
      </c>
      <c r="B850" s="3" t="s">
        <v>710</v>
      </c>
      <c r="C850" s="3" t="s">
        <v>18</v>
      </c>
      <c r="D850" s="4" t="str">
        <f t="shared" si="1"/>
        <v>Mr.</v>
      </c>
      <c r="E850" s="3" t="str">
        <f t="shared" si="4"/>
        <v>Mr. Reyansh Nair</v>
      </c>
      <c r="F850" s="3" t="str">
        <f>IFERROR(__xludf.DUMMYFUNCTION("SPLIT(B850,"" "")"),"Reyansh")</f>
        <v>Reyansh</v>
      </c>
      <c r="G850" s="3" t="str">
        <f>IFERROR(__xludf.DUMMYFUNCTION("""COMPUTED_VALUE"""),"Nair")</f>
        <v>Nair</v>
      </c>
      <c r="H850" s="3" t="s">
        <v>33</v>
      </c>
      <c r="I850" s="3">
        <v>2023.0</v>
      </c>
      <c r="J850" s="3">
        <f t="shared" si="2"/>
        <v>10000</v>
      </c>
      <c r="K850" s="3" t="s">
        <v>26</v>
      </c>
      <c r="L850" s="3">
        <v>2743.0</v>
      </c>
      <c r="M850" s="3" t="s">
        <v>21</v>
      </c>
      <c r="N850" s="3">
        <v>31.0</v>
      </c>
      <c r="O850" s="3" t="s">
        <v>22</v>
      </c>
      <c r="P850" s="3" t="s">
        <v>31</v>
      </c>
      <c r="Q850" s="6">
        <f t="shared" si="3"/>
        <v>910000</v>
      </c>
    </row>
    <row r="851">
      <c r="A851" s="3">
        <v>65572.0</v>
      </c>
      <c r="B851" s="3" t="s">
        <v>111</v>
      </c>
      <c r="C851" s="3" t="s">
        <v>18</v>
      </c>
      <c r="D851" s="4" t="str">
        <f t="shared" si="1"/>
        <v>Mr.</v>
      </c>
      <c r="E851" s="3" t="str">
        <f t="shared" si="4"/>
        <v>Mr. Shaurya Mishra</v>
      </c>
      <c r="F851" s="3" t="str">
        <f>IFERROR(__xludf.DUMMYFUNCTION("SPLIT(B851,"" "")"),"Shaurya")</f>
        <v>Shaurya</v>
      </c>
      <c r="G851" s="3" t="str">
        <f>IFERROR(__xludf.DUMMYFUNCTION("""COMPUTED_VALUE"""),"Mishra")</f>
        <v>Mishra</v>
      </c>
      <c r="H851" s="3" t="s">
        <v>25</v>
      </c>
      <c r="I851" s="3">
        <v>2024.0</v>
      </c>
      <c r="J851" s="3">
        <f t="shared" si="2"/>
        <v>10000</v>
      </c>
      <c r="K851" s="3" t="s">
        <v>20</v>
      </c>
      <c r="L851" s="3">
        <v>0.0</v>
      </c>
      <c r="M851" s="3" t="s">
        <v>21</v>
      </c>
      <c r="N851" s="3">
        <v>38.0</v>
      </c>
      <c r="O851" s="3" t="s">
        <v>22</v>
      </c>
      <c r="P851" s="3" t="s">
        <v>23</v>
      </c>
      <c r="Q851" s="6">
        <f t="shared" si="3"/>
        <v>430000</v>
      </c>
    </row>
    <row r="852">
      <c r="A852" s="3">
        <v>65574.0</v>
      </c>
      <c r="B852" s="3" t="s">
        <v>711</v>
      </c>
      <c r="C852" s="3" t="s">
        <v>18</v>
      </c>
      <c r="D852" s="4" t="str">
        <f t="shared" si="1"/>
        <v>Mr.</v>
      </c>
      <c r="E852" s="3" t="str">
        <f t="shared" si="4"/>
        <v>Mr. Laksh Kapoor</v>
      </c>
      <c r="F852" s="3" t="str">
        <f>IFERROR(__xludf.DUMMYFUNCTION("SPLIT(B852,"" "")"),"Laksh")</f>
        <v>Laksh</v>
      </c>
      <c r="G852" s="3" t="str">
        <f>IFERROR(__xludf.DUMMYFUNCTION("""COMPUTED_VALUE"""),"Kapoor")</f>
        <v>Kapoor</v>
      </c>
      <c r="H852" s="3" t="s">
        <v>46</v>
      </c>
      <c r="I852" s="3">
        <v>2023.0</v>
      </c>
      <c r="J852" s="3">
        <f t="shared" si="2"/>
        <v>5000</v>
      </c>
      <c r="K852" s="3" t="s">
        <v>26</v>
      </c>
      <c r="L852" s="3">
        <v>4522.0</v>
      </c>
      <c r="M852" s="3" t="s">
        <v>30</v>
      </c>
      <c r="N852" s="3">
        <v>40.0</v>
      </c>
      <c r="O852" s="3" t="s">
        <v>22</v>
      </c>
      <c r="P852" s="3" t="s">
        <v>38</v>
      </c>
      <c r="Q852" s="6">
        <f t="shared" si="3"/>
        <v>635000</v>
      </c>
    </row>
    <row r="853">
      <c r="A853" s="3">
        <v>65575.0</v>
      </c>
      <c r="B853" s="3" t="s">
        <v>712</v>
      </c>
      <c r="C853" s="3" t="s">
        <v>18</v>
      </c>
      <c r="D853" s="4" t="str">
        <f t="shared" si="1"/>
        <v>Mr.</v>
      </c>
      <c r="E853" s="3" t="str">
        <f t="shared" si="4"/>
        <v>Mr. Anirudh Gupta</v>
      </c>
      <c r="F853" s="3" t="str">
        <f>IFERROR(__xludf.DUMMYFUNCTION("SPLIT(B853,"" "")"),"Anirudh")</f>
        <v>Anirudh</v>
      </c>
      <c r="G853" s="3" t="str">
        <f>IFERROR(__xludf.DUMMYFUNCTION("""COMPUTED_VALUE"""),"Gupta")</f>
        <v>Gupta</v>
      </c>
      <c r="H853" s="3" t="s">
        <v>46</v>
      </c>
      <c r="I853" s="3">
        <v>2024.0</v>
      </c>
      <c r="J853" s="3">
        <f t="shared" si="2"/>
        <v>5000</v>
      </c>
      <c r="K853" s="3" t="s">
        <v>20</v>
      </c>
      <c r="L853" s="3">
        <v>320.0</v>
      </c>
      <c r="M853" s="3" t="s">
        <v>21</v>
      </c>
      <c r="N853" s="3">
        <v>77.0</v>
      </c>
      <c r="O853" s="3" t="s">
        <v>41</v>
      </c>
      <c r="P853" s="3" t="s">
        <v>31</v>
      </c>
      <c r="Q853" s="6">
        <f t="shared" si="3"/>
        <v>910000</v>
      </c>
    </row>
    <row r="854">
      <c r="A854" s="3">
        <v>65576.0</v>
      </c>
      <c r="B854" s="3" t="s">
        <v>636</v>
      </c>
      <c r="C854" s="3" t="s">
        <v>35</v>
      </c>
      <c r="D854" s="4" t="str">
        <f t="shared" si="1"/>
        <v>Ms.</v>
      </c>
      <c r="E854" s="3" t="str">
        <f t="shared" si="4"/>
        <v>Ms. Aarohi Joshi</v>
      </c>
      <c r="F854" s="3" t="str">
        <f>IFERROR(__xludf.DUMMYFUNCTION("SPLIT(B854,"" "")"),"Aarohi")</f>
        <v>Aarohi</v>
      </c>
      <c r="G854" s="3" t="str">
        <f>IFERROR(__xludf.DUMMYFUNCTION("""COMPUTED_VALUE"""),"Joshi")</f>
        <v>Joshi</v>
      </c>
      <c r="H854" s="3" t="s">
        <v>19</v>
      </c>
      <c r="I854" s="3">
        <v>2024.0</v>
      </c>
      <c r="J854" s="3">
        <f t="shared" si="2"/>
        <v>5000</v>
      </c>
      <c r="K854" s="3" t="s">
        <v>26</v>
      </c>
      <c r="L854" s="10">
        <v>3374.0</v>
      </c>
      <c r="M854" s="3" t="s">
        <v>21</v>
      </c>
      <c r="N854" s="3">
        <v>34.0</v>
      </c>
      <c r="O854" s="3" t="s">
        <v>22</v>
      </c>
      <c r="P854" s="3" t="s">
        <v>23</v>
      </c>
      <c r="Q854" s="6">
        <f t="shared" si="3"/>
        <v>430000</v>
      </c>
    </row>
    <row r="855">
      <c r="A855" s="3">
        <v>65577.0</v>
      </c>
      <c r="B855" s="3" t="s">
        <v>713</v>
      </c>
      <c r="C855" s="3" t="s">
        <v>35</v>
      </c>
      <c r="D855" s="4" t="str">
        <f t="shared" si="1"/>
        <v>Ms.</v>
      </c>
      <c r="E855" s="3" t="str">
        <f t="shared" si="4"/>
        <v>Ms. Navya Kapoor</v>
      </c>
      <c r="F855" s="3" t="str">
        <f>IFERROR(__xludf.DUMMYFUNCTION("SPLIT(B855,"" "")"),"Navya")</f>
        <v>Navya</v>
      </c>
      <c r="G855" s="3" t="str">
        <f>IFERROR(__xludf.DUMMYFUNCTION("""COMPUTED_VALUE"""),"Kapoor")</f>
        <v>Kapoor</v>
      </c>
      <c r="H855" s="3" t="s">
        <v>46</v>
      </c>
      <c r="I855" s="3">
        <v>2021.0</v>
      </c>
      <c r="J855" s="3">
        <f t="shared" si="2"/>
        <v>5000</v>
      </c>
      <c r="K855" s="3" t="s">
        <v>26</v>
      </c>
      <c r="L855" s="3">
        <v>10950.0</v>
      </c>
      <c r="M855" s="3" t="s">
        <v>30</v>
      </c>
      <c r="N855" s="3">
        <v>70.0</v>
      </c>
      <c r="O855" s="3" t="s">
        <v>22</v>
      </c>
      <c r="P855" s="3" t="s">
        <v>38</v>
      </c>
      <c r="Q855" s="6">
        <f t="shared" si="3"/>
        <v>635000</v>
      </c>
    </row>
    <row r="856">
      <c r="A856" s="3">
        <v>65578.0</v>
      </c>
      <c r="B856" s="3" t="s">
        <v>714</v>
      </c>
      <c r="C856" s="3" t="s">
        <v>35</v>
      </c>
      <c r="D856" s="4" t="str">
        <f t="shared" si="1"/>
        <v>Ms.</v>
      </c>
      <c r="E856" s="3" t="str">
        <f t="shared" si="4"/>
        <v>Ms. Kashvi Mehta</v>
      </c>
      <c r="F856" s="3" t="str">
        <f>IFERROR(__xludf.DUMMYFUNCTION("SPLIT(B856,"" "")"),"Kashvi")</f>
        <v>Kashvi</v>
      </c>
      <c r="G856" s="3" t="str">
        <f>IFERROR(__xludf.DUMMYFUNCTION("""COMPUTED_VALUE"""),"Mehta")</f>
        <v>Mehta</v>
      </c>
      <c r="H856" s="3" t="s">
        <v>25</v>
      </c>
      <c r="I856" s="3">
        <v>2023.0</v>
      </c>
      <c r="J856" s="3">
        <f t="shared" si="2"/>
        <v>10000</v>
      </c>
      <c r="K856" s="3" t="s">
        <v>20</v>
      </c>
      <c r="L856" s="3">
        <v>0.0</v>
      </c>
      <c r="M856" s="3" t="s">
        <v>21</v>
      </c>
      <c r="N856" s="3">
        <v>32.0</v>
      </c>
      <c r="O856" s="3" t="s">
        <v>22</v>
      </c>
      <c r="P856" s="3" t="s">
        <v>31</v>
      </c>
      <c r="Q856" s="6">
        <f t="shared" si="3"/>
        <v>910000</v>
      </c>
    </row>
    <row r="857">
      <c r="A857" s="3">
        <v>65579.0</v>
      </c>
      <c r="B857" s="3" t="s">
        <v>715</v>
      </c>
      <c r="C857" s="3" t="s">
        <v>18</v>
      </c>
      <c r="D857" s="4" t="str">
        <f t="shared" si="1"/>
        <v>Mr.</v>
      </c>
      <c r="E857" s="3" t="str">
        <f t="shared" si="4"/>
        <v>Mr. Sai Chowdhury</v>
      </c>
      <c r="F857" s="3" t="str">
        <f>IFERROR(__xludf.DUMMYFUNCTION("SPLIT(B857,"" "")"),"Sai")</f>
        <v>Sai</v>
      </c>
      <c r="G857" s="3" t="str">
        <f>IFERROR(__xludf.DUMMYFUNCTION("""COMPUTED_VALUE"""),"Chowdhury")</f>
        <v>Chowdhury</v>
      </c>
      <c r="H857" s="3" t="s">
        <v>33</v>
      </c>
      <c r="I857" s="3">
        <v>2024.0</v>
      </c>
      <c r="J857" s="3">
        <f t="shared" si="2"/>
        <v>10000</v>
      </c>
      <c r="K857" s="3" t="s">
        <v>20</v>
      </c>
      <c r="L857" s="10">
        <v>4155.0</v>
      </c>
      <c r="M857" s="3" t="s">
        <v>21</v>
      </c>
      <c r="N857" s="3">
        <f>RANDBETWEEN(0,10)</f>
        <v>5</v>
      </c>
      <c r="O857" s="3" t="s">
        <v>41</v>
      </c>
      <c r="P857" s="3" t="s">
        <v>38</v>
      </c>
      <c r="Q857" s="6">
        <f t="shared" si="3"/>
        <v>635000</v>
      </c>
    </row>
    <row r="858">
      <c r="A858" s="3">
        <v>65580.0</v>
      </c>
      <c r="B858" s="3" t="s">
        <v>716</v>
      </c>
      <c r="C858" s="3" t="s">
        <v>35</v>
      </c>
      <c r="D858" s="4" t="str">
        <f t="shared" si="1"/>
        <v>Ms.</v>
      </c>
      <c r="E858" s="3" t="str">
        <f t="shared" si="4"/>
        <v>Ms. Aaradhya Dutta</v>
      </c>
      <c r="F858" s="3" t="str">
        <f>IFERROR(__xludf.DUMMYFUNCTION("SPLIT(B858,"" "")"),"Aaradhya")</f>
        <v>Aaradhya</v>
      </c>
      <c r="G858" s="3" t="str">
        <f>IFERROR(__xludf.DUMMYFUNCTION("""COMPUTED_VALUE"""),"Dutta")</f>
        <v>Dutta</v>
      </c>
      <c r="H858" s="3" t="s">
        <v>33</v>
      </c>
      <c r="I858" s="3">
        <v>2023.0</v>
      </c>
      <c r="J858" s="3">
        <f t="shared" si="2"/>
        <v>10000</v>
      </c>
      <c r="K858" s="3" t="s">
        <v>20</v>
      </c>
      <c r="L858" s="3">
        <v>0.0</v>
      </c>
      <c r="M858" s="3" t="s">
        <v>30</v>
      </c>
      <c r="N858" s="3">
        <v>77.0</v>
      </c>
      <c r="O858" s="3" t="s">
        <v>22</v>
      </c>
      <c r="P858" s="3" t="s">
        <v>31</v>
      </c>
      <c r="Q858" s="6">
        <f t="shared" si="3"/>
        <v>910000</v>
      </c>
    </row>
    <row r="859">
      <c r="A859" s="3">
        <v>65581.0</v>
      </c>
      <c r="B859" s="3" t="s">
        <v>154</v>
      </c>
      <c r="C859" s="3" t="s">
        <v>18</v>
      </c>
      <c r="D859" s="4" t="str">
        <f t="shared" si="1"/>
        <v>Mr.</v>
      </c>
      <c r="E859" s="3" t="str">
        <f t="shared" si="4"/>
        <v>Mr. Shaurya Verma</v>
      </c>
      <c r="F859" s="3" t="str">
        <f>IFERROR(__xludf.DUMMYFUNCTION("SPLIT(B859,"" "")"),"Shaurya")</f>
        <v>Shaurya</v>
      </c>
      <c r="G859" s="3" t="str">
        <f>IFERROR(__xludf.DUMMYFUNCTION("""COMPUTED_VALUE"""),"Verma")</f>
        <v>Verma</v>
      </c>
      <c r="H859" s="3" t="s">
        <v>19</v>
      </c>
      <c r="I859" s="3">
        <v>2019.0</v>
      </c>
      <c r="J859" s="3">
        <f t="shared" si="2"/>
        <v>5000</v>
      </c>
      <c r="K859" s="3" t="s">
        <v>20</v>
      </c>
      <c r="L859" s="3">
        <v>0.0</v>
      </c>
      <c r="M859" s="3" t="s">
        <v>30</v>
      </c>
      <c r="N859" s="3">
        <v>48.0</v>
      </c>
      <c r="O859" s="3" t="s">
        <v>22</v>
      </c>
      <c r="P859" s="3" t="s">
        <v>38</v>
      </c>
      <c r="Q859" s="6">
        <f t="shared" si="3"/>
        <v>635000</v>
      </c>
    </row>
    <row r="860">
      <c r="A860" s="3">
        <v>65582.0</v>
      </c>
      <c r="B860" s="3" t="s">
        <v>717</v>
      </c>
      <c r="C860" s="3" t="s">
        <v>18</v>
      </c>
      <c r="D860" s="4" t="str">
        <f t="shared" si="1"/>
        <v>Mr.</v>
      </c>
      <c r="E860" s="3" t="str">
        <f t="shared" si="4"/>
        <v>Mr. Shaurya Kumar</v>
      </c>
      <c r="F860" s="3" t="str">
        <f>IFERROR(__xludf.DUMMYFUNCTION("SPLIT(B860,"" "")"),"Shaurya")</f>
        <v>Shaurya</v>
      </c>
      <c r="G860" s="3" t="str">
        <f>IFERROR(__xludf.DUMMYFUNCTION("""COMPUTED_VALUE"""),"Kumar")</f>
        <v>Kumar</v>
      </c>
      <c r="H860" s="3" t="s">
        <v>33</v>
      </c>
      <c r="I860" s="3">
        <v>2024.0</v>
      </c>
      <c r="J860" s="3">
        <f t="shared" si="2"/>
        <v>10000</v>
      </c>
      <c r="K860" s="3" t="s">
        <v>20</v>
      </c>
      <c r="L860" s="10">
        <v>5681.0</v>
      </c>
      <c r="M860" s="3" t="s">
        <v>30</v>
      </c>
      <c r="N860" s="3">
        <v>36.0</v>
      </c>
      <c r="O860" s="3" t="s">
        <v>22</v>
      </c>
      <c r="P860" s="3" t="s">
        <v>31</v>
      </c>
      <c r="Q860" s="6">
        <f t="shared" si="3"/>
        <v>910000</v>
      </c>
    </row>
    <row r="861">
      <c r="A861" s="3">
        <v>65583.0</v>
      </c>
      <c r="B861" s="3" t="s">
        <v>718</v>
      </c>
      <c r="C861" s="3" t="s">
        <v>35</v>
      </c>
      <c r="D861" s="4" t="str">
        <f t="shared" si="1"/>
        <v>Ms.</v>
      </c>
      <c r="E861" s="3" t="str">
        <f t="shared" si="4"/>
        <v>Ms. Charvi Agarwal</v>
      </c>
      <c r="F861" s="3" t="str">
        <f>IFERROR(__xludf.DUMMYFUNCTION("SPLIT(B861,"" "")"),"Charvi")</f>
        <v>Charvi</v>
      </c>
      <c r="G861" s="3" t="str">
        <f>IFERROR(__xludf.DUMMYFUNCTION("""COMPUTED_VALUE"""),"Agarwal")</f>
        <v>Agarwal</v>
      </c>
      <c r="H861" s="3" t="s">
        <v>33</v>
      </c>
      <c r="I861" s="3">
        <v>2022.0</v>
      </c>
      <c r="J861" s="3">
        <f t="shared" si="2"/>
        <v>10000</v>
      </c>
      <c r="K861" s="3" t="s">
        <v>20</v>
      </c>
      <c r="L861" s="10">
        <v>4028.0</v>
      </c>
      <c r="M861" s="3" t="s">
        <v>30</v>
      </c>
      <c r="N861" s="3">
        <v>41.0</v>
      </c>
      <c r="O861" s="3" t="s">
        <v>22</v>
      </c>
      <c r="P861" s="3" t="s">
        <v>38</v>
      </c>
      <c r="Q861" s="6">
        <f t="shared" si="3"/>
        <v>635000</v>
      </c>
    </row>
    <row r="862">
      <c r="A862" s="3">
        <v>65585.0</v>
      </c>
      <c r="B862" s="3" t="s">
        <v>719</v>
      </c>
      <c r="C862" s="3" t="s">
        <v>18</v>
      </c>
      <c r="D862" s="4" t="str">
        <f t="shared" si="1"/>
        <v>Mr.</v>
      </c>
      <c r="E862" s="3" t="str">
        <f t="shared" si="4"/>
        <v>Mr. Dev Prasad</v>
      </c>
      <c r="F862" s="3" t="str">
        <f>IFERROR(__xludf.DUMMYFUNCTION("SPLIT(B862,"" "")"),"Dev")</f>
        <v>Dev</v>
      </c>
      <c r="G862" s="3" t="str">
        <f>IFERROR(__xludf.DUMMYFUNCTION("""COMPUTED_VALUE"""),"Prasad")</f>
        <v>Prasad</v>
      </c>
      <c r="H862" s="3" t="s">
        <v>19</v>
      </c>
      <c r="I862" s="3">
        <v>2025.0</v>
      </c>
      <c r="J862" s="3">
        <f t="shared" si="2"/>
        <v>5000</v>
      </c>
      <c r="K862" s="3" t="s">
        <v>20</v>
      </c>
      <c r="L862" s="10">
        <v>4132.0</v>
      </c>
      <c r="M862" s="3" t="s">
        <v>21</v>
      </c>
      <c r="N862" s="3">
        <v>4.0</v>
      </c>
      <c r="O862" s="3" t="s">
        <v>22</v>
      </c>
      <c r="P862" s="3" t="s">
        <v>31</v>
      </c>
      <c r="Q862" s="6">
        <f t="shared" si="3"/>
        <v>910000</v>
      </c>
    </row>
    <row r="863">
      <c r="A863" s="3">
        <v>65586.0</v>
      </c>
      <c r="B863" s="3" t="s">
        <v>720</v>
      </c>
      <c r="C863" s="3" t="s">
        <v>18</v>
      </c>
      <c r="D863" s="4" t="str">
        <f t="shared" si="1"/>
        <v>Mr.</v>
      </c>
      <c r="E863" s="3" t="str">
        <f t="shared" si="4"/>
        <v>Mr. Aarav Iyer</v>
      </c>
      <c r="F863" s="3" t="str">
        <f>IFERROR(__xludf.DUMMYFUNCTION("SPLIT(B863,"" "")"),"Aarav")</f>
        <v>Aarav</v>
      </c>
      <c r="G863" s="3" t="str">
        <f>IFERROR(__xludf.DUMMYFUNCTION("""COMPUTED_VALUE"""),"Iyer")</f>
        <v>Iyer</v>
      </c>
      <c r="H863" s="3" t="s">
        <v>46</v>
      </c>
      <c r="I863" s="3">
        <v>2028.0</v>
      </c>
      <c r="J863" s="3">
        <f t="shared" si="2"/>
        <v>5000</v>
      </c>
      <c r="K863" s="3" t="s">
        <v>26</v>
      </c>
      <c r="L863" s="3">
        <v>4076.0</v>
      </c>
      <c r="M863" s="3" t="s">
        <v>21</v>
      </c>
      <c r="N863" s="3">
        <v>80.0</v>
      </c>
      <c r="O863" s="3" t="s">
        <v>22</v>
      </c>
      <c r="P863" s="3" t="s">
        <v>31</v>
      </c>
      <c r="Q863" s="6">
        <f t="shared" si="3"/>
        <v>910000</v>
      </c>
    </row>
    <row r="864">
      <c r="A864" s="3">
        <v>65589.0</v>
      </c>
      <c r="B864" s="3" t="s">
        <v>331</v>
      </c>
      <c r="C864" s="3" t="s">
        <v>35</v>
      </c>
      <c r="D864" s="4" t="str">
        <f t="shared" si="1"/>
        <v>Ms.</v>
      </c>
      <c r="E864" s="3" t="str">
        <f t="shared" si="4"/>
        <v>Ms. Mishka Sinha</v>
      </c>
      <c r="F864" s="3" t="str">
        <f>IFERROR(__xludf.DUMMYFUNCTION("SPLIT(B864,"" "")"),"Mishka")</f>
        <v>Mishka</v>
      </c>
      <c r="G864" s="3" t="str">
        <f>IFERROR(__xludf.DUMMYFUNCTION("""COMPUTED_VALUE"""),"Sinha")</f>
        <v>Sinha</v>
      </c>
      <c r="H864" s="3" t="s">
        <v>25</v>
      </c>
      <c r="I864" s="3">
        <v>2017.0</v>
      </c>
      <c r="J864" s="3">
        <f t="shared" si="2"/>
        <v>10000</v>
      </c>
      <c r="K864" s="3" t="s">
        <v>26</v>
      </c>
      <c r="L864" s="3">
        <v>20780.0</v>
      </c>
      <c r="M864" s="3" t="s">
        <v>30</v>
      </c>
      <c r="N864" s="3">
        <v>5.0</v>
      </c>
      <c r="O864" s="3" t="s">
        <v>22</v>
      </c>
      <c r="P864" s="3" t="s">
        <v>31</v>
      </c>
      <c r="Q864" s="6">
        <f t="shared" si="3"/>
        <v>910000</v>
      </c>
    </row>
    <row r="865">
      <c r="A865" s="3">
        <v>65590.0</v>
      </c>
      <c r="B865" s="3" t="s">
        <v>524</v>
      </c>
      <c r="C865" s="3" t="s">
        <v>18</v>
      </c>
      <c r="D865" s="4" t="str">
        <f t="shared" si="1"/>
        <v>Mr.</v>
      </c>
      <c r="E865" s="3" t="str">
        <f t="shared" si="4"/>
        <v>Mr. Siddharth Bhat</v>
      </c>
      <c r="F865" s="3" t="str">
        <f>IFERROR(__xludf.DUMMYFUNCTION("SPLIT(B865,"" "")"),"Siddharth")</f>
        <v>Siddharth</v>
      </c>
      <c r="G865" s="3" t="str">
        <f>IFERROR(__xludf.DUMMYFUNCTION("""COMPUTED_VALUE"""),"Bhat")</f>
        <v>Bhat</v>
      </c>
      <c r="H865" s="3" t="s">
        <v>25</v>
      </c>
      <c r="I865" s="3">
        <v>2020.0</v>
      </c>
      <c r="J865" s="3">
        <f t="shared" si="2"/>
        <v>10000</v>
      </c>
      <c r="K865" s="3" t="s">
        <v>20</v>
      </c>
      <c r="L865" s="3">
        <v>0.0</v>
      </c>
      <c r="M865" s="3" t="s">
        <v>30</v>
      </c>
      <c r="N865" s="3">
        <f>RANDBETWEEN(0,10)</f>
        <v>7</v>
      </c>
      <c r="O865" s="3" t="s">
        <v>22</v>
      </c>
      <c r="P865" s="3" t="s">
        <v>38</v>
      </c>
      <c r="Q865" s="6">
        <f t="shared" si="3"/>
        <v>635000</v>
      </c>
    </row>
    <row r="866">
      <c r="A866" s="3">
        <v>65591.0</v>
      </c>
      <c r="B866" s="3" t="s">
        <v>721</v>
      </c>
      <c r="C866" s="3" t="s">
        <v>35</v>
      </c>
      <c r="D866" s="4" t="str">
        <f t="shared" si="1"/>
        <v>Ms.</v>
      </c>
      <c r="E866" s="3" t="str">
        <f t="shared" si="4"/>
        <v>Ms. Aaradhya Chopra</v>
      </c>
      <c r="F866" s="3" t="str">
        <f>IFERROR(__xludf.DUMMYFUNCTION("SPLIT(B866,"" "")"),"Aaradhya")</f>
        <v>Aaradhya</v>
      </c>
      <c r="G866" s="3" t="str">
        <f>IFERROR(__xludf.DUMMYFUNCTION("""COMPUTED_VALUE"""),"Chopra")</f>
        <v>Chopra</v>
      </c>
      <c r="H866" s="3" t="s">
        <v>25</v>
      </c>
      <c r="I866" s="3">
        <v>2027.0</v>
      </c>
      <c r="J866" s="3">
        <f t="shared" si="2"/>
        <v>10000</v>
      </c>
      <c r="K866" s="3" t="s">
        <v>20</v>
      </c>
      <c r="L866" s="3">
        <v>275.0</v>
      </c>
      <c r="M866" s="3" t="s">
        <v>30</v>
      </c>
      <c r="N866" s="3">
        <v>33.0</v>
      </c>
      <c r="O866" s="3" t="s">
        <v>41</v>
      </c>
      <c r="P866" s="3" t="s">
        <v>38</v>
      </c>
      <c r="Q866" s="6">
        <f t="shared" si="3"/>
        <v>635000</v>
      </c>
    </row>
    <row r="867">
      <c r="A867" s="3">
        <v>65592.0</v>
      </c>
      <c r="B867" s="3" t="s">
        <v>109</v>
      </c>
      <c r="C867" s="3" t="s">
        <v>18</v>
      </c>
      <c r="D867" s="4" t="str">
        <f t="shared" si="1"/>
        <v>Mr.</v>
      </c>
      <c r="E867" s="3" t="str">
        <f t="shared" si="4"/>
        <v>Mr. Vihaan Reddy</v>
      </c>
      <c r="F867" s="3" t="str">
        <f>IFERROR(__xludf.DUMMYFUNCTION("SPLIT(B867,"" "")"),"Vihaan")</f>
        <v>Vihaan</v>
      </c>
      <c r="G867" s="3" t="str">
        <f>IFERROR(__xludf.DUMMYFUNCTION("""COMPUTED_VALUE"""),"Reddy")</f>
        <v>Reddy</v>
      </c>
      <c r="H867" s="3" t="s">
        <v>19</v>
      </c>
      <c r="I867" s="3">
        <v>2024.0</v>
      </c>
      <c r="J867" s="3">
        <f t="shared" si="2"/>
        <v>5000</v>
      </c>
      <c r="K867" s="3" t="s">
        <v>20</v>
      </c>
      <c r="L867" s="3">
        <v>374.0</v>
      </c>
      <c r="M867" s="3" t="s">
        <v>30</v>
      </c>
      <c r="N867" s="3">
        <v>60.0</v>
      </c>
      <c r="O867" s="3" t="s">
        <v>41</v>
      </c>
      <c r="P867" s="3" t="s">
        <v>38</v>
      </c>
      <c r="Q867" s="6">
        <f t="shared" si="3"/>
        <v>635000</v>
      </c>
    </row>
    <row r="868">
      <c r="A868" s="3">
        <v>65594.0</v>
      </c>
      <c r="B868" s="3" t="s">
        <v>652</v>
      </c>
      <c r="C868" s="3" t="s">
        <v>18</v>
      </c>
      <c r="D868" s="4" t="str">
        <f t="shared" si="1"/>
        <v>Mr.</v>
      </c>
      <c r="E868" s="3" t="str">
        <f t="shared" si="4"/>
        <v>Mr. Arnav Agarwal</v>
      </c>
      <c r="F868" s="3" t="str">
        <f>IFERROR(__xludf.DUMMYFUNCTION("SPLIT(B868,"" "")"),"Arnav")</f>
        <v>Arnav</v>
      </c>
      <c r="G868" s="3" t="str">
        <f>IFERROR(__xludf.DUMMYFUNCTION("""COMPUTED_VALUE"""),"Agarwal")</f>
        <v>Agarwal</v>
      </c>
      <c r="H868" s="3" t="s">
        <v>46</v>
      </c>
      <c r="I868" s="3">
        <v>2023.0</v>
      </c>
      <c r="J868" s="3">
        <f t="shared" si="2"/>
        <v>5000</v>
      </c>
      <c r="K868" s="3" t="s">
        <v>20</v>
      </c>
      <c r="L868" s="3">
        <v>0.0</v>
      </c>
      <c r="M868" s="3" t="s">
        <v>21</v>
      </c>
      <c r="N868" s="3">
        <f t="shared" ref="N868:N869" si="40">RANDBETWEEN(0,10)</f>
        <v>10</v>
      </c>
      <c r="O868" s="3" t="s">
        <v>22</v>
      </c>
      <c r="P868" s="3" t="s">
        <v>31</v>
      </c>
      <c r="Q868" s="6">
        <f t="shared" si="3"/>
        <v>910000</v>
      </c>
    </row>
    <row r="869">
      <c r="A869" s="3">
        <v>65595.0</v>
      </c>
      <c r="B869" s="3" t="s">
        <v>722</v>
      </c>
      <c r="C869" s="3" t="s">
        <v>18</v>
      </c>
      <c r="D869" s="4" t="str">
        <f t="shared" si="1"/>
        <v>Mr.</v>
      </c>
      <c r="E869" s="3" t="str">
        <f t="shared" si="4"/>
        <v>Mr. Sai Sharma</v>
      </c>
      <c r="F869" s="3" t="str">
        <f>IFERROR(__xludf.DUMMYFUNCTION("SPLIT(B869,"" "")"),"Sai")</f>
        <v>Sai</v>
      </c>
      <c r="G869" s="3" t="str">
        <f>IFERROR(__xludf.DUMMYFUNCTION("""COMPUTED_VALUE"""),"Sharma")</f>
        <v>Sharma</v>
      </c>
      <c r="H869" s="3" t="s">
        <v>19</v>
      </c>
      <c r="I869" s="3">
        <v>2021.0</v>
      </c>
      <c r="J869" s="3">
        <f t="shared" si="2"/>
        <v>5000</v>
      </c>
      <c r="K869" s="3" t="s">
        <v>26</v>
      </c>
      <c r="L869" s="3">
        <v>17676.0</v>
      </c>
      <c r="M869" s="3" t="s">
        <v>30</v>
      </c>
      <c r="N869" s="3">
        <f t="shared" si="40"/>
        <v>10</v>
      </c>
      <c r="O869" s="3" t="s">
        <v>22</v>
      </c>
      <c r="P869" s="3" t="s">
        <v>31</v>
      </c>
      <c r="Q869" s="6">
        <f t="shared" si="3"/>
        <v>910000</v>
      </c>
    </row>
    <row r="870">
      <c r="A870" s="3">
        <v>65596.0</v>
      </c>
      <c r="B870" s="3" t="s">
        <v>17</v>
      </c>
      <c r="C870" s="3" t="s">
        <v>18</v>
      </c>
      <c r="D870" s="4" t="str">
        <f t="shared" si="1"/>
        <v>Mr.</v>
      </c>
      <c r="E870" s="3" t="str">
        <f t="shared" si="4"/>
        <v>Mr. Aarav Dutta</v>
      </c>
      <c r="F870" s="3" t="str">
        <f>IFERROR(__xludf.DUMMYFUNCTION("SPLIT(B870,"" "")"),"Aarav")</f>
        <v>Aarav</v>
      </c>
      <c r="G870" s="3" t="str">
        <f>IFERROR(__xludf.DUMMYFUNCTION("""COMPUTED_VALUE"""),"Dutta")</f>
        <v>Dutta</v>
      </c>
      <c r="H870" s="3" t="s">
        <v>19</v>
      </c>
      <c r="I870" s="3">
        <v>2024.0</v>
      </c>
      <c r="J870" s="3">
        <f t="shared" si="2"/>
        <v>5000</v>
      </c>
      <c r="K870" s="3" t="s">
        <v>20</v>
      </c>
      <c r="L870" s="3">
        <v>128.0</v>
      </c>
      <c r="M870" s="3" t="s">
        <v>21</v>
      </c>
      <c r="N870" s="3">
        <v>55.0</v>
      </c>
      <c r="O870" s="3" t="s">
        <v>22</v>
      </c>
      <c r="P870" s="3" t="s">
        <v>28</v>
      </c>
      <c r="Q870" s="6">
        <f t="shared" si="3"/>
        <v>400000</v>
      </c>
    </row>
    <row r="871">
      <c r="A871" s="3">
        <v>65597.0</v>
      </c>
      <c r="B871" s="3" t="s">
        <v>723</v>
      </c>
      <c r="C871" s="3" t="s">
        <v>18</v>
      </c>
      <c r="D871" s="4" t="str">
        <f t="shared" si="1"/>
        <v>Mr.</v>
      </c>
      <c r="E871" s="3" t="str">
        <f t="shared" si="4"/>
        <v>Mr. Rudra Thakur</v>
      </c>
      <c r="F871" s="3" t="str">
        <f>IFERROR(__xludf.DUMMYFUNCTION("SPLIT(B871,"" "")"),"Rudra")</f>
        <v>Rudra</v>
      </c>
      <c r="G871" s="3" t="str">
        <f>IFERROR(__xludf.DUMMYFUNCTION("""COMPUTED_VALUE"""),"Thakur")</f>
        <v>Thakur</v>
      </c>
      <c r="H871" s="3" t="s">
        <v>46</v>
      </c>
      <c r="I871" s="3">
        <v>2022.0</v>
      </c>
      <c r="J871" s="3">
        <f t="shared" si="2"/>
        <v>5000</v>
      </c>
      <c r="K871" s="3" t="s">
        <v>26</v>
      </c>
      <c r="L871" s="3">
        <v>19405.0</v>
      </c>
      <c r="M871" s="3" t="s">
        <v>21</v>
      </c>
      <c r="N871" s="3">
        <v>33.0</v>
      </c>
      <c r="O871" s="3" t="s">
        <v>22</v>
      </c>
      <c r="P871" s="3" t="s">
        <v>78</v>
      </c>
      <c r="Q871" s="6">
        <f t="shared" si="3"/>
        <v>255000</v>
      </c>
    </row>
    <row r="872">
      <c r="A872" s="3">
        <v>65598.0</v>
      </c>
      <c r="B872" s="3" t="s">
        <v>394</v>
      </c>
      <c r="C872" s="3" t="s">
        <v>18</v>
      </c>
      <c r="D872" s="4" t="str">
        <f t="shared" si="1"/>
        <v>Mr.</v>
      </c>
      <c r="E872" s="3" t="str">
        <f t="shared" si="4"/>
        <v>Mr. Krishna Sharma</v>
      </c>
      <c r="F872" s="3" t="str">
        <f>IFERROR(__xludf.DUMMYFUNCTION("SPLIT(B872,"" "")"),"Krishna")</f>
        <v>Krishna</v>
      </c>
      <c r="G872" s="3" t="str">
        <f>IFERROR(__xludf.DUMMYFUNCTION("""COMPUTED_VALUE"""),"Sharma")</f>
        <v>Sharma</v>
      </c>
      <c r="H872" s="3" t="s">
        <v>46</v>
      </c>
      <c r="I872" s="3">
        <v>2019.0</v>
      </c>
      <c r="J872" s="3">
        <f t="shared" si="2"/>
        <v>5000</v>
      </c>
      <c r="K872" s="3" t="s">
        <v>20</v>
      </c>
      <c r="L872" s="3">
        <v>0.0</v>
      </c>
      <c r="M872" s="3" t="s">
        <v>30</v>
      </c>
      <c r="N872" s="3">
        <v>60.0</v>
      </c>
      <c r="O872" s="3" t="s">
        <v>22</v>
      </c>
      <c r="P872" s="3" t="s">
        <v>28</v>
      </c>
      <c r="Q872" s="6">
        <f t="shared" si="3"/>
        <v>400000</v>
      </c>
    </row>
    <row r="873">
      <c r="A873" s="3">
        <v>65599.0</v>
      </c>
      <c r="B873" s="3" t="s">
        <v>724</v>
      </c>
      <c r="C873" s="3" t="s">
        <v>18</v>
      </c>
      <c r="D873" s="4" t="str">
        <f t="shared" si="1"/>
        <v>Mr.</v>
      </c>
      <c r="E873" s="3" t="str">
        <f t="shared" si="4"/>
        <v>Mr. Parth Patel</v>
      </c>
      <c r="F873" s="3" t="str">
        <f>IFERROR(__xludf.DUMMYFUNCTION("SPLIT(B873,"" "")"),"Parth")</f>
        <v>Parth</v>
      </c>
      <c r="G873" s="3" t="str">
        <f>IFERROR(__xludf.DUMMYFUNCTION("""COMPUTED_VALUE"""),"Patel")</f>
        <v>Patel</v>
      </c>
      <c r="H873" s="3" t="s">
        <v>25</v>
      </c>
      <c r="I873" s="3">
        <v>2022.0</v>
      </c>
      <c r="J873" s="3">
        <f t="shared" si="2"/>
        <v>10000</v>
      </c>
      <c r="K873" s="3" t="s">
        <v>20</v>
      </c>
      <c r="L873" s="3">
        <v>0.0</v>
      </c>
      <c r="M873" s="3" t="s">
        <v>21</v>
      </c>
      <c r="N873" s="3">
        <v>24.0</v>
      </c>
      <c r="O873" s="3" t="s">
        <v>22</v>
      </c>
      <c r="P873" s="3" t="s">
        <v>23</v>
      </c>
      <c r="Q873" s="6">
        <f t="shared" si="3"/>
        <v>430000</v>
      </c>
    </row>
    <row r="874">
      <c r="A874" s="3">
        <v>65600.0</v>
      </c>
      <c r="B874" s="3" t="s">
        <v>725</v>
      </c>
      <c r="C874" s="3" t="s">
        <v>35</v>
      </c>
      <c r="D874" s="4" t="str">
        <f t="shared" si="1"/>
        <v>Ms.</v>
      </c>
      <c r="E874" s="3" t="str">
        <f t="shared" si="4"/>
        <v>Ms. Aaradhya Kumar</v>
      </c>
      <c r="F874" s="3" t="str">
        <f>IFERROR(__xludf.DUMMYFUNCTION("SPLIT(B874,"" "")"),"Aaradhya")</f>
        <v>Aaradhya</v>
      </c>
      <c r="G874" s="3" t="str">
        <f>IFERROR(__xludf.DUMMYFUNCTION("""COMPUTED_VALUE"""),"Kumar")</f>
        <v>Kumar</v>
      </c>
      <c r="H874" s="3" t="s">
        <v>25</v>
      </c>
      <c r="I874" s="3">
        <v>2019.0</v>
      </c>
      <c r="J874" s="3">
        <f t="shared" si="2"/>
        <v>10000</v>
      </c>
      <c r="K874" s="3" t="s">
        <v>26</v>
      </c>
      <c r="L874" s="10">
        <v>1655.0</v>
      </c>
      <c r="M874" s="3" t="s">
        <v>30</v>
      </c>
      <c r="N874" s="3">
        <v>67.0</v>
      </c>
      <c r="O874" s="3" t="s">
        <v>41</v>
      </c>
      <c r="P874" s="3" t="s">
        <v>23</v>
      </c>
      <c r="Q874" s="6">
        <f t="shared" si="3"/>
        <v>430000</v>
      </c>
    </row>
    <row r="875">
      <c r="A875" s="3">
        <v>65601.0</v>
      </c>
      <c r="B875" s="3" t="s">
        <v>726</v>
      </c>
      <c r="C875" s="3" t="s">
        <v>35</v>
      </c>
      <c r="D875" s="4" t="str">
        <f t="shared" si="1"/>
        <v>Ms.</v>
      </c>
      <c r="E875" s="3" t="str">
        <f t="shared" si="4"/>
        <v>Ms. Diya Bhatt</v>
      </c>
      <c r="F875" s="3" t="str">
        <f>IFERROR(__xludf.DUMMYFUNCTION("SPLIT(B875,"" "")"),"Diya")</f>
        <v>Diya</v>
      </c>
      <c r="G875" s="3" t="str">
        <f>IFERROR(__xludf.DUMMYFUNCTION("""COMPUTED_VALUE"""),"Bhatt")</f>
        <v>Bhatt</v>
      </c>
      <c r="H875" s="3" t="s">
        <v>33</v>
      </c>
      <c r="I875" s="3">
        <v>2016.0</v>
      </c>
      <c r="J875" s="3">
        <f t="shared" si="2"/>
        <v>10000</v>
      </c>
      <c r="K875" s="3" t="s">
        <v>20</v>
      </c>
      <c r="L875" s="3">
        <v>645.0</v>
      </c>
      <c r="M875" s="3" t="s">
        <v>21</v>
      </c>
      <c r="N875" s="3">
        <f>RANDBETWEEN(0,10)</f>
        <v>8</v>
      </c>
      <c r="O875" s="3" t="s">
        <v>41</v>
      </c>
      <c r="P875" s="3" t="s">
        <v>28</v>
      </c>
      <c r="Q875" s="6">
        <f t="shared" si="3"/>
        <v>400000</v>
      </c>
    </row>
    <row r="876">
      <c r="A876" s="3">
        <v>65602.0</v>
      </c>
      <c r="B876" s="3" t="s">
        <v>727</v>
      </c>
      <c r="C876" s="3" t="s">
        <v>18</v>
      </c>
      <c r="D876" s="4" t="str">
        <f t="shared" si="1"/>
        <v>Mr.</v>
      </c>
      <c r="E876" s="3" t="str">
        <f t="shared" si="4"/>
        <v>Mr. Vivaan Mehta</v>
      </c>
      <c r="F876" s="3" t="str">
        <f>IFERROR(__xludf.DUMMYFUNCTION("SPLIT(B876,"" "")"),"Vivaan")</f>
        <v>Vivaan</v>
      </c>
      <c r="G876" s="3" t="str">
        <f>IFERROR(__xludf.DUMMYFUNCTION("""COMPUTED_VALUE"""),"Mehta")</f>
        <v>Mehta</v>
      </c>
      <c r="H876" s="3" t="s">
        <v>33</v>
      </c>
      <c r="I876" s="3">
        <v>2024.0</v>
      </c>
      <c r="J876" s="3">
        <f t="shared" si="2"/>
        <v>10000</v>
      </c>
      <c r="K876" s="3" t="s">
        <v>20</v>
      </c>
      <c r="L876" s="3">
        <v>0.0</v>
      </c>
      <c r="M876" s="3" t="s">
        <v>21</v>
      </c>
      <c r="N876" s="3">
        <v>31.0</v>
      </c>
      <c r="O876" s="3" t="s">
        <v>22</v>
      </c>
      <c r="P876" s="3" t="s">
        <v>23</v>
      </c>
      <c r="Q876" s="6">
        <f t="shared" si="3"/>
        <v>430000</v>
      </c>
    </row>
    <row r="877">
      <c r="A877" s="3">
        <v>65603.0</v>
      </c>
      <c r="B877" s="3" t="s">
        <v>728</v>
      </c>
      <c r="C877" s="3" t="s">
        <v>35</v>
      </c>
      <c r="D877" s="4" t="str">
        <f t="shared" si="1"/>
        <v>Ms.</v>
      </c>
      <c r="E877" s="3" t="str">
        <f t="shared" si="4"/>
        <v>Ms. Eva Jain</v>
      </c>
      <c r="F877" s="3" t="str">
        <f>IFERROR(__xludf.DUMMYFUNCTION("SPLIT(B877,"" "")"),"Eva")</f>
        <v>Eva</v>
      </c>
      <c r="G877" s="3" t="str">
        <f>IFERROR(__xludf.DUMMYFUNCTION("""COMPUTED_VALUE"""),"Jain")</f>
        <v>Jain</v>
      </c>
      <c r="H877" s="3" t="s">
        <v>33</v>
      </c>
      <c r="I877" s="3">
        <v>2023.0</v>
      </c>
      <c r="J877" s="3">
        <f t="shared" si="2"/>
        <v>10000</v>
      </c>
      <c r="K877" s="3" t="s">
        <v>20</v>
      </c>
      <c r="L877" s="3">
        <v>0.0</v>
      </c>
      <c r="M877" s="3" t="s">
        <v>21</v>
      </c>
      <c r="N877" s="3">
        <v>37.0</v>
      </c>
      <c r="O877" s="3" t="s">
        <v>22</v>
      </c>
      <c r="P877" s="3" t="s">
        <v>23</v>
      </c>
      <c r="Q877" s="6">
        <f t="shared" si="3"/>
        <v>430000</v>
      </c>
    </row>
    <row r="878">
      <c r="A878" s="3">
        <v>65604.0</v>
      </c>
      <c r="B878" s="3" t="s">
        <v>729</v>
      </c>
      <c r="C878" s="3" t="s">
        <v>35</v>
      </c>
      <c r="D878" s="4" t="str">
        <f t="shared" si="1"/>
        <v>Ms.</v>
      </c>
      <c r="E878" s="3" t="str">
        <f t="shared" si="4"/>
        <v>Ms. Charvi Nair</v>
      </c>
      <c r="F878" s="3" t="str">
        <f>IFERROR(__xludf.DUMMYFUNCTION("SPLIT(B878,"" "")"),"Charvi")</f>
        <v>Charvi</v>
      </c>
      <c r="G878" s="3" t="str">
        <f>IFERROR(__xludf.DUMMYFUNCTION("""COMPUTED_VALUE"""),"Nair")</f>
        <v>Nair</v>
      </c>
      <c r="H878" s="3" t="s">
        <v>46</v>
      </c>
      <c r="I878" s="3">
        <v>2022.0</v>
      </c>
      <c r="J878" s="3">
        <f t="shared" si="2"/>
        <v>5000</v>
      </c>
      <c r="K878" s="3" t="s">
        <v>26</v>
      </c>
      <c r="L878" s="3">
        <v>2202.0</v>
      </c>
      <c r="M878" s="3" t="s">
        <v>21</v>
      </c>
      <c r="N878" s="3">
        <f>RANDBETWEEN(0,10)</f>
        <v>8</v>
      </c>
      <c r="O878" s="3" t="s">
        <v>22</v>
      </c>
      <c r="P878" s="3" t="s">
        <v>31</v>
      </c>
      <c r="Q878" s="6">
        <f t="shared" si="3"/>
        <v>910000</v>
      </c>
    </row>
    <row r="879">
      <c r="A879" s="3">
        <v>65605.0</v>
      </c>
      <c r="B879" s="3" t="s">
        <v>730</v>
      </c>
      <c r="C879" s="3" t="s">
        <v>35</v>
      </c>
      <c r="D879" s="4" t="str">
        <f t="shared" si="1"/>
        <v>Ms.</v>
      </c>
      <c r="E879" s="3" t="str">
        <f t="shared" si="4"/>
        <v>Ms. Myra Rao</v>
      </c>
      <c r="F879" s="3" t="str">
        <f>IFERROR(__xludf.DUMMYFUNCTION("SPLIT(B879,"" "")"),"Myra")</f>
        <v>Myra</v>
      </c>
      <c r="G879" s="3" t="str">
        <f>IFERROR(__xludf.DUMMYFUNCTION("""COMPUTED_VALUE"""),"Rao")</f>
        <v>Rao</v>
      </c>
      <c r="H879" s="3" t="s">
        <v>25</v>
      </c>
      <c r="I879" s="3">
        <v>2023.0</v>
      </c>
      <c r="J879" s="3">
        <f t="shared" si="2"/>
        <v>10000</v>
      </c>
      <c r="K879" s="3" t="s">
        <v>26</v>
      </c>
      <c r="L879" s="3">
        <v>3630.0</v>
      </c>
      <c r="M879" s="3" t="s">
        <v>21</v>
      </c>
      <c r="N879" s="3">
        <v>58.0</v>
      </c>
      <c r="O879" s="3" t="s">
        <v>22</v>
      </c>
      <c r="P879" s="3" t="s">
        <v>31</v>
      </c>
      <c r="Q879" s="6">
        <f t="shared" si="3"/>
        <v>910000</v>
      </c>
    </row>
    <row r="880">
      <c r="A880" s="3">
        <v>65606.0</v>
      </c>
      <c r="B880" s="3" t="s">
        <v>643</v>
      </c>
      <c r="C880" s="3" t="s">
        <v>35</v>
      </c>
      <c r="D880" s="4" t="str">
        <f t="shared" si="1"/>
        <v>Ms.</v>
      </c>
      <c r="E880" s="3" t="str">
        <f t="shared" si="4"/>
        <v>Ms. Manya Nair</v>
      </c>
      <c r="F880" s="3" t="str">
        <f>IFERROR(__xludf.DUMMYFUNCTION("SPLIT(B880,"" "")"),"Manya")</f>
        <v>Manya</v>
      </c>
      <c r="G880" s="3" t="str">
        <f>IFERROR(__xludf.DUMMYFUNCTION("""COMPUTED_VALUE"""),"Nair")</f>
        <v>Nair</v>
      </c>
      <c r="H880" s="3" t="s">
        <v>25</v>
      </c>
      <c r="I880" s="3">
        <v>2025.0</v>
      </c>
      <c r="J880" s="3">
        <f t="shared" si="2"/>
        <v>10000</v>
      </c>
      <c r="K880" s="3" t="s">
        <v>20</v>
      </c>
      <c r="L880" s="3">
        <v>0.0</v>
      </c>
      <c r="M880" s="3" t="s">
        <v>30</v>
      </c>
      <c r="N880" s="3">
        <v>59.0</v>
      </c>
      <c r="O880" s="3" t="s">
        <v>22</v>
      </c>
      <c r="P880" s="3" t="s">
        <v>23</v>
      </c>
      <c r="Q880" s="6">
        <f t="shared" si="3"/>
        <v>430000</v>
      </c>
    </row>
    <row r="881">
      <c r="A881" s="3">
        <v>65608.0</v>
      </c>
      <c r="B881" s="3" t="s">
        <v>335</v>
      </c>
      <c r="C881" s="3" t="s">
        <v>35</v>
      </c>
      <c r="D881" s="4" t="str">
        <f t="shared" si="1"/>
        <v>Ms.</v>
      </c>
      <c r="E881" s="3" t="str">
        <f t="shared" si="4"/>
        <v>Ms. Diya Mehta</v>
      </c>
      <c r="F881" s="3" t="str">
        <f>IFERROR(__xludf.DUMMYFUNCTION("SPLIT(B881,"" "")"),"Diya")</f>
        <v>Diya</v>
      </c>
      <c r="G881" s="3" t="str">
        <f>IFERROR(__xludf.DUMMYFUNCTION("""COMPUTED_VALUE"""),"Mehta")</f>
        <v>Mehta</v>
      </c>
      <c r="H881" s="3" t="s">
        <v>33</v>
      </c>
      <c r="I881" s="3">
        <v>2022.0</v>
      </c>
      <c r="J881" s="3">
        <f t="shared" si="2"/>
        <v>10000</v>
      </c>
      <c r="K881" s="3" t="s">
        <v>20</v>
      </c>
      <c r="L881" s="3">
        <v>0.0</v>
      </c>
      <c r="M881" s="3" t="s">
        <v>30</v>
      </c>
      <c r="N881" s="3">
        <v>24.0</v>
      </c>
      <c r="O881" s="3" t="s">
        <v>22</v>
      </c>
      <c r="P881" s="3" t="s">
        <v>31</v>
      </c>
      <c r="Q881" s="6">
        <f t="shared" si="3"/>
        <v>910000</v>
      </c>
    </row>
    <row r="882">
      <c r="A882" s="3">
        <v>65609.0</v>
      </c>
      <c r="B882" s="3" t="s">
        <v>327</v>
      </c>
      <c r="C882" s="3" t="s">
        <v>18</v>
      </c>
      <c r="D882" s="4" t="str">
        <f t="shared" si="1"/>
        <v>Mr.</v>
      </c>
      <c r="E882" s="3" t="str">
        <f t="shared" si="4"/>
        <v>Mr. Samarth Dutta</v>
      </c>
      <c r="F882" s="3" t="str">
        <f>IFERROR(__xludf.DUMMYFUNCTION("SPLIT(B882,"" "")"),"Samarth")</f>
        <v>Samarth</v>
      </c>
      <c r="G882" s="3" t="str">
        <f>IFERROR(__xludf.DUMMYFUNCTION("""COMPUTED_VALUE"""),"Dutta")</f>
        <v>Dutta</v>
      </c>
      <c r="H882" s="3" t="s">
        <v>46</v>
      </c>
      <c r="I882" s="3">
        <v>2024.0</v>
      </c>
      <c r="J882" s="3">
        <f t="shared" si="2"/>
        <v>5000</v>
      </c>
      <c r="K882" s="3" t="s">
        <v>20</v>
      </c>
      <c r="L882" s="3">
        <v>0.0</v>
      </c>
      <c r="M882" s="3" t="s">
        <v>21</v>
      </c>
      <c r="N882" s="3">
        <v>7.0</v>
      </c>
      <c r="O882" s="3" t="s">
        <v>22</v>
      </c>
      <c r="P882" s="3" t="s">
        <v>31</v>
      </c>
      <c r="Q882" s="6">
        <f t="shared" si="3"/>
        <v>910000</v>
      </c>
    </row>
    <row r="883">
      <c r="A883" s="3">
        <v>65612.0</v>
      </c>
      <c r="B883" s="3" t="s">
        <v>648</v>
      </c>
      <c r="C883" s="3" t="s">
        <v>18</v>
      </c>
      <c r="D883" s="4" t="str">
        <f t="shared" si="1"/>
        <v>Mr.</v>
      </c>
      <c r="E883" s="3" t="str">
        <f t="shared" si="4"/>
        <v>Mr. Harsh Sharma</v>
      </c>
      <c r="F883" s="3" t="str">
        <f>IFERROR(__xludf.DUMMYFUNCTION("SPLIT(B883,"" "")"),"Harsh")</f>
        <v>Harsh</v>
      </c>
      <c r="G883" s="3" t="str">
        <f>IFERROR(__xludf.DUMMYFUNCTION("""COMPUTED_VALUE"""),"Sharma")</f>
        <v>Sharma</v>
      </c>
      <c r="H883" s="3" t="s">
        <v>33</v>
      </c>
      <c r="I883" s="3">
        <v>2023.0</v>
      </c>
      <c r="J883" s="3">
        <f t="shared" si="2"/>
        <v>10000</v>
      </c>
      <c r="K883" s="3" t="s">
        <v>20</v>
      </c>
      <c r="L883" s="3">
        <v>795.0</v>
      </c>
      <c r="M883" s="3" t="s">
        <v>30</v>
      </c>
      <c r="N883" s="3">
        <v>56.0</v>
      </c>
      <c r="O883" s="3" t="s">
        <v>22</v>
      </c>
      <c r="P883" s="3" t="s">
        <v>78</v>
      </c>
      <c r="Q883" s="6">
        <f t="shared" si="3"/>
        <v>255000</v>
      </c>
    </row>
    <row r="884">
      <c r="A884" s="3">
        <v>65615.0</v>
      </c>
      <c r="B884" s="3" t="s">
        <v>651</v>
      </c>
      <c r="C884" s="3" t="s">
        <v>35</v>
      </c>
      <c r="D884" s="4" t="str">
        <f t="shared" si="1"/>
        <v>Ms.</v>
      </c>
      <c r="E884" s="3" t="str">
        <f t="shared" si="4"/>
        <v>Ms. Anaya Reddy</v>
      </c>
      <c r="F884" s="3" t="str">
        <f>IFERROR(__xludf.DUMMYFUNCTION("SPLIT(B884,"" "")"),"Anaya")</f>
        <v>Anaya</v>
      </c>
      <c r="G884" s="3" t="str">
        <f>IFERROR(__xludf.DUMMYFUNCTION("""COMPUTED_VALUE"""),"Reddy")</f>
        <v>Reddy</v>
      </c>
      <c r="H884" s="3" t="s">
        <v>19</v>
      </c>
      <c r="I884" s="3">
        <v>2024.0</v>
      </c>
      <c r="J884" s="3">
        <f t="shared" si="2"/>
        <v>5000</v>
      </c>
      <c r="K884" s="3" t="s">
        <v>20</v>
      </c>
      <c r="L884" s="10">
        <v>1622.0</v>
      </c>
      <c r="M884" s="3" t="s">
        <v>153</v>
      </c>
      <c r="N884" s="3">
        <v>39.0</v>
      </c>
      <c r="O884" s="3" t="s">
        <v>22</v>
      </c>
      <c r="P884" s="3" t="s">
        <v>31</v>
      </c>
      <c r="Q884" s="6">
        <f t="shared" si="3"/>
        <v>910000</v>
      </c>
    </row>
    <row r="885">
      <c r="A885" s="3">
        <v>65617.0</v>
      </c>
      <c r="B885" s="3" t="s">
        <v>283</v>
      </c>
      <c r="C885" s="3" t="s">
        <v>35</v>
      </c>
      <c r="D885" s="4" t="str">
        <f t="shared" si="1"/>
        <v>Ms.</v>
      </c>
      <c r="E885" s="3" t="str">
        <f t="shared" si="4"/>
        <v>Ms. Charvi Kulkarni</v>
      </c>
      <c r="F885" s="3" t="str">
        <f>IFERROR(__xludf.DUMMYFUNCTION("SPLIT(B885,"" "")"),"Charvi")</f>
        <v>Charvi</v>
      </c>
      <c r="G885" s="3" t="str">
        <f>IFERROR(__xludf.DUMMYFUNCTION("""COMPUTED_VALUE"""),"Kulkarni")</f>
        <v>Kulkarni</v>
      </c>
      <c r="H885" s="3" t="s">
        <v>25</v>
      </c>
      <c r="I885" s="3">
        <v>2024.0</v>
      </c>
      <c r="J885" s="3">
        <f t="shared" si="2"/>
        <v>10000</v>
      </c>
      <c r="K885" s="3" t="s">
        <v>26</v>
      </c>
      <c r="L885" s="10">
        <v>12308.0</v>
      </c>
      <c r="M885" s="3" t="s">
        <v>30</v>
      </c>
      <c r="N885" s="3">
        <v>80.0</v>
      </c>
      <c r="O885" s="3" t="s">
        <v>22</v>
      </c>
      <c r="P885" s="3" t="s">
        <v>31</v>
      </c>
      <c r="Q885" s="6">
        <f t="shared" si="3"/>
        <v>910000</v>
      </c>
    </row>
    <row r="886">
      <c r="A886" s="3">
        <v>65618.0</v>
      </c>
      <c r="B886" s="3" t="s">
        <v>731</v>
      </c>
      <c r="C886" s="3" t="s">
        <v>35</v>
      </c>
      <c r="D886" s="4" t="str">
        <f t="shared" si="1"/>
        <v>Ms.</v>
      </c>
      <c r="E886" s="3" t="str">
        <f t="shared" si="4"/>
        <v>Ms. Mishka Joshi</v>
      </c>
      <c r="F886" s="3" t="str">
        <f>IFERROR(__xludf.DUMMYFUNCTION("SPLIT(B886,"" "")"),"Mishka")</f>
        <v>Mishka</v>
      </c>
      <c r="G886" s="3" t="str">
        <f>IFERROR(__xludf.DUMMYFUNCTION("""COMPUTED_VALUE"""),"Joshi")</f>
        <v>Joshi</v>
      </c>
      <c r="H886" s="3" t="s">
        <v>46</v>
      </c>
      <c r="I886" s="3">
        <v>2021.0</v>
      </c>
      <c r="J886" s="3">
        <f t="shared" si="2"/>
        <v>5000</v>
      </c>
      <c r="K886" s="3" t="s">
        <v>20</v>
      </c>
      <c r="L886" s="3">
        <v>0.0</v>
      </c>
      <c r="M886" s="3" t="s">
        <v>30</v>
      </c>
      <c r="N886" s="3">
        <v>55.0</v>
      </c>
      <c r="O886" s="3" t="s">
        <v>22</v>
      </c>
      <c r="P886" s="3" t="s">
        <v>28</v>
      </c>
      <c r="Q886" s="6">
        <f t="shared" si="3"/>
        <v>400000</v>
      </c>
    </row>
    <row r="887">
      <c r="A887" s="3">
        <v>65619.0</v>
      </c>
      <c r="B887" s="3" t="s">
        <v>60</v>
      </c>
      <c r="C887" s="3" t="s">
        <v>35</v>
      </c>
      <c r="D887" s="4" t="str">
        <f t="shared" si="1"/>
        <v>Ms.</v>
      </c>
      <c r="E887" s="3" t="str">
        <f t="shared" si="4"/>
        <v>Ms. Naira Rao</v>
      </c>
      <c r="F887" s="3" t="str">
        <f>IFERROR(__xludf.DUMMYFUNCTION("SPLIT(B887,"" "")"),"Naira")</f>
        <v>Naira</v>
      </c>
      <c r="G887" s="3" t="str">
        <f>IFERROR(__xludf.DUMMYFUNCTION("""COMPUTED_VALUE"""),"Rao")</f>
        <v>Rao</v>
      </c>
      <c r="H887" s="3" t="s">
        <v>25</v>
      </c>
      <c r="I887" s="3">
        <v>2021.0</v>
      </c>
      <c r="J887" s="3">
        <f t="shared" si="2"/>
        <v>10000</v>
      </c>
      <c r="K887" s="3" t="s">
        <v>20</v>
      </c>
      <c r="L887" s="3">
        <v>0.0</v>
      </c>
      <c r="M887" s="3" t="s">
        <v>21</v>
      </c>
      <c r="N887" s="3">
        <v>74.0</v>
      </c>
      <c r="O887" s="3" t="s">
        <v>22</v>
      </c>
      <c r="P887" s="3" t="s">
        <v>23</v>
      </c>
      <c r="Q887" s="6">
        <f t="shared" si="3"/>
        <v>430000</v>
      </c>
    </row>
    <row r="888">
      <c r="A888" s="3">
        <v>65621.0</v>
      </c>
      <c r="B888" s="3" t="s">
        <v>480</v>
      </c>
      <c r="C888" s="3" t="s">
        <v>18</v>
      </c>
      <c r="D888" s="4" t="str">
        <f t="shared" si="1"/>
        <v>Mr.</v>
      </c>
      <c r="E888" s="3" t="str">
        <f t="shared" si="4"/>
        <v>Mr. Arjun Gupta</v>
      </c>
      <c r="F888" s="3" t="str">
        <f>IFERROR(__xludf.DUMMYFUNCTION("SPLIT(B888,"" "")"),"Arjun")</f>
        <v>Arjun</v>
      </c>
      <c r="G888" s="3" t="str">
        <f>IFERROR(__xludf.DUMMYFUNCTION("""COMPUTED_VALUE"""),"Gupta")</f>
        <v>Gupta</v>
      </c>
      <c r="H888" s="3" t="s">
        <v>19</v>
      </c>
      <c r="I888" s="3">
        <v>2027.0</v>
      </c>
      <c r="J888" s="3">
        <f t="shared" si="2"/>
        <v>5000</v>
      </c>
      <c r="K888" s="3" t="s">
        <v>20</v>
      </c>
      <c r="L888" s="3">
        <v>0.0</v>
      </c>
      <c r="M888" s="3" t="s">
        <v>30</v>
      </c>
      <c r="N888" s="3">
        <v>64.0</v>
      </c>
      <c r="O888" s="3" t="s">
        <v>22</v>
      </c>
      <c r="P888" s="3" t="s">
        <v>38</v>
      </c>
      <c r="Q888" s="6">
        <f t="shared" si="3"/>
        <v>635000</v>
      </c>
    </row>
    <row r="889">
      <c r="A889" s="3">
        <v>65622.0</v>
      </c>
      <c r="B889" s="3" t="s">
        <v>357</v>
      </c>
      <c r="C889" s="3" t="s">
        <v>18</v>
      </c>
      <c r="D889" s="4" t="str">
        <f t="shared" si="1"/>
        <v>Mr.</v>
      </c>
      <c r="E889" s="3" t="str">
        <f t="shared" si="4"/>
        <v>Mr. Kian Dutta</v>
      </c>
      <c r="F889" s="3" t="str">
        <f>IFERROR(__xludf.DUMMYFUNCTION("SPLIT(B889,"" "")"),"Kian")</f>
        <v>Kian</v>
      </c>
      <c r="G889" s="3" t="str">
        <f>IFERROR(__xludf.DUMMYFUNCTION("""COMPUTED_VALUE"""),"Dutta")</f>
        <v>Dutta</v>
      </c>
      <c r="H889" s="3" t="s">
        <v>25</v>
      </c>
      <c r="I889" s="3">
        <v>2027.0</v>
      </c>
      <c r="J889" s="3">
        <f t="shared" si="2"/>
        <v>10000</v>
      </c>
      <c r="K889" s="3" t="s">
        <v>20</v>
      </c>
      <c r="L889" s="3">
        <v>585.0</v>
      </c>
      <c r="M889" s="3" t="s">
        <v>21</v>
      </c>
      <c r="N889" s="3">
        <v>43.0</v>
      </c>
      <c r="O889" s="3" t="s">
        <v>41</v>
      </c>
      <c r="P889" s="3" t="s">
        <v>38</v>
      </c>
      <c r="Q889" s="6">
        <f t="shared" si="3"/>
        <v>635000</v>
      </c>
    </row>
    <row r="890">
      <c r="A890" s="3">
        <v>65623.0</v>
      </c>
      <c r="B890" s="3" t="s">
        <v>64</v>
      </c>
      <c r="C890" s="3" t="s">
        <v>18</v>
      </c>
      <c r="D890" s="4" t="str">
        <f t="shared" si="1"/>
        <v>Mr.</v>
      </c>
      <c r="E890" s="3" t="str">
        <f t="shared" si="4"/>
        <v>Mr. Vihaan Jain</v>
      </c>
      <c r="F890" s="3" t="str">
        <f>IFERROR(__xludf.DUMMYFUNCTION("SPLIT(B890,"" "")"),"Vihaan")</f>
        <v>Vihaan</v>
      </c>
      <c r="G890" s="3" t="str">
        <f>IFERROR(__xludf.DUMMYFUNCTION("""COMPUTED_VALUE"""),"Jain")</f>
        <v>Jain</v>
      </c>
      <c r="H890" s="3" t="s">
        <v>19</v>
      </c>
      <c r="I890" s="3">
        <v>2017.0</v>
      </c>
      <c r="J890" s="3">
        <f t="shared" si="2"/>
        <v>5000</v>
      </c>
      <c r="K890" s="3" t="s">
        <v>20</v>
      </c>
      <c r="L890" s="3">
        <v>25.0</v>
      </c>
      <c r="M890" s="3" t="s">
        <v>21</v>
      </c>
      <c r="N890" s="3">
        <v>18.0</v>
      </c>
      <c r="O890" s="3" t="s">
        <v>22</v>
      </c>
      <c r="P890" s="3" t="s">
        <v>31</v>
      </c>
      <c r="Q890" s="6">
        <f t="shared" si="3"/>
        <v>910000</v>
      </c>
    </row>
    <row r="891">
      <c r="A891" s="3">
        <v>65625.0</v>
      </c>
      <c r="B891" s="3" t="s">
        <v>692</v>
      </c>
      <c r="C891" s="3" t="s">
        <v>35</v>
      </c>
      <c r="D891" s="4" t="str">
        <f t="shared" si="1"/>
        <v>Ms.</v>
      </c>
      <c r="E891" s="3" t="str">
        <f t="shared" si="4"/>
        <v>Ms. Kashvi Dutta</v>
      </c>
      <c r="F891" s="3" t="str">
        <f>IFERROR(__xludf.DUMMYFUNCTION("SPLIT(B891,"" "")"),"Kashvi")</f>
        <v>Kashvi</v>
      </c>
      <c r="G891" s="3" t="str">
        <f>IFERROR(__xludf.DUMMYFUNCTION("""COMPUTED_VALUE"""),"Dutta")</f>
        <v>Dutta</v>
      </c>
      <c r="H891" s="3" t="s">
        <v>19</v>
      </c>
      <c r="I891" s="3">
        <v>2026.0</v>
      </c>
      <c r="J891" s="3">
        <f t="shared" si="2"/>
        <v>5000</v>
      </c>
      <c r="K891" s="3" t="s">
        <v>20</v>
      </c>
      <c r="L891" s="10">
        <v>1655.0</v>
      </c>
      <c r="M891" s="3" t="s">
        <v>30</v>
      </c>
      <c r="N891" s="3">
        <v>56.0</v>
      </c>
      <c r="O891" s="3" t="s">
        <v>41</v>
      </c>
      <c r="P891" s="3" t="s">
        <v>23</v>
      </c>
      <c r="Q891" s="6">
        <f t="shared" si="3"/>
        <v>430000</v>
      </c>
    </row>
    <row r="892">
      <c r="A892" s="3">
        <v>65626.0</v>
      </c>
      <c r="B892" s="3" t="s">
        <v>732</v>
      </c>
      <c r="C892" s="3" t="s">
        <v>18</v>
      </c>
      <c r="D892" s="4" t="str">
        <f t="shared" si="1"/>
        <v>Mr.</v>
      </c>
      <c r="E892" s="3" t="str">
        <f t="shared" si="4"/>
        <v>Mr. Dhanush Nair</v>
      </c>
      <c r="F892" s="3" t="str">
        <f>IFERROR(__xludf.DUMMYFUNCTION("SPLIT(B892,"" "")"),"Dhanush")</f>
        <v>Dhanush</v>
      </c>
      <c r="G892" s="3" t="str">
        <f>IFERROR(__xludf.DUMMYFUNCTION("""COMPUTED_VALUE"""),"Nair")</f>
        <v>Nair</v>
      </c>
      <c r="H892" s="3" t="s">
        <v>25</v>
      </c>
      <c r="I892" s="3">
        <v>2024.0</v>
      </c>
      <c r="J892" s="3">
        <f t="shared" si="2"/>
        <v>10000</v>
      </c>
      <c r="K892" s="3" t="s">
        <v>26</v>
      </c>
      <c r="L892" s="10">
        <v>7615.0</v>
      </c>
      <c r="M892" s="3" t="s">
        <v>30</v>
      </c>
      <c r="N892" s="3">
        <f>RANDBETWEEN(0,10)</f>
        <v>8</v>
      </c>
      <c r="O892" s="3" t="s">
        <v>22</v>
      </c>
      <c r="P892" s="3" t="s">
        <v>78</v>
      </c>
      <c r="Q892" s="6">
        <f t="shared" si="3"/>
        <v>255000</v>
      </c>
    </row>
    <row r="893">
      <c r="A893" s="3">
        <v>65631.0</v>
      </c>
      <c r="B893" s="3" t="s">
        <v>733</v>
      </c>
      <c r="C893" s="3" t="s">
        <v>35</v>
      </c>
      <c r="D893" s="4" t="str">
        <f t="shared" si="1"/>
        <v>Ms.</v>
      </c>
      <c r="E893" s="3" t="str">
        <f t="shared" si="4"/>
        <v>Ms. Mahira Prasad</v>
      </c>
      <c r="F893" s="3" t="str">
        <f>IFERROR(__xludf.DUMMYFUNCTION("SPLIT(B893,"" "")"),"Mahira")</f>
        <v>Mahira</v>
      </c>
      <c r="G893" s="3" t="str">
        <f>IFERROR(__xludf.DUMMYFUNCTION("""COMPUTED_VALUE"""),"Prasad")</f>
        <v>Prasad</v>
      </c>
      <c r="H893" s="3" t="s">
        <v>19</v>
      </c>
      <c r="I893" s="3">
        <v>2023.0</v>
      </c>
      <c r="J893" s="3">
        <f t="shared" si="2"/>
        <v>5000</v>
      </c>
      <c r="K893" s="3" t="s">
        <v>20</v>
      </c>
      <c r="L893" s="10">
        <v>4149.0</v>
      </c>
      <c r="M893" s="3" t="s">
        <v>30</v>
      </c>
      <c r="N893" s="3">
        <v>30.0</v>
      </c>
      <c r="O893" s="3" t="s">
        <v>22</v>
      </c>
      <c r="P893" s="3" t="s">
        <v>38</v>
      </c>
      <c r="Q893" s="6">
        <f t="shared" si="3"/>
        <v>635000</v>
      </c>
    </row>
    <row r="894">
      <c r="A894" s="3">
        <v>65632.0</v>
      </c>
      <c r="B894" s="3" t="s">
        <v>227</v>
      </c>
      <c r="C894" s="3" t="s">
        <v>35</v>
      </c>
      <c r="D894" s="4" t="str">
        <f t="shared" si="1"/>
        <v>Ms.</v>
      </c>
      <c r="E894" s="3" t="str">
        <f t="shared" si="4"/>
        <v>Ms. Prisha Mishra</v>
      </c>
      <c r="F894" s="3" t="str">
        <f>IFERROR(__xludf.DUMMYFUNCTION("SPLIT(B894,"" "")"),"Prisha")</f>
        <v>Prisha</v>
      </c>
      <c r="G894" s="3" t="str">
        <f>IFERROR(__xludf.DUMMYFUNCTION("""COMPUTED_VALUE"""),"Mishra")</f>
        <v>Mishra</v>
      </c>
      <c r="H894" s="3" t="s">
        <v>33</v>
      </c>
      <c r="I894" s="3">
        <v>2025.0</v>
      </c>
      <c r="J894" s="3">
        <f t="shared" si="2"/>
        <v>10000</v>
      </c>
      <c r="K894" s="3" t="s">
        <v>20</v>
      </c>
      <c r="L894" s="3">
        <v>75.0</v>
      </c>
      <c r="M894" s="3" t="s">
        <v>21</v>
      </c>
      <c r="N894" s="3">
        <v>41.0</v>
      </c>
      <c r="O894" s="3" t="s">
        <v>22</v>
      </c>
      <c r="P894" s="3" t="s">
        <v>28</v>
      </c>
      <c r="Q894" s="6">
        <f t="shared" si="3"/>
        <v>400000</v>
      </c>
    </row>
    <row r="895">
      <c r="A895" s="3">
        <v>65633.0</v>
      </c>
      <c r="B895" s="3" t="s">
        <v>461</v>
      </c>
      <c r="C895" s="3" t="s">
        <v>35</v>
      </c>
      <c r="D895" s="4" t="str">
        <f t="shared" si="1"/>
        <v>Ms.</v>
      </c>
      <c r="E895" s="3" t="str">
        <f t="shared" si="4"/>
        <v>Ms. Gauri Iyer</v>
      </c>
      <c r="F895" s="3" t="str">
        <f>IFERROR(__xludf.DUMMYFUNCTION("SPLIT(B895,"" "")"),"Gauri")</f>
        <v>Gauri</v>
      </c>
      <c r="G895" s="3" t="str">
        <f>IFERROR(__xludf.DUMMYFUNCTION("""COMPUTED_VALUE"""),"Iyer")</f>
        <v>Iyer</v>
      </c>
      <c r="H895" s="3" t="s">
        <v>33</v>
      </c>
      <c r="I895" s="3">
        <v>2022.0</v>
      </c>
      <c r="J895" s="3">
        <f t="shared" si="2"/>
        <v>10000</v>
      </c>
      <c r="K895" s="3" t="s">
        <v>20</v>
      </c>
      <c r="L895" s="3">
        <v>0.0</v>
      </c>
      <c r="M895" s="3" t="s">
        <v>21</v>
      </c>
      <c r="N895" s="3">
        <f>RANDBETWEEN(0,10)</f>
        <v>4</v>
      </c>
      <c r="O895" s="3" t="s">
        <v>22</v>
      </c>
      <c r="P895" s="3" t="s">
        <v>38</v>
      </c>
      <c r="Q895" s="6">
        <f t="shared" si="3"/>
        <v>635000</v>
      </c>
    </row>
    <row r="896">
      <c r="A896" s="3">
        <v>65634.0</v>
      </c>
      <c r="B896" s="3" t="s">
        <v>734</v>
      </c>
      <c r="C896" s="3" t="s">
        <v>18</v>
      </c>
      <c r="D896" s="4" t="str">
        <f t="shared" si="1"/>
        <v>Mr.</v>
      </c>
      <c r="E896" s="3" t="str">
        <f t="shared" si="4"/>
        <v>Mr. Dev Nair</v>
      </c>
      <c r="F896" s="3" t="str">
        <f>IFERROR(__xludf.DUMMYFUNCTION("SPLIT(B896,"" "")"),"Dev")</f>
        <v>Dev</v>
      </c>
      <c r="G896" s="3" t="str">
        <f>IFERROR(__xludf.DUMMYFUNCTION("""COMPUTED_VALUE"""),"Nair")</f>
        <v>Nair</v>
      </c>
      <c r="H896" s="3" t="s">
        <v>46</v>
      </c>
      <c r="I896" s="3">
        <v>2024.0</v>
      </c>
      <c r="J896" s="3">
        <f t="shared" si="2"/>
        <v>5000</v>
      </c>
      <c r="K896" s="3" t="s">
        <v>20</v>
      </c>
      <c r="L896" s="3">
        <v>239.0</v>
      </c>
      <c r="M896" s="3" t="s">
        <v>30</v>
      </c>
      <c r="N896" s="3">
        <v>29.0</v>
      </c>
      <c r="O896" s="3" t="s">
        <v>22</v>
      </c>
      <c r="P896" s="3" t="s">
        <v>23</v>
      </c>
      <c r="Q896" s="6">
        <f t="shared" si="3"/>
        <v>430000</v>
      </c>
    </row>
    <row r="897">
      <c r="A897" s="3">
        <v>65635.0</v>
      </c>
      <c r="B897" s="3" t="s">
        <v>735</v>
      </c>
      <c r="C897" s="3" t="s">
        <v>35</v>
      </c>
      <c r="D897" s="4" t="str">
        <f t="shared" si="1"/>
        <v>Ms.</v>
      </c>
      <c r="E897" s="3" t="str">
        <f t="shared" si="4"/>
        <v>Ms. Kashvi Bhatt</v>
      </c>
      <c r="F897" s="3" t="str">
        <f>IFERROR(__xludf.DUMMYFUNCTION("SPLIT(B897,"" "")"),"Kashvi")</f>
        <v>Kashvi</v>
      </c>
      <c r="G897" s="3" t="str">
        <f>IFERROR(__xludf.DUMMYFUNCTION("""COMPUTED_VALUE"""),"Bhatt")</f>
        <v>Bhatt</v>
      </c>
      <c r="H897" s="3" t="s">
        <v>46</v>
      </c>
      <c r="I897" s="3">
        <v>2023.0</v>
      </c>
      <c r="J897" s="3">
        <f t="shared" si="2"/>
        <v>5000</v>
      </c>
      <c r="K897" s="3" t="s">
        <v>26</v>
      </c>
      <c r="L897" s="10">
        <v>2422.0</v>
      </c>
      <c r="M897" s="3" t="s">
        <v>21</v>
      </c>
      <c r="N897" s="3">
        <v>42.0</v>
      </c>
      <c r="O897" s="3" t="s">
        <v>22</v>
      </c>
      <c r="P897" s="3" t="s">
        <v>38</v>
      </c>
      <c r="Q897" s="6">
        <f t="shared" si="3"/>
        <v>635000</v>
      </c>
    </row>
    <row r="898">
      <c r="A898" s="3">
        <v>65637.0</v>
      </c>
      <c r="B898" s="3" t="s">
        <v>736</v>
      </c>
      <c r="C898" s="3" t="s">
        <v>35</v>
      </c>
      <c r="D898" s="4" t="str">
        <f t="shared" si="1"/>
        <v>Ms.</v>
      </c>
      <c r="E898" s="3" t="str">
        <f t="shared" si="4"/>
        <v>Ms. Avni Chopra</v>
      </c>
      <c r="F898" s="3" t="str">
        <f>IFERROR(__xludf.DUMMYFUNCTION("SPLIT(B898,"" "")"),"Avni")</f>
        <v>Avni</v>
      </c>
      <c r="G898" s="3" t="str">
        <f>IFERROR(__xludf.DUMMYFUNCTION("""COMPUTED_VALUE"""),"Chopra")</f>
        <v>Chopra</v>
      </c>
      <c r="H898" s="3" t="s">
        <v>33</v>
      </c>
      <c r="I898" s="3">
        <v>2024.0</v>
      </c>
      <c r="J898" s="3">
        <f t="shared" si="2"/>
        <v>10000</v>
      </c>
      <c r="K898" s="3" t="s">
        <v>20</v>
      </c>
      <c r="L898" s="10">
        <v>3624.0</v>
      </c>
      <c r="M898" s="3" t="s">
        <v>30</v>
      </c>
      <c r="N898" s="3">
        <v>25.0</v>
      </c>
      <c r="O898" s="3" t="s">
        <v>41</v>
      </c>
      <c r="P898" s="3" t="s">
        <v>31</v>
      </c>
      <c r="Q898" s="6">
        <f t="shared" si="3"/>
        <v>910000</v>
      </c>
    </row>
    <row r="899">
      <c r="A899" s="3">
        <v>65638.0</v>
      </c>
      <c r="B899" s="3" t="s">
        <v>737</v>
      </c>
      <c r="C899" s="3" t="s">
        <v>35</v>
      </c>
      <c r="D899" s="4" t="str">
        <f t="shared" si="1"/>
        <v>Ms.</v>
      </c>
      <c r="E899" s="3" t="str">
        <f t="shared" si="4"/>
        <v>Ms. Prisha Prasad</v>
      </c>
      <c r="F899" s="3" t="str">
        <f>IFERROR(__xludf.DUMMYFUNCTION("SPLIT(B899,"" "")"),"Prisha")</f>
        <v>Prisha</v>
      </c>
      <c r="G899" s="3" t="str">
        <f>IFERROR(__xludf.DUMMYFUNCTION("""COMPUTED_VALUE"""),"Prasad")</f>
        <v>Prasad</v>
      </c>
      <c r="H899" s="3" t="s">
        <v>33</v>
      </c>
      <c r="I899" s="3">
        <v>2022.0</v>
      </c>
      <c r="J899" s="3">
        <f t="shared" si="2"/>
        <v>10000</v>
      </c>
      <c r="K899" s="3" t="s">
        <v>20</v>
      </c>
      <c r="L899" s="3">
        <v>243.0</v>
      </c>
      <c r="M899" s="3" t="s">
        <v>21</v>
      </c>
      <c r="N899" s="3">
        <v>67.0</v>
      </c>
      <c r="O899" s="3" t="s">
        <v>22</v>
      </c>
      <c r="P899" s="3" t="s">
        <v>78</v>
      </c>
      <c r="Q899" s="6">
        <f t="shared" si="3"/>
        <v>255000</v>
      </c>
    </row>
    <row r="900">
      <c r="A900" s="3">
        <v>65640.0</v>
      </c>
      <c r="B900" s="3" t="s">
        <v>738</v>
      </c>
      <c r="C900" s="3" t="s">
        <v>35</v>
      </c>
      <c r="D900" s="4" t="str">
        <f t="shared" si="1"/>
        <v>Ms.</v>
      </c>
      <c r="E900" s="3" t="str">
        <f t="shared" si="4"/>
        <v>Ms. Siya Thakur</v>
      </c>
      <c r="F900" s="3" t="str">
        <f>IFERROR(__xludf.DUMMYFUNCTION("SPLIT(B900,"" "")"),"Siya")</f>
        <v>Siya</v>
      </c>
      <c r="G900" s="3" t="str">
        <f>IFERROR(__xludf.DUMMYFUNCTION("""COMPUTED_VALUE"""),"Thakur")</f>
        <v>Thakur</v>
      </c>
      <c r="H900" s="3" t="s">
        <v>25</v>
      </c>
      <c r="I900" s="3">
        <v>2022.0</v>
      </c>
      <c r="J900" s="3">
        <f t="shared" si="2"/>
        <v>10000</v>
      </c>
      <c r="K900" s="3" t="s">
        <v>20</v>
      </c>
      <c r="L900" s="3">
        <v>0.0</v>
      </c>
      <c r="M900" s="3" t="s">
        <v>30</v>
      </c>
      <c r="N900" s="3">
        <v>66.0</v>
      </c>
      <c r="O900" s="3" t="s">
        <v>22</v>
      </c>
      <c r="P900" s="3" t="s">
        <v>31</v>
      </c>
      <c r="Q900" s="6">
        <f t="shared" si="3"/>
        <v>910000</v>
      </c>
    </row>
    <row r="901">
      <c r="A901" s="3">
        <v>65641.0</v>
      </c>
      <c r="B901" s="3" t="s">
        <v>739</v>
      </c>
      <c r="C901" s="3" t="s">
        <v>35</v>
      </c>
      <c r="D901" s="4" t="str">
        <f t="shared" si="1"/>
        <v>Ms.</v>
      </c>
      <c r="E901" s="3" t="str">
        <f t="shared" si="4"/>
        <v>Ms. Saanvi Joshi</v>
      </c>
      <c r="F901" s="3" t="str">
        <f>IFERROR(__xludf.DUMMYFUNCTION("SPLIT(B901,"" "")"),"Saanvi")</f>
        <v>Saanvi</v>
      </c>
      <c r="G901" s="3" t="str">
        <f>IFERROR(__xludf.DUMMYFUNCTION("""COMPUTED_VALUE"""),"Joshi")</f>
        <v>Joshi</v>
      </c>
      <c r="H901" s="3" t="s">
        <v>19</v>
      </c>
      <c r="I901" s="3">
        <v>2019.0</v>
      </c>
      <c r="J901" s="3">
        <f t="shared" si="2"/>
        <v>5000</v>
      </c>
      <c r="K901" s="3" t="s">
        <v>26</v>
      </c>
      <c r="L901" s="3">
        <v>3713.0</v>
      </c>
      <c r="M901" s="3" t="s">
        <v>21</v>
      </c>
      <c r="N901" s="3">
        <v>28.0</v>
      </c>
      <c r="O901" s="3" t="s">
        <v>22</v>
      </c>
      <c r="P901" s="3" t="s">
        <v>31</v>
      </c>
      <c r="Q901" s="6">
        <f t="shared" si="3"/>
        <v>910000</v>
      </c>
    </row>
    <row r="902">
      <c r="A902" s="3">
        <v>65642.0</v>
      </c>
      <c r="B902" s="3" t="s">
        <v>740</v>
      </c>
      <c r="C902" s="3" t="s">
        <v>35</v>
      </c>
      <c r="D902" s="4" t="str">
        <f t="shared" si="1"/>
        <v>Ms.</v>
      </c>
      <c r="E902" s="3" t="str">
        <f t="shared" si="4"/>
        <v>Ms. Ira Mishra</v>
      </c>
      <c r="F902" s="3" t="str">
        <f>IFERROR(__xludf.DUMMYFUNCTION("SPLIT(B902,"" "")"),"Ira")</f>
        <v>Ira</v>
      </c>
      <c r="G902" s="3" t="str">
        <f>IFERROR(__xludf.DUMMYFUNCTION("""COMPUTED_VALUE"""),"Mishra")</f>
        <v>Mishra</v>
      </c>
      <c r="H902" s="3" t="s">
        <v>25</v>
      </c>
      <c r="I902" s="3">
        <v>2020.0</v>
      </c>
      <c r="J902" s="3">
        <f t="shared" si="2"/>
        <v>10000</v>
      </c>
      <c r="K902" s="3" t="s">
        <v>26</v>
      </c>
      <c r="L902" s="3">
        <v>4935.0</v>
      </c>
      <c r="M902" s="3" t="s">
        <v>30</v>
      </c>
      <c r="N902" s="3">
        <v>17.0</v>
      </c>
      <c r="O902" s="3" t="s">
        <v>22</v>
      </c>
      <c r="P902" s="3" t="s">
        <v>31</v>
      </c>
      <c r="Q902" s="6">
        <f t="shared" si="3"/>
        <v>910000</v>
      </c>
    </row>
    <row r="903">
      <c r="A903" s="3">
        <v>65643.0</v>
      </c>
      <c r="B903" s="3" t="s">
        <v>303</v>
      </c>
      <c r="C903" s="3" t="s">
        <v>35</v>
      </c>
      <c r="D903" s="4" t="str">
        <f t="shared" si="1"/>
        <v>Ms.</v>
      </c>
      <c r="E903" s="3" t="str">
        <f t="shared" si="4"/>
        <v>Ms. Aadhya Dutta</v>
      </c>
      <c r="F903" s="3" t="str">
        <f>IFERROR(__xludf.DUMMYFUNCTION("SPLIT(B903,"" "")"),"Aadhya")</f>
        <v>Aadhya</v>
      </c>
      <c r="G903" s="3" t="str">
        <f>IFERROR(__xludf.DUMMYFUNCTION("""COMPUTED_VALUE"""),"Dutta")</f>
        <v>Dutta</v>
      </c>
      <c r="H903" s="3" t="s">
        <v>33</v>
      </c>
      <c r="I903" s="3">
        <v>2024.0</v>
      </c>
      <c r="J903" s="3">
        <f t="shared" si="2"/>
        <v>10000</v>
      </c>
      <c r="K903" s="3" t="s">
        <v>26</v>
      </c>
      <c r="L903" s="3">
        <v>21429.0</v>
      </c>
      <c r="M903" s="3" t="s">
        <v>21</v>
      </c>
      <c r="N903" s="3">
        <v>4.0</v>
      </c>
      <c r="O903" s="3" t="s">
        <v>22</v>
      </c>
      <c r="P903" s="3" t="s">
        <v>28</v>
      </c>
      <c r="Q903" s="6">
        <f t="shared" si="3"/>
        <v>400000</v>
      </c>
    </row>
    <row r="904">
      <c r="A904" s="3">
        <v>65644.0</v>
      </c>
      <c r="B904" s="3" t="s">
        <v>307</v>
      </c>
      <c r="C904" s="3" t="s">
        <v>35</v>
      </c>
      <c r="D904" s="4" t="str">
        <f t="shared" si="1"/>
        <v>Ms.</v>
      </c>
      <c r="E904" s="3" t="str">
        <f t="shared" si="4"/>
        <v>Ms. Aadhya Malik</v>
      </c>
      <c r="F904" s="3" t="str">
        <f>IFERROR(__xludf.DUMMYFUNCTION("SPLIT(B904,"" "")"),"Aadhya")</f>
        <v>Aadhya</v>
      </c>
      <c r="G904" s="3" t="str">
        <f>IFERROR(__xludf.DUMMYFUNCTION("""COMPUTED_VALUE"""),"Malik")</f>
        <v>Malik</v>
      </c>
      <c r="H904" s="3" t="s">
        <v>25</v>
      </c>
      <c r="I904" s="3">
        <v>2021.0</v>
      </c>
      <c r="J904" s="3">
        <f t="shared" si="2"/>
        <v>10000</v>
      </c>
      <c r="K904" s="3" t="s">
        <v>20</v>
      </c>
      <c r="L904" s="3">
        <v>0.0</v>
      </c>
      <c r="M904" s="3" t="s">
        <v>30</v>
      </c>
      <c r="N904" s="3">
        <v>21.0</v>
      </c>
      <c r="O904" s="3" t="s">
        <v>22</v>
      </c>
      <c r="P904" s="3" t="s">
        <v>38</v>
      </c>
      <c r="Q904" s="6">
        <f t="shared" si="3"/>
        <v>635000</v>
      </c>
    </row>
    <row r="905">
      <c r="A905" s="3">
        <v>65645.0</v>
      </c>
      <c r="B905" s="3" t="s">
        <v>741</v>
      </c>
      <c r="C905" s="3" t="s">
        <v>18</v>
      </c>
      <c r="D905" s="4" t="str">
        <f t="shared" si="1"/>
        <v>Mr.</v>
      </c>
      <c r="E905" s="3" t="str">
        <f t="shared" si="4"/>
        <v>Mr. Yashvi Thakur</v>
      </c>
      <c r="F905" s="3" t="str">
        <f>IFERROR(__xludf.DUMMYFUNCTION("SPLIT(B905,"" "")"),"Yashvi")</f>
        <v>Yashvi</v>
      </c>
      <c r="G905" s="3" t="str">
        <f>IFERROR(__xludf.DUMMYFUNCTION("""COMPUTED_VALUE"""),"Thakur")</f>
        <v>Thakur</v>
      </c>
      <c r="H905" s="3" t="s">
        <v>19</v>
      </c>
      <c r="I905" s="3">
        <v>2024.0</v>
      </c>
      <c r="J905" s="3">
        <f t="shared" si="2"/>
        <v>5000</v>
      </c>
      <c r="K905" s="3" t="s">
        <v>26</v>
      </c>
      <c r="L905" s="3">
        <v>9809.0</v>
      </c>
      <c r="M905" s="3" t="s">
        <v>30</v>
      </c>
      <c r="N905" s="3">
        <v>33.0</v>
      </c>
      <c r="O905" s="3" t="s">
        <v>22</v>
      </c>
      <c r="P905" s="3" t="s">
        <v>31</v>
      </c>
      <c r="Q905" s="6">
        <f t="shared" si="3"/>
        <v>910000</v>
      </c>
    </row>
    <row r="906">
      <c r="A906" s="3">
        <v>65646.0</v>
      </c>
      <c r="B906" s="3" t="s">
        <v>690</v>
      </c>
      <c r="C906" s="3" t="s">
        <v>18</v>
      </c>
      <c r="D906" s="4" t="str">
        <f t="shared" si="1"/>
        <v>Mr.</v>
      </c>
      <c r="E906" s="3" t="str">
        <f t="shared" si="4"/>
        <v>Mr. Shaurya Desai</v>
      </c>
      <c r="F906" s="3" t="str">
        <f>IFERROR(__xludf.DUMMYFUNCTION("SPLIT(B906,"" "")"),"Shaurya")</f>
        <v>Shaurya</v>
      </c>
      <c r="G906" s="3" t="str">
        <f>IFERROR(__xludf.DUMMYFUNCTION("""COMPUTED_VALUE"""),"Desai")</f>
        <v>Desai</v>
      </c>
      <c r="H906" s="3" t="s">
        <v>25</v>
      </c>
      <c r="I906" s="3">
        <v>2023.0</v>
      </c>
      <c r="J906" s="3">
        <f t="shared" si="2"/>
        <v>10000</v>
      </c>
      <c r="K906" s="3" t="s">
        <v>20</v>
      </c>
      <c r="L906" s="3">
        <v>0.0</v>
      </c>
      <c r="M906" s="3" t="s">
        <v>30</v>
      </c>
      <c r="N906" s="3">
        <f>RANDBETWEEN(0,10)</f>
        <v>6</v>
      </c>
      <c r="O906" s="3" t="s">
        <v>22</v>
      </c>
      <c r="P906" s="3" t="s">
        <v>23</v>
      </c>
      <c r="Q906" s="6">
        <f t="shared" si="3"/>
        <v>430000</v>
      </c>
    </row>
    <row r="907">
      <c r="A907" s="3">
        <v>65647.0</v>
      </c>
      <c r="B907" s="3" t="s">
        <v>742</v>
      </c>
      <c r="C907" s="3" t="s">
        <v>35</v>
      </c>
      <c r="D907" s="4" t="str">
        <f t="shared" si="1"/>
        <v>Ms.</v>
      </c>
      <c r="E907" s="3" t="str">
        <f t="shared" si="4"/>
        <v>Ms. Riddhi Reddy</v>
      </c>
      <c r="F907" s="3" t="str">
        <f>IFERROR(__xludf.DUMMYFUNCTION("SPLIT(B907,"" "")"),"Riddhi")</f>
        <v>Riddhi</v>
      </c>
      <c r="G907" s="3" t="str">
        <f>IFERROR(__xludf.DUMMYFUNCTION("""COMPUTED_VALUE"""),"Reddy")</f>
        <v>Reddy</v>
      </c>
      <c r="H907" s="3" t="s">
        <v>46</v>
      </c>
      <c r="I907" s="3">
        <v>2024.0</v>
      </c>
      <c r="J907" s="3">
        <f t="shared" si="2"/>
        <v>5000</v>
      </c>
      <c r="K907" s="3" t="s">
        <v>20</v>
      </c>
      <c r="L907" s="10">
        <v>1172.0</v>
      </c>
      <c r="M907" s="3" t="s">
        <v>30</v>
      </c>
      <c r="N907" s="3">
        <v>57.0</v>
      </c>
      <c r="O907" s="3" t="s">
        <v>22</v>
      </c>
      <c r="P907" s="3" t="s">
        <v>38</v>
      </c>
      <c r="Q907" s="6">
        <f t="shared" si="3"/>
        <v>635000</v>
      </c>
    </row>
    <row r="908">
      <c r="A908" s="3">
        <v>65648.0</v>
      </c>
      <c r="B908" s="3" t="s">
        <v>136</v>
      </c>
      <c r="C908" s="3" t="s">
        <v>18</v>
      </c>
      <c r="D908" s="4" t="str">
        <f t="shared" si="1"/>
        <v>Mr.</v>
      </c>
      <c r="E908" s="3" t="str">
        <f t="shared" si="4"/>
        <v>Mr. Dhanush Verma</v>
      </c>
      <c r="F908" s="3" t="str">
        <f>IFERROR(__xludf.DUMMYFUNCTION("SPLIT(B908,"" "")"),"Dhanush")</f>
        <v>Dhanush</v>
      </c>
      <c r="G908" s="3" t="str">
        <f>IFERROR(__xludf.DUMMYFUNCTION("""COMPUTED_VALUE"""),"Verma")</f>
        <v>Verma</v>
      </c>
      <c r="H908" s="3" t="s">
        <v>25</v>
      </c>
      <c r="I908" s="3">
        <v>2020.0</v>
      </c>
      <c r="J908" s="3">
        <f t="shared" si="2"/>
        <v>10000</v>
      </c>
      <c r="K908" s="3" t="s">
        <v>20</v>
      </c>
      <c r="L908" s="3">
        <v>0.0</v>
      </c>
      <c r="M908" s="3" t="s">
        <v>30</v>
      </c>
      <c r="N908" s="3">
        <v>36.0</v>
      </c>
      <c r="O908" s="3" t="s">
        <v>22</v>
      </c>
      <c r="P908" s="3" t="s">
        <v>38</v>
      </c>
      <c r="Q908" s="6">
        <f t="shared" si="3"/>
        <v>635000</v>
      </c>
    </row>
    <row r="909">
      <c r="A909" s="3">
        <v>65649.0</v>
      </c>
      <c r="B909" s="3" t="s">
        <v>743</v>
      </c>
      <c r="C909" s="3" t="s">
        <v>35</v>
      </c>
      <c r="D909" s="4" t="str">
        <f t="shared" si="1"/>
        <v>Ms.</v>
      </c>
      <c r="E909" s="3" t="str">
        <f t="shared" si="4"/>
        <v>Ms. Mishka Patel</v>
      </c>
      <c r="F909" s="3" t="str">
        <f>IFERROR(__xludf.DUMMYFUNCTION("SPLIT(B909,"" "")"),"Mishka")</f>
        <v>Mishka</v>
      </c>
      <c r="G909" s="3" t="str">
        <f>IFERROR(__xludf.DUMMYFUNCTION("""COMPUTED_VALUE"""),"Patel")</f>
        <v>Patel</v>
      </c>
      <c r="H909" s="3" t="s">
        <v>46</v>
      </c>
      <c r="I909" s="3">
        <v>2027.0</v>
      </c>
      <c r="J909" s="3">
        <f t="shared" si="2"/>
        <v>5000</v>
      </c>
      <c r="K909" s="3" t="s">
        <v>26</v>
      </c>
      <c r="L909" s="3">
        <v>19119.0</v>
      </c>
      <c r="M909" s="3" t="s">
        <v>30</v>
      </c>
      <c r="N909" s="3">
        <v>21.0</v>
      </c>
      <c r="O909" s="3" t="s">
        <v>22</v>
      </c>
      <c r="P909" s="3" t="s">
        <v>23</v>
      </c>
      <c r="Q909" s="6">
        <f t="shared" si="3"/>
        <v>430000</v>
      </c>
    </row>
    <row r="910">
      <c r="A910" s="3">
        <v>65650.0</v>
      </c>
      <c r="B910" s="3" t="s">
        <v>698</v>
      </c>
      <c r="C910" s="3" t="s">
        <v>35</v>
      </c>
      <c r="D910" s="4" t="str">
        <f t="shared" si="1"/>
        <v>Ms.</v>
      </c>
      <c r="E910" s="3" t="str">
        <f t="shared" si="4"/>
        <v>Ms. Vanya Mehta</v>
      </c>
      <c r="F910" s="3" t="str">
        <f>IFERROR(__xludf.DUMMYFUNCTION("SPLIT(B910,"" "")"),"Vanya")</f>
        <v>Vanya</v>
      </c>
      <c r="G910" s="3" t="str">
        <f>IFERROR(__xludf.DUMMYFUNCTION("""COMPUTED_VALUE"""),"Mehta")</f>
        <v>Mehta</v>
      </c>
      <c r="H910" s="3" t="s">
        <v>33</v>
      </c>
      <c r="I910" s="3">
        <v>2019.0</v>
      </c>
      <c r="J910" s="3">
        <f t="shared" si="2"/>
        <v>10000</v>
      </c>
      <c r="K910" s="3" t="s">
        <v>20</v>
      </c>
      <c r="L910" s="3">
        <v>0.0</v>
      </c>
      <c r="M910" s="3" t="s">
        <v>30</v>
      </c>
      <c r="N910" s="3">
        <v>15.0</v>
      </c>
      <c r="O910" s="3" t="s">
        <v>22</v>
      </c>
      <c r="P910" s="3" t="s">
        <v>78</v>
      </c>
      <c r="Q910" s="6">
        <f t="shared" si="3"/>
        <v>255000</v>
      </c>
    </row>
    <row r="911">
      <c r="A911" s="3">
        <v>65651.0</v>
      </c>
      <c r="B911" s="3" t="s">
        <v>744</v>
      </c>
      <c r="C911" s="3" t="s">
        <v>18</v>
      </c>
      <c r="D911" s="4" t="str">
        <f t="shared" si="1"/>
        <v>Mr.</v>
      </c>
      <c r="E911" s="3" t="str">
        <f t="shared" si="4"/>
        <v>Mr. Krishna Reddy</v>
      </c>
      <c r="F911" s="3" t="str">
        <f>IFERROR(__xludf.DUMMYFUNCTION("SPLIT(B911,"" "")"),"Krishna")</f>
        <v>Krishna</v>
      </c>
      <c r="G911" s="3" t="str">
        <f>IFERROR(__xludf.DUMMYFUNCTION("""COMPUTED_VALUE"""),"Reddy")</f>
        <v>Reddy</v>
      </c>
      <c r="H911" s="3" t="s">
        <v>46</v>
      </c>
      <c r="I911" s="3">
        <v>2024.0</v>
      </c>
      <c r="J911" s="3">
        <f t="shared" si="2"/>
        <v>5000</v>
      </c>
      <c r="K911" s="3" t="s">
        <v>26</v>
      </c>
      <c r="L911" s="10">
        <v>8696.0</v>
      </c>
      <c r="M911" s="3" t="s">
        <v>30</v>
      </c>
      <c r="N911" s="3">
        <v>12.0</v>
      </c>
      <c r="O911" s="3" t="s">
        <v>22</v>
      </c>
      <c r="P911" s="3" t="s">
        <v>38</v>
      </c>
      <c r="Q911" s="6">
        <f t="shared" si="3"/>
        <v>635000</v>
      </c>
    </row>
    <row r="912">
      <c r="A912" s="3">
        <v>65652.0</v>
      </c>
      <c r="B912" s="3" t="s">
        <v>745</v>
      </c>
      <c r="C912" s="3" t="s">
        <v>35</v>
      </c>
      <c r="D912" s="4" t="str">
        <f t="shared" si="1"/>
        <v>Ms.</v>
      </c>
      <c r="E912" s="3" t="str">
        <f t="shared" si="4"/>
        <v>Ms. Charvi Mehta</v>
      </c>
      <c r="F912" s="3" t="str">
        <f>IFERROR(__xludf.DUMMYFUNCTION("SPLIT(B912,"" "")"),"Charvi")</f>
        <v>Charvi</v>
      </c>
      <c r="G912" s="3" t="str">
        <f>IFERROR(__xludf.DUMMYFUNCTION("""COMPUTED_VALUE"""),"Mehta")</f>
        <v>Mehta</v>
      </c>
      <c r="H912" s="3" t="s">
        <v>25</v>
      </c>
      <c r="I912" s="3">
        <v>2026.0</v>
      </c>
      <c r="J912" s="3">
        <f t="shared" si="2"/>
        <v>10000</v>
      </c>
      <c r="K912" s="3" t="s">
        <v>26</v>
      </c>
      <c r="L912" s="3">
        <v>1406.0</v>
      </c>
      <c r="M912" s="3" t="s">
        <v>21</v>
      </c>
      <c r="N912" s="3">
        <f t="shared" ref="N912:N913" si="41">RANDBETWEEN(0,10)</f>
        <v>10</v>
      </c>
      <c r="O912" s="3" t="s">
        <v>22</v>
      </c>
      <c r="P912" s="3" t="s">
        <v>23</v>
      </c>
      <c r="Q912" s="6">
        <f t="shared" si="3"/>
        <v>430000</v>
      </c>
    </row>
    <row r="913">
      <c r="A913" s="3">
        <v>65653.0</v>
      </c>
      <c r="B913" s="3" t="s">
        <v>746</v>
      </c>
      <c r="C913" s="3" t="s">
        <v>18</v>
      </c>
      <c r="D913" s="4" t="str">
        <f t="shared" si="1"/>
        <v>Mr.</v>
      </c>
      <c r="E913" s="3" t="str">
        <f t="shared" si="4"/>
        <v>Mr. Anirudh Reddy</v>
      </c>
      <c r="F913" s="3" t="str">
        <f>IFERROR(__xludf.DUMMYFUNCTION("SPLIT(B913,"" "")"),"Anirudh")</f>
        <v>Anirudh</v>
      </c>
      <c r="G913" s="3" t="str">
        <f>IFERROR(__xludf.DUMMYFUNCTION("""COMPUTED_VALUE"""),"Reddy")</f>
        <v>Reddy</v>
      </c>
      <c r="H913" s="3" t="s">
        <v>25</v>
      </c>
      <c r="I913" s="3">
        <v>2026.0</v>
      </c>
      <c r="J913" s="3">
        <f t="shared" si="2"/>
        <v>10000</v>
      </c>
      <c r="K913" s="3" t="s">
        <v>20</v>
      </c>
      <c r="L913" s="3">
        <v>0.0</v>
      </c>
      <c r="M913" s="3" t="s">
        <v>30</v>
      </c>
      <c r="N913" s="3">
        <f t="shared" si="41"/>
        <v>3</v>
      </c>
      <c r="O913" s="3" t="s">
        <v>22</v>
      </c>
      <c r="P913" s="3" t="s">
        <v>28</v>
      </c>
      <c r="Q913" s="6">
        <f t="shared" si="3"/>
        <v>400000</v>
      </c>
    </row>
    <row r="914">
      <c r="A914" s="3">
        <v>65654.0</v>
      </c>
      <c r="B914" s="3" t="s">
        <v>747</v>
      </c>
      <c r="C914" s="3" t="s">
        <v>18</v>
      </c>
      <c r="D914" s="4" t="str">
        <f t="shared" si="1"/>
        <v>Mr.</v>
      </c>
      <c r="E914" s="3" t="str">
        <f t="shared" si="4"/>
        <v>Mr. Atharv Patel</v>
      </c>
      <c r="F914" s="3" t="str">
        <f>IFERROR(__xludf.DUMMYFUNCTION("SPLIT(B914,"" "")"),"Atharv")</f>
        <v>Atharv</v>
      </c>
      <c r="G914" s="3" t="str">
        <f>IFERROR(__xludf.DUMMYFUNCTION("""COMPUTED_VALUE"""),"Patel")</f>
        <v>Patel</v>
      </c>
      <c r="H914" s="3" t="s">
        <v>46</v>
      </c>
      <c r="I914" s="3">
        <v>2024.0</v>
      </c>
      <c r="J914" s="3">
        <f t="shared" si="2"/>
        <v>5000</v>
      </c>
      <c r="K914" s="3" t="s">
        <v>20</v>
      </c>
      <c r="L914" s="3">
        <v>19.0</v>
      </c>
      <c r="M914" s="3" t="s">
        <v>30</v>
      </c>
      <c r="N914" s="3">
        <v>31.0</v>
      </c>
      <c r="O914" s="3" t="s">
        <v>41</v>
      </c>
      <c r="P914" s="3" t="s">
        <v>31</v>
      </c>
      <c r="Q914" s="6">
        <f t="shared" si="3"/>
        <v>910000</v>
      </c>
    </row>
    <row r="915">
      <c r="A915" s="3">
        <v>65655.0</v>
      </c>
      <c r="B915" s="3" t="s">
        <v>646</v>
      </c>
      <c r="C915" s="3" t="s">
        <v>35</v>
      </c>
      <c r="D915" s="4" t="str">
        <f t="shared" si="1"/>
        <v>Ms.</v>
      </c>
      <c r="E915" s="3" t="str">
        <f t="shared" si="4"/>
        <v>Ms. Kyra Das</v>
      </c>
      <c r="F915" s="3" t="str">
        <f>IFERROR(__xludf.DUMMYFUNCTION("SPLIT(B915,"" "")"),"Kyra")</f>
        <v>Kyra</v>
      </c>
      <c r="G915" s="3" t="str">
        <f>IFERROR(__xludf.DUMMYFUNCTION("""COMPUTED_VALUE"""),"Das")</f>
        <v>Das</v>
      </c>
      <c r="H915" s="3" t="s">
        <v>33</v>
      </c>
      <c r="I915" s="3">
        <v>2016.0</v>
      </c>
      <c r="J915" s="3">
        <f t="shared" si="2"/>
        <v>10000</v>
      </c>
      <c r="K915" s="3" t="s">
        <v>26</v>
      </c>
      <c r="L915" s="3">
        <v>4230.0</v>
      </c>
      <c r="M915" s="3" t="s">
        <v>21</v>
      </c>
      <c r="N915" s="3">
        <v>25.0</v>
      </c>
      <c r="O915" s="3" t="s">
        <v>22</v>
      </c>
      <c r="P915" s="3" t="s">
        <v>31</v>
      </c>
      <c r="Q915" s="6">
        <f t="shared" si="3"/>
        <v>910000</v>
      </c>
    </row>
    <row r="916">
      <c r="A916" s="3">
        <v>65656.0</v>
      </c>
      <c r="B916" s="3" t="s">
        <v>748</v>
      </c>
      <c r="C916" s="3" t="s">
        <v>18</v>
      </c>
      <c r="D916" s="4" t="str">
        <f t="shared" si="1"/>
        <v>Mr.</v>
      </c>
      <c r="E916" s="3" t="str">
        <f t="shared" si="4"/>
        <v>Mr. Sai Thakur</v>
      </c>
      <c r="F916" s="3" t="str">
        <f>IFERROR(__xludf.DUMMYFUNCTION("SPLIT(B916,"" "")"),"Sai")</f>
        <v>Sai</v>
      </c>
      <c r="G916" s="3" t="str">
        <f>IFERROR(__xludf.DUMMYFUNCTION("""COMPUTED_VALUE"""),"Thakur")</f>
        <v>Thakur</v>
      </c>
      <c r="H916" s="3" t="s">
        <v>25</v>
      </c>
      <c r="I916" s="3">
        <v>2021.0</v>
      </c>
      <c r="J916" s="3">
        <f t="shared" si="2"/>
        <v>10000</v>
      </c>
      <c r="K916" s="3" t="s">
        <v>20</v>
      </c>
      <c r="L916" s="3">
        <v>0.0</v>
      </c>
      <c r="M916" s="3" t="s">
        <v>30</v>
      </c>
      <c r="N916" s="3">
        <v>78.0</v>
      </c>
      <c r="O916" s="3" t="s">
        <v>22</v>
      </c>
      <c r="P916" s="3" t="s">
        <v>38</v>
      </c>
      <c r="Q916" s="6">
        <f t="shared" si="3"/>
        <v>635000</v>
      </c>
    </row>
    <row r="917">
      <c r="A917" s="3">
        <v>65657.0</v>
      </c>
      <c r="B917" s="3" t="s">
        <v>264</v>
      </c>
      <c r="C917" s="3" t="s">
        <v>18</v>
      </c>
      <c r="D917" s="4" t="str">
        <f t="shared" si="1"/>
        <v>Mr.</v>
      </c>
      <c r="E917" s="3" t="str">
        <f t="shared" si="4"/>
        <v>Mr. Anirudh Mehta</v>
      </c>
      <c r="F917" s="3" t="str">
        <f>IFERROR(__xludf.DUMMYFUNCTION("SPLIT(B917,"" "")"),"Anirudh")</f>
        <v>Anirudh</v>
      </c>
      <c r="G917" s="3" t="str">
        <f>IFERROR(__xludf.DUMMYFUNCTION("""COMPUTED_VALUE"""),"Mehta")</f>
        <v>Mehta</v>
      </c>
      <c r="H917" s="3" t="s">
        <v>19</v>
      </c>
      <c r="I917" s="3">
        <v>2023.0</v>
      </c>
      <c r="J917" s="3">
        <f t="shared" si="2"/>
        <v>5000</v>
      </c>
      <c r="K917" s="3" t="s">
        <v>20</v>
      </c>
      <c r="L917" s="3">
        <v>0.0</v>
      </c>
      <c r="M917" s="3" t="s">
        <v>30</v>
      </c>
      <c r="N917" s="3">
        <v>74.0</v>
      </c>
      <c r="O917" s="3" t="s">
        <v>22</v>
      </c>
      <c r="P917" s="3" t="s">
        <v>31</v>
      </c>
      <c r="Q917" s="6">
        <f t="shared" si="3"/>
        <v>910000</v>
      </c>
    </row>
    <row r="918">
      <c r="A918" s="3">
        <v>65658.0</v>
      </c>
      <c r="B918" s="3" t="s">
        <v>749</v>
      </c>
      <c r="C918" s="3" t="s">
        <v>18</v>
      </c>
      <c r="D918" s="4" t="str">
        <f t="shared" si="1"/>
        <v>Mr.</v>
      </c>
      <c r="E918" s="3" t="str">
        <f t="shared" si="4"/>
        <v>Mr. Samarth Thakur</v>
      </c>
      <c r="F918" s="3" t="str">
        <f>IFERROR(__xludf.DUMMYFUNCTION("SPLIT(B918,"" "")"),"Samarth")</f>
        <v>Samarth</v>
      </c>
      <c r="G918" s="3" t="str">
        <f>IFERROR(__xludf.DUMMYFUNCTION("""COMPUTED_VALUE"""),"Thakur")</f>
        <v>Thakur</v>
      </c>
      <c r="H918" s="3" t="s">
        <v>19</v>
      </c>
      <c r="I918" s="3">
        <v>2027.0</v>
      </c>
      <c r="J918" s="3">
        <f t="shared" si="2"/>
        <v>5000</v>
      </c>
      <c r="K918" s="3" t="s">
        <v>26</v>
      </c>
      <c r="L918" s="3">
        <v>23564.0</v>
      </c>
      <c r="M918" s="3" t="s">
        <v>30</v>
      </c>
      <c r="N918" s="3">
        <v>52.0</v>
      </c>
      <c r="O918" s="3" t="s">
        <v>22</v>
      </c>
      <c r="P918" s="3" t="s">
        <v>31</v>
      </c>
      <c r="Q918" s="6">
        <f t="shared" si="3"/>
        <v>910000</v>
      </c>
    </row>
    <row r="919">
      <c r="A919" s="3">
        <v>65659.0</v>
      </c>
      <c r="B919" s="3" t="s">
        <v>750</v>
      </c>
      <c r="C919" s="3" t="s">
        <v>18</v>
      </c>
      <c r="D919" s="4" t="str">
        <f t="shared" si="1"/>
        <v>Mr.</v>
      </c>
      <c r="E919" s="3" t="str">
        <f t="shared" si="4"/>
        <v>Mr. Kabir Iyer</v>
      </c>
      <c r="F919" s="3" t="str">
        <f>IFERROR(__xludf.DUMMYFUNCTION("SPLIT(B919,"" "")"),"Kabir")</f>
        <v>Kabir</v>
      </c>
      <c r="G919" s="3" t="str">
        <f>IFERROR(__xludf.DUMMYFUNCTION("""COMPUTED_VALUE"""),"Iyer")</f>
        <v>Iyer</v>
      </c>
      <c r="H919" s="3" t="s">
        <v>25</v>
      </c>
      <c r="I919" s="3">
        <v>2028.0</v>
      </c>
      <c r="J919" s="3">
        <f t="shared" si="2"/>
        <v>10000</v>
      </c>
      <c r="K919" s="3" t="s">
        <v>20</v>
      </c>
      <c r="L919" s="3">
        <v>0.0</v>
      </c>
      <c r="M919" s="3" t="s">
        <v>21</v>
      </c>
      <c r="N919" s="3">
        <v>20.0</v>
      </c>
      <c r="O919" s="3" t="s">
        <v>22</v>
      </c>
      <c r="P919" s="3" t="s">
        <v>31</v>
      </c>
      <c r="Q919" s="6">
        <f t="shared" si="3"/>
        <v>910000</v>
      </c>
    </row>
    <row r="920">
      <c r="A920" s="3">
        <v>65660.0</v>
      </c>
      <c r="B920" s="3" t="s">
        <v>600</v>
      </c>
      <c r="C920" s="3" t="s">
        <v>35</v>
      </c>
      <c r="D920" s="4" t="str">
        <f t="shared" si="1"/>
        <v>Ms.</v>
      </c>
      <c r="E920" s="3" t="str">
        <f t="shared" si="4"/>
        <v>Ms. Gauri Sinha</v>
      </c>
      <c r="F920" s="3" t="str">
        <f>IFERROR(__xludf.DUMMYFUNCTION("SPLIT(B920,"" "")"),"Gauri")</f>
        <v>Gauri</v>
      </c>
      <c r="G920" s="3" t="str">
        <f>IFERROR(__xludf.DUMMYFUNCTION("""COMPUTED_VALUE"""),"Sinha")</f>
        <v>Sinha</v>
      </c>
      <c r="H920" s="3" t="s">
        <v>33</v>
      </c>
      <c r="I920" s="3">
        <v>2023.0</v>
      </c>
      <c r="J920" s="3">
        <f t="shared" si="2"/>
        <v>10000</v>
      </c>
      <c r="K920" s="3" t="s">
        <v>20</v>
      </c>
      <c r="L920" s="10">
        <v>4430.0</v>
      </c>
      <c r="M920" s="3" t="s">
        <v>21</v>
      </c>
      <c r="N920" s="3">
        <f>RANDBETWEEN(0,10)</f>
        <v>6</v>
      </c>
      <c r="O920" s="3" t="s">
        <v>22</v>
      </c>
      <c r="P920" s="3" t="s">
        <v>38</v>
      </c>
      <c r="Q920" s="6">
        <f t="shared" si="3"/>
        <v>635000</v>
      </c>
    </row>
    <row r="921">
      <c r="A921" s="3">
        <v>65661.0</v>
      </c>
      <c r="B921" s="3" t="s">
        <v>751</v>
      </c>
      <c r="C921" s="3" t="s">
        <v>35</v>
      </c>
      <c r="D921" s="4" t="str">
        <f t="shared" si="1"/>
        <v>Ms.</v>
      </c>
      <c r="E921" s="3" t="str">
        <f t="shared" si="4"/>
        <v>Ms. Myra Malik</v>
      </c>
      <c r="F921" s="3" t="str">
        <f>IFERROR(__xludf.DUMMYFUNCTION("SPLIT(B921,"" "")"),"Myra")</f>
        <v>Myra</v>
      </c>
      <c r="G921" s="3" t="str">
        <f>IFERROR(__xludf.DUMMYFUNCTION("""COMPUTED_VALUE"""),"Malik")</f>
        <v>Malik</v>
      </c>
      <c r="H921" s="3" t="s">
        <v>19</v>
      </c>
      <c r="I921" s="3">
        <v>2024.0</v>
      </c>
      <c r="J921" s="3">
        <f t="shared" si="2"/>
        <v>5000</v>
      </c>
      <c r="K921" s="3" t="s">
        <v>20</v>
      </c>
      <c r="L921" s="3">
        <v>216.0</v>
      </c>
      <c r="M921" s="3" t="s">
        <v>21</v>
      </c>
      <c r="N921" s="3">
        <v>5.0</v>
      </c>
      <c r="O921" s="3" t="s">
        <v>22</v>
      </c>
      <c r="P921" s="3" t="s">
        <v>31</v>
      </c>
      <c r="Q921" s="6">
        <f t="shared" si="3"/>
        <v>910000</v>
      </c>
    </row>
    <row r="922">
      <c r="A922" s="3">
        <v>65662.0</v>
      </c>
      <c r="B922" s="3" t="s">
        <v>189</v>
      </c>
      <c r="C922" s="3" t="s">
        <v>35</v>
      </c>
      <c r="D922" s="4" t="str">
        <f t="shared" si="1"/>
        <v>Ms.</v>
      </c>
      <c r="E922" s="3" t="str">
        <f t="shared" si="4"/>
        <v>Ms. Navya Iyer</v>
      </c>
      <c r="F922" s="3" t="str">
        <f>IFERROR(__xludf.DUMMYFUNCTION("SPLIT(B922,"" "")"),"Navya")</f>
        <v>Navya</v>
      </c>
      <c r="G922" s="3" t="str">
        <f>IFERROR(__xludf.DUMMYFUNCTION("""COMPUTED_VALUE"""),"Iyer")</f>
        <v>Iyer</v>
      </c>
      <c r="H922" s="3" t="s">
        <v>33</v>
      </c>
      <c r="I922" s="3">
        <v>2024.0</v>
      </c>
      <c r="J922" s="3">
        <f t="shared" si="2"/>
        <v>10000</v>
      </c>
      <c r="K922" s="3" t="s">
        <v>20</v>
      </c>
      <c r="L922" s="10">
        <v>5190.0</v>
      </c>
      <c r="M922" s="3" t="s">
        <v>30</v>
      </c>
      <c r="N922" s="3">
        <v>4.0</v>
      </c>
      <c r="O922" s="3" t="s">
        <v>22</v>
      </c>
      <c r="P922" s="3" t="s">
        <v>38</v>
      </c>
      <c r="Q922" s="6">
        <f t="shared" si="3"/>
        <v>635000</v>
      </c>
    </row>
    <row r="923">
      <c r="A923" s="3">
        <v>65663.0</v>
      </c>
      <c r="B923" s="3" t="s">
        <v>737</v>
      </c>
      <c r="C923" s="3" t="s">
        <v>35</v>
      </c>
      <c r="D923" s="4" t="str">
        <f t="shared" si="1"/>
        <v>Ms.</v>
      </c>
      <c r="E923" s="3" t="str">
        <f t="shared" si="4"/>
        <v>Ms. Prisha Prasad</v>
      </c>
      <c r="F923" s="3" t="str">
        <f>IFERROR(__xludf.DUMMYFUNCTION("SPLIT(B923,"" "")"),"Prisha")</f>
        <v>Prisha</v>
      </c>
      <c r="G923" s="3" t="str">
        <f>IFERROR(__xludf.DUMMYFUNCTION("""COMPUTED_VALUE"""),"Prasad")</f>
        <v>Prasad</v>
      </c>
      <c r="H923" s="3" t="s">
        <v>33</v>
      </c>
      <c r="I923" s="3">
        <v>2021.0</v>
      </c>
      <c r="J923" s="3">
        <f t="shared" si="2"/>
        <v>10000</v>
      </c>
      <c r="K923" s="3" t="s">
        <v>20</v>
      </c>
      <c r="L923" s="3">
        <v>0.0</v>
      </c>
      <c r="M923" s="3" t="s">
        <v>30</v>
      </c>
      <c r="N923" s="3">
        <v>49.0</v>
      </c>
      <c r="O923" s="3" t="s">
        <v>22</v>
      </c>
      <c r="P923" s="3" t="s">
        <v>38</v>
      </c>
      <c r="Q923" s="6">
        <f t="shared" si="3"/>
        <v>635000</v>
      </c>
    </row>
    <row r="924">
      <c r="A924" s="3">
        <v>65664.0</v>
      </c>
      <c r="B924" s="3" t="s">
        <v>752</v>
      </c>
      <c r="C924" s="3" t="s">
        <v>18</v>
      </c>
      <c r="D924" s="4" t="str">
        <f t="shared" si="1"/>
        <v>Mr.</v>
      </c>
      <c r="E924" s="3" t="str">
        <f t="shared" si="4"/>
        <v>Mr. Dev Gupta</v>
      </c>
      <c r="F924" s="3" t="str">
        <f>IFERROR(__xludf.DUMMYFUNCTION("SPLIT(B924,"" "")"),"Dev")</f>
        <v>Dev</v>
      </c>
      <c r="G924" s="3" t="str">
        <f>IFERROR(__xludf.DUMMYFUNCTION("""COMPUTED_VALUE"""),"Gupta")</f>
        <v>Gupta</v>
      </c>
      <c r="H924" s="3" t="s">
        <v>46</v>
      </c>
      <c r="I924" s="3">
        <v>2021.0</v>
      </c>
      <c r="J924" s="3">
        <f t="shared" si="2"/>
        <v>5000</v>
      </c>
      <c r="K924" s="3" t="s">
        <v>20</v>
      </c>
      <c r="L924" s="3">
        <v>0.0</v>
      </c>
      <c r="M924" s="3" t="s">
        <v>30</v>
      </c>
      <c r="N924" s="3">
        <v>47.0</v>
      </c>
      <c r="O924" s="3" t="s">
        <v>22</v>
      </c>
      <c r="P924" s="3" t="s">
        <v>38</v>
      </c>
      <c r="Q924" s="6">
        <f t="shared" si="3"/>
        <v>635000</v>
      </c>
    </row>
    <row r="925">
      <c r="A925" s="3">
        <v>65665.0</v>
      </c>
      <c r="B925" s="3" t="s">
        <v>753</v>
      </c>
      <c r="C925" s="3" t="s">
        <v>35</v>
      </c>
      <c r="D925" s="4" t="str">
        <f t="shared" si="1"/>
        <v>Ms.</v>
      </c>
      <c r="E925" s="3" t="str">
        <f t="shared" si="4"/>
        <v>Ms. Avni Desai</v>
      </c>
      <c r="F925" s="3" t="str">
        <f>IFERROR(__xludf.DUMMYFUNCTION("SPLIT(B925,"" "")"),"Avni")</f>
        <v>Avni</v>
      </c>
      <c r="G925" s="3" t="str">
        <f>IFERROR(__xludf.DUMMYFUNCTION("""COMPUTED_VALUE"""),"Desai")</f>
        <v>Desai</v>
      </c>
      <c r="H925" s="3" t="s">
        <v>25</v>
      </c>
      <c r="I925" s="3">
        <v>2018.0</v>
      </c>
      <c r="J925" s="3">
        <f t="shared" si="2"/>
        <v>10000</v>
      </c>
      <c r="K925" s="3" t="s">
        <v>20</v>
      </c>
      <c r="L925" s="10">
        <v>11799.0</v>
      </c>
      <c r="M925" s="3" t="s">
        <v>30</v>
      </c>
      <c r="N925" s="3">
        <v>48.0</v>
      </c>
      <c r="O925" s="3" t="s">
        <v>41</v>
      </c>
      <c r="P925" s="3" t="s">
        <v>31</v>
      </c>
      <c r="Q925" s="6">
        <f t="shared" si="3"/>
        <v>910000</v>
      </c>
    </row>
    <row r="926">
      <c r="A926" s="3">
        <v>65666.0</v>
      </c>
      <c r="B926" s="3" t="s">
        <v>512</v>
      </c>
      <c r="C926" s="3" t="s">
        <v>35</v>
      </c>
      <c r="D926" s="4" t="str">
        <f t="shared" si="1"/>
        <v>Ms.</v>
      </c>
      <c r="E926" s="3" t="str">
        <f t="shared" si="4"/>
        <v>Ms. Inaaya Prasad</v>
      </c>
      <c r="F926" s="3" t="str">
        <f>IFERROR(__xludf.DUMMYFUNCTION("SPLIT(B926,"" "")"),"Inaaya")</f>
        <v>Inaaya</v>
      </c>
      <c r="G926" s="3" t="str">
        <f>IFERROR(__xludf.DUMMYFUNCTION("""COMPUTED_VALUE"""),"Prasad")</f>
        <v>Prasad</v>
      </c>
      <c r="H926" s="3" t="s">
        <v>33</v>
      </c>
      <c r="I926" s="3">
        <v>2019.0</v>
      </c>
      <c r="J926" s="3">
        <f t="shared" si="2"/>
        <v>10000</v>
      </c>
      <c r="K926" s="3" t="s">
        <v>20</v>
      </c>
      <c r="L926" s="3">
        <v>0.0</v>
      </c>
      <c r="M926" s="3" t="s">
        <v>21</v>
      </c>
      <c r="N926" s="3">
        <f>RANDBETWEEN(0,10)</f>
        <v>8</v>
      </c>
      <c r="O926" s="3" t="s">
        <v>22</v>
      </c>
      <c r="P926" s="3" t="s">
        <v>31</v>
      </c>
      <c r="Q926" s="6">
        <f t="shared" si="3"/>
        <v>910000</v>
      </c>
    </row>
    <row r="927">
      <c r="A927" s="3">
        <v>65667.0</v>
      </c>
      <c r="B927" s="3" t="s">
        <v>754</v>
      </c>
      <c r="C927" s="3" t="s">
        <v>35</v>
      </c>
      <c r="D927" s="4" t="str">
        <f t="shared" si="1"/>
        <v>Ms.</v>
      </c>
      <c r="E927" s="3" t="str">
        <f t="shared" si="4"/>
        <v>Ms. Kyra Bhat</v>
      </c>
      <c r="F927" s="3" t="str">
        <f>IFERROR(__xludf.DUMMYFUNCTION("SPLIT(B927,"" "")"),"Kyra")</f>
        <v>Kyra</v>
      </c>
      <c r="G927" s="3" t="str">
        <f>IFERROR(__xludf.DUMMYFUNCTION("""COMPUTED_VALUE"""),"Bhat")</f>
        <v>Bhat</v>
      </c>
      <c r="H927" s="3" t="s">
        <v>25</v>
      </c>
      <c r="I927" s="3">
        <v>2024.0</v>
      </c>
      <c r="J927" s="3">
        <f t="shared" si="2"/>
        <v>10000</v>
      </c>
      <c r="K927" s="3" t="s">
        <v>20</v>
      </c>
      <c r="L927" s="3">
        <v>0.0</v>
      </c>
      <c r="M927" s="3" t="s">
        <v>21</v>
      </c>
      <c r="N927" s="3">
        <v>72.0</v>
      </c>
      <c r="O927" s="3" t="s">
        <v>22</v>
      </c>
      <c r="P927" s="3" t="s">
        <v>31</v>
      </c>
      <c r="Q927" s="6">
        <f t="shared" si="3"/>
        <v>910000</v>
      </c>
    </row>
    <row r="928">
      <c r="A928" s="3">
        <v>65668.0</v>
      </c>
      <c r="B928" s="3" t="s">
        <v>184</v>
      </c>
      <c r="C928" s="3" t="s">
        <v>35</v>
      </c>
      <c r="D928" s="4" t="str">
        <f t="shared" si="1"/>
        <v>Ms.</v>
      </c>
      <c r="E928" s="3" t="str">
        <f t="shared" si="4"/>
        <v>Ms. Inaaya Reddy</v>
      </c>
      <c r="F928" s="3" t="str">
        <f>IFERROR(__xludf.DUMMYFUNCTION("SPLIT(B928,"" "")"),"Inaaya")</f>
        <v>Inaaya</v>
      </c>
      <c r="G928" s="3" t="str">
        <f>IFERROR(__xludf.DUMMYFUNCTION("""COMPUTED_VALUE"""),"Reddy")</f>
        <v>Reddy</v>
      </c>
      <c r="H928" s="3" t="s">
        <v>33</v>
      </c>
      <c r="I928" s="3">
        <v>2028.0</v>
      </c>
      <c r="J928" s="3">
        <f t="shared" si="2"/>
        <v>10000</v>
      </c>
      <c r="K928" s="3" t="s">
        <v>26</v>
      </c>
      <c r="L928" s="3">
        <v>14837.0</v>
      </c>
      <c r="M928" s="3" t="s">
        <v>21</v>
      </c>
      <c r="N928" s="3">
        <v>8.0</v>
      </c>
      <c r="O928" s="3" t="s">
        <v>22</v>
      </c>
      <c r="P928" s="3" t="s">
        <v>31</v>
      </c>
      <c r="Q928" s="6">
        <f t="shared" si="3"/>
        <v>910000</v>
      </c>
    </row>
    <row r="929">
      <c r="A929" s="3">
        <v>65669.0</v>
      </c>
      <c r="B929" s="3" t="s">
        <v>755</v>
      </c>
      <c r="C929" s="3" t="s">
        <v>18</v>
      </c>
      <c r="D929" s="4" t="str">
        <f t="shared" si="1"/>
        <v>Mr.</v>
      </c>
      <c r="E929" s="3" t="str">
        <f t="shared" si="4"/>
        <v>Mr. Reyansh Agarwal</v>
      </c>
      <c r="F929" s="3" t="str">
        <f>IFERROR(__xludf.DUMMYFUNCTION("SPLIT(B929,"" "")"),"Reyansh")</f>
        <v>Reyansh</v>
      </c>
      <c r="G929" s="3" t="str">
        <f>IFERROR(__xludf.DUMMYFUNCTION("""COMPUTED_VALUE"""),"Agarwal")</f>
        <v>Agarwal</v>
      </c>
      <c r="H929" s="3" t="s">
        <v>25</v>
      </c>
      <c r="I929" s="3">
        <v>2018.0</v>
      </c>
      <c r="J929" s="3">
        <f t="shared" si="2"/>
        <v>10000</v>
      </c>
      <c r="K929" s="3" t="s">
        <v>20</v>
      </c>
      <c r="L929" s="3">
        <v>0.0</v>
      </c>
      <c r="M929" s="3" t="s">
        <v>30</v>
      </c>
      <c r="N929" s="3">
        <v>0.0</v>
      </c>
      <c r="O929" s="3" t="s">
        <v>22</v>
      </c>
      <c r="P929" s="3" t="s">
        <v>31</v>
      </c>
      <c r="Q929" s="6">
        <f t="shared" si="3"/>
        <v>910000</v>
      </c>
    </row>
    <row r="930">
      <c r="A930" s="3">
        <v>65670.0</v>
      </c>
      <c r="B930" s="3" t="s">
        <v>756</v>
      </c>
      <c r="C930" s="3" t="s">
        <v>35</v>
      </c>
      <c r="D930" s="4" t="str">
        <f t="shared" si="1"/>
        <v>Ms.</v>
      </c>
      <c r="E930" s="3" t="str">
        <f t="shared" si="4"/>
        <v>Ms. Tara Kumar</v>
      </c>
      <c r="F930" s="3" t="str">
        <f>IFERROR(__xludf.DUMMYFUNCTION("SPLIT(B930,"" "")"),"Tara")</f>
        <v>Tara</v>
      </c>
      <c r="G930" s="3" t="str">
        <f>IFERROR(__xludf.DUMMYFUNCTION("""COMPUTED_VALUE"""),"Kumar")</f>
        <v>Kumar</v>
      </c>
      <c r="H930" s="3" t="s">
        <v>25</v>
      </c>
      <c r="I930" s="3">
        <v>2024.0</v>
      </c>
      <c r="J930" s="3">
        <f t="shared" si="2"/>
        <v>10000</v>
      </c>
      <c r="K930" s="3" t="s">
        <v>20</v>
      </c>
      <c r="L930" s="3">
        <v>0.0</v>
      </c>
      <c r="M930" s="3" t="s">
        <v>21</v>
      </c>
      <c r="N930" s="3">
        <v>69.0</v>
      </c>
      <c r="O930" s="3" t="s">
        <v>22</v>
      </c>
      <c r="P930" s="3" t="s">
        <v>78</v>
      </c>
      <c r="Q930" s="6">
        <f t="shared" si="3"/>
        <v>255000</v>
      </c>
    </row>
    <row r="931">
      <c r="A931" s="3">
        <v>65671.0</v>
      </c>
      <c r="B931" s="3" t="s">
        <v>757</v>
      </c>
      <c r="C931" s="3" t="s">
        <v>35</v>
      </c>
      <c r="D931" s="4" t="str">
        <f t="shared" si="1"/>
        <v>Ms.</v>
      </c>
      <c r="E931" s="3" t="str">
        <f t="shared" si="4"/>
        <v>Ms. Tara Gupta</v>
      </c>
      <c r="F931" s="3" t="str">
        <f>IFERROR(__xludf.DUMMYFUNCTION("SPLIT(B931,"" "")"),"Tara")</f>
        <v>Tara</v>
      </c>
      <c r="G931" s="3" t="str">
        <f>IFERROR(__xludf.DUMMYFUNCTION("""COMPUTED_VALUE"""),"Gupta")</f>
        <v>Gupta</v>
      </c>
      <c r="H931" s="3" t="s">
        <v>19</v>
      </c>
      <c r="I931" s="3">
        <v>2025.0</v>
      </c>
      <c r="J931" s="3">
        <f t="shared" si="2"/>
        <v>5000</v>
      </c>
      <c r="K931" s="3" t="s">
        <v>26</v>
      </c>
      <c r="L931" s="3">
        <v>6992.0</v>
      </c>
      <c r="M931" s="3" t="s">
        <v>21</v>
      </c>
      <c r="N931" s="3">
        <v>28.0</v>
      </c>
      <c r="O931" s="3" t="s">
        <v>22</v>
      </c>
      <c r="P931" s="3" t="s">
        <v>28</v>
      </c>
      <c r="Q931" s="6">
        <f t="shared" si="3"/>
        <v>400000</v>
      </c>
    </row>
    <row r="932">
      <c r="A932" s="3">
        <v>65672.0</v>
      </c>
      <c r="B932" s="3" t="s">
        <v>495</v>
      </c>
      <c r="C932" s="3" t="s">
        <v>35</v>
      </c>
      <c r="D932" s="4" t="str">
        <f t="shared" si="1"/>
        <v>Ms.</v>
      </c>
      <c r="E932" s="3" t="str">
        <f t="shared" si="4"/>
        <v>Ms. Eva Rao</v>
      </c>
      <c r="F932" s="3" t="str">
        <f>IFERROR(__xludf.DUMMYFUNCTION("SPLIT(B932,"" "")"),"Eva")</f>
        <v>Eva</v>
      </c>
      <c r="G932" s="3" t="str">
        <f>IFERROR(__xludf.DUMMYFUNCTION("""COMPUTED_VALUE"""),"Rao")</f>
        <v>Rao</v>
      </c>
      <c r="H932" s="3" t="s">
        <v>46</v>
      </c>
      <c r="I932" s="3">
        <v>2022.0</v>
      </c>
      <c r="J932" s="3">
        <f t="shared" si="2"/>
        <v>5000</v>
      </c>
      <c r="K932" s="3" t="s">
        <v>20</v>
      </c>
      <c r="L932" s="3">
        <v>25.0</v>
      </c>
      <c r="M932" s="3" t="s">
        <v>21</v>
      </c>
      <c r="N932" s="3">
        <f>RANDBETWEEN(0,10)</f>
        <v>6</v>
      </c>
      <c r="O932" s="3" t="s">
        <v>41</v>
      </c>
      <c r="P932" s="3" t="s">
        <v>28</v>
      </c>
      <c r="Q932" s="6">
        <f t="shared" si="3"/>
        <v>400000</v>
      </c>
    </row>
    <row r="933">
      <c r="A933" s="3">
        <v>65673.0</v>
      </c>
      <c r="B933" s="3" t="s">
        <v>758</v>
      </c>
      <c r="C933" s="3" t="s">
        <v>18</v>
      </c>
      <c r="D933" s="4" t="str">
        <f t="shared" si="1"/>
        <v>Mr.</v>
      </c>
      <c r="E933" s="3" t="str">
        <f t="shared" si="4"/>
        <v>Mr. Aditya Verma</v>
      </c>
      <c r="F933" s="3" t="str">
        <f>IFERROR(__xludf.DUMMYFUNCTION("SPLIT(B933,"" "")"),"Aditya")</f>
        <v>Aditya</v>
      </c>
      <c r="G933" s="3" t="str">
        <f>IFERROR(__xludf.DUMMYFUNCTION("""COMPUTED_VALUE"""),"Verma")</f>
        <v>Verma</v>
      </c>
      <c r="H933" s="3" t="s">
        <v>33</v>
      </c>
      <c r="I933" s="3">
        <v>2022.0</v>
      </c>
      <c r="J933" s="3">
        <f t="shared" si="2"/>
        <v>10000</v>
      </c>
      <c r="K933" s="3" t="s">
        <v>26</v>
      </c>
      <c r="L933" s="3">
        <v>5365.0</v>
      </c>
      <c r="M933" s="3" t="s">
        <v>30</v>
      </c>
      <c r="N933" s="3">
        <v>15.0</v>
      </c>
      <c r="O933" s="3" t="s">
        <v>22</v>
      </c>
      <c r="P933" s="3" t="s">
        <v>23</v>
      </c>
      <c r="Q933" s="6">
        <f t="shared" si="3"/>
        <v>430000</v>
      </c>
    </row>
    <row r="934">
      <c r="A934" s="3">
        <v>65676.0</v>
      </c>
      <c r="B934" s="3" t="s">
        <v>759</v>
      </c>
      <c r="C934" s="3" t="s">
        <v>35</v>
      </c>
      <c r="D934" s="4" t="str">
        <f t="shared" si="1"/>
        <v>Ms.</v>
      </c>
      <c r="E934" s="3" t="str">
        <f t="shared" si="4"/>
        <v>Ms. Manya Agarwal</v>
      </c>
      <c r="F934" s="3" t="str">
        <f>IFERROR(__xludf.DUMMYFUNCTION("SPLIT(B934,"" "")"),"Manya")</f>
        <v>Manya</v>
      </c>
      <c r="G934" s="3" t="str">
        <f>IFERROR(__xludf.DUMMYFUNCTION("""COMPUTED_VALUE"""),"Agarwal")</f>
        <v>Agarwal</v>
      </c>
      <c r="H934" s="3" t="s">
        <v>19</v>
      </c>
      <c r="I934" s="3">
        <v>2023.0</v>
      </c>
      <c r="J934" s="3">
        <f t="shared" si="2"/>
        <v>5000</v>
      </c>
      <c r="K934" s="3" t="s">
        <v>20</v>
      </c>
      <c r="L934" s="10">
        <v>9395.0</v>
      </c>
      <c r="M934" s="3" t="s">
        <v>30</v>
      </c>
      <c r="N934" s="3">
        <f>RANDBETWEEN(0,10)</f>
        <v>6</v>
      </c>
      <c r="O934" s="3" t="s">
        <v>22</v>
      </c>
      <c r="P934" s="3" t="s">
        <v>31</v>
      </c>
      <c r="Q934" s="6">
        <f t="shared" si="3"/>
        <v>910000</v>
      </c>
    </row>
    <row r="935">
      <c r="A935" s="3">
        <v>65677.0</v>
      </c>
      <c r="B935" s="3" t="s">
        <v>760</v>
      </c>
      <c r="C935" s="3" t="s">
        <v>18</v>
      </c>
      <c r="D935" s="4" t="str">
        <f t="shared" si="1"/>
        <v>Mr.</v>
      </c>
      <c r="E935" s="3" t="str">
        <f t="shared" si="4"/>
        <v>Mr. Reyansh Bhatt</v>
      </c>
      <c r="F935" s="3" t="str">
        <f>IFERROR(__xludf.DUMMYFUNCTION("SPLIT(B935,"" "")"),"Reyansh")</f>
        <v>Reyansh</v>
      </c>
      <c r="G935" s="3" t="str">
        <f>IFERROR(__xludf.DUMMYFUNCTION("""COMPUTED_VALUE"""),"Bhatt")</f>
        <v>Bhatt</v>
      </c>
      <c r="H935" s="3" t="s">
        <v>46</v>
      </c>
      <c r="I935" s="3">
        <v>2026.0</v>
      </c>
      <c r="J935" s="3">
        <f t="shared" si="2"/>
        <v>5000</v>
      </c>
      <c r="K935" s="3" t="s">
        <v>20</v>
      </c>
      <c r="L935" s="3">
        <v>0.0</v>
      </c>
      <c r="M935" s="3" t="s">
        <v>21</v>
      </c>
      <c r="N935" s="3">
        <v>11.0</v>
      </c>
      <c r="O935" s="3" t="s">
        <v>22</v>
      </c>
      <c r="P935" s="3" t="s">
        <v>23</v>
      </c>
      <c r="Q935" s="6">
        <f t="shared" si="3"/>
        <v>430000</v>
      </c>
    </row>
    <row r="936">
      <c r="A936" s="3">
        <v>65678.0</v>
      </c>
      <c r="B936" s="3" t="s">
        <v>761</v>
      </c>
      <c r="C936" s="3" t="s">
        <v>18</v>
      </c>
      <c r="D936" s="4" t="str">
        <f t="shared" si="1"/>
        <v>Mr.</v>
      </c>
      <c r="E936" s="3" t="str">
        <f t="shared" si="4"/>
        <v>Mr. Kian Bhat</v>
      </c>
      <c r="F936" s="3" t="str">
        <f>IFERROR(__xludf.DUMMYFUNCTION("SPLIT(B936,"" "")"),"Kian")</f>
        <v>Kian</v>
      </c>
      <c r="G936" s="3" t="str">
        <f>IFERROR(__xludf.DUMMYFUNCTION("""COMPUTED_VALUE"""),"Bhat")</f>
        <v>Bhat</v>
      </c>
      <c r="H936" s="3" t="s">
        <v>25</v>
      </c>
      <c r="I936" s="3">
        <v>2024.0</v>
      </c>
      <c r="J936" s="3">
        <f t="shared" si="2"/>
        <v>10000</v>
      </c>
      <c r="K936" s="3" t="s">
        <v>20</v>
      </c>
      <c r="L936" s="3">
        <v>222.0</v>
      </c>
      <c r="M936" s="3" t="s">
        <v>21</v>
      </c>
      <c r="N936" s="3">
        <v>10.0</v>
      </c>
      <c r="O936" s="3" t="s">
        <v>22</v>
      </c>
      <c r="P936" s="3" t="s">
        <v>31</v>
      </c>
      <c r="Q936" s="6">
        <f t="shared" si="3"/>
        <v>910000</v>
      </c>
    </row>
    <row r="937">
      <c r="A937" s="3">
        <v>65682.0</v>
      </c>
      <c r="B937" s="3" t="s">
        <v>762</v>
      </c>
      <c r="C937" s="3" t="s">
        <v>35</v>
      </c>
      <c r="D937" s="4" t="str">
        <f t="shared" si="1"/>
        <v>Ms.</v>
      </c>
      <c r="E937" s="3" t="str">
        <f t="shared" si="4"/>
        <v>Ms. Saanvi Mishra</v>
      </c>
      <c r="F937" s="3" t="str">
        <f>IFERROR(__xludf.DUMMYFUNCTION("SPLIT(B937,"" "")"),"Saanvi")</f>
        <v>Saanvi</v>
      </c>
      <c r="G937" s="3" t="str">
        <f>IFERROR(__xludf.DUMMYFUNCTION("""COMPUTED_VALUE"""),"Mishra")</f>
        <v>Mishra</v>
      </c>
      <c r="H937" s="3" t="s">
        <v>33</v>
      </c>
      <c r="I937" s="3">
        <v>2024.0</v>
      </c>
      <c r="J937" s="3">
        <f t="shared" si="2"/>
        <v>10000</v>
      </c>
      <c r="K937" s="3" t="s">
        <v>20</v>
      </c>
      <c r="L937" s="3">
        <v>0.0</v>
      </c>
      <c r="M937" s="3" t="s">
        <v>21</v>
      </c>
      <c r="N937" s="3">
        <v>5.0</v>
      </c>
      <c r="O937" s="3" t="s">
        <v>22</v>
      </c>
      <c r="P937" s="3" t="s">
        <v>31</v>
      </c>
      <c r="Q937" s="6">
        <f t="shared" si="3"/>
        <v>910000</v>
      </c>
    </row>
    <row r="938">
      <c r="A938" s="3">
        <v>65683.0</v>
      </c>
      <c r="B938" s="3" t="s">
        <v>144</v>
      </c>
      <c r="C938" s="3" t="s">
        <v>18</v>
      </c>
      <c r="D938" s="4" t="str">
        <f t="shared" si="1"/>
        <v>Mr.</v>
      </c>
      <c r="E938" s="3" t="str">
        <f t="shared" si="4"/>
        <v>Mr. Raghav Bhat</v>
      </c>
      <c r="F938" s="3" t="str">
        <f>IFERROR(__xludf.DUMMYFUNCTION("SPLIT(B938,"" "")"),"Raghav")</f>
        <v>Raghav</v>
      </c>
      <c r="G938" s="3" t="str">
        <f>IFERROR(__xludf.DUMMYFUNCTION("""COMPUTED_VALUE"""),"Bhat")</f>
        <v>Bhat</v>
      </c>
      <c r="H938" s="3" t="s">
        <v>46</v>
      </c>
      <c r="I938" s="3">
        <v>2016.0</v>
      </c>
      <c r="J938" s="3">
        <f t="shared" si="2"/>
        <v>5000</v>
      </c>
      <c r="K938" s="3" t="s">
        <v>20</v>
      </c>
      <c r="L938" s="3">
        <v>244.0</v>
      </c>
      <c r="M938" s="3" t="s">
        <v>30</v>
      </c>
      <c r="N938" s="3">
        <v>9.0</v>
      </c>
      <c r="O938" s="3" t="s">
        <v>41</v>
      </c>
      <c r="P938" s="3" t="s">
        <v>23</v>
      </c>
      <c r="Q938" s="6">
        <f t="shared" si="3"/>
        <v>430000</v>
      </c>
    </row>
    <row r="939">
      <c r="A939" s="3">
        <v>65684.0</v>
      </c>
      <c r="B939" s="3" t="s">
        <v>763</v>
      </c>
      <c r="C939" s="3" t="s">
        <v>18</v>
      </c>
      <c r="D939" s="4" t="str">
        <f t="shared" si="1"/>
        <v>Mr.</v>
      </c>
      <c r="E939" s="3" t="str">
        <f t="shared" si="4"/>
        <v>Mr. Om Kumar</v>
      </c>
      <c r="F939" s="3" t="str">
        <f>IFERROR(__xludf.DUMMYFUNCTION("SPLIT(B939,"" "")"),"Om")</f>
        <v>Om</v>
      </c>
      <c r="G939" s="3" t="str">
        <f>IFERROR(__xludf.DUMMYFUNCTION("""COMPUTED_VALUE"""),"Kumar")</f>
        <v>Kumar</v>
      </c>
      <c r="H939" s="3" t="s">
        <v>25</v>
      </c>
      <c r="I939" s="3">
        <v>2021.0</v>
      </c>
      <c r="J939" s="3">
        <f t="shared" si="2"/>
        <v>10000</v>
      </c>
      <c r="K939" s="3" t="s">
        <v>20</v>
      </c>
      <c r="L939" s="3">
        <v>0.0</v>
      </c>
      <c r="M939" s="3" t="s">
        <v>21</v>
      </c>
      <c r="N939" s="3">
        <v>19.0</v>
      </c>
      <c r="O939" s="3" t="s">
        <v>22</v>
      </c>
      <c r="P939" s="3" t="s">
        <v>23</v>
      </c>
      <c r="Q939" s="6">
        <f t="shared" si="3"/>
        <v>430000</v>
      </c>
    </row>
    <row r="940">
      <c r="A940" s="3">
        <v>65685.0</v>
      </c>
      <c r="B940" s="3" t="s">
        <v>124</v>
      </c>
      <c r="C940" s="3" t="s">
        <v>35</v>
      </c>
      <c r="D940" s="4" t="str">
        <f t="shared" si="1"/>
        <v>Ms.</v>
      </c>
      <c r="E940" s="3" t="str">
        <f t="shared" si="4"/>
        <v>Ms. Avni Verma</v>
      </c>
      <c r="F940" s="3" t="str">
        <f>IFERROR(__xludf.DUMMYFUNCTION("SPLIT(B940,"" "")"),"Avni")</f>
        <v>Avni</v>
      </c>
      <c r="G940" s="3" t="str">
        <f>IFERROR(__xludf.DUMMYFUNCTION("""COMPUTED_VALUE"""),"Verma")</f>
        <v>Verma</v>
      </c>
      <c r="H940" s="3" t="s">
        <v>25</v>
      </c>
      <c r="I940" s="3">
        <v>2019.0</v>
      </c>
      <c r="J940" s="3">
        <f t="shared" si="2"/>
        <v>10000</v>
      </c>
      <c r="K940" s="3" t="s">
        <v>20</v>
      </c>
      <c r="L940" s="10">
        <v>4249.0</v>
      </c>
      <c r="M940" s="3" t="s">
        <v>30</v>
      </c>
      <c r="N940" s="3">
        <v>22.0</v>
      </c>
      <c r="O940" s="3" t="s">
        <v>22</v>
      </c>
      <c r="P940" s="3" t="s">
        <v>38</v>
      </c>
      <c r="Q940" s="6">
        <f t="shared" si="3"/>
        <v>635000</v>
      </c>
    </row>
    <row r="941">
      <c r="A941" s="3">
        <v>65686.0</v>
      </c>
      <c r="B941" s="3" t="s">
        <v>764</v>
      </c>
      <c r="C941" s="3" t="s">
        <v>18</v>
      </c>
      <c r="D941" s="4" t="str">
        <f t="shared" si="1"/>
        <v>Mr.</v>
      </c>
      <c r="E941" s="3" t="str">
        <f t="shared" si="4"/>
        <v>Mr. Atharv Dutta</v>
      </c>
      <c r="F941" s="3" t="str">
        <f>IFERROR(__xludf.DUMMYFUNCTION("SPLIT(B941,"" "")"),"Atharv")</f>
        <v>Atharv</v>
      </c>
      <c r="G941" s="3" t="str">
        <f>IFERROR(__xludf.DUMMYFUNCTION("""COMPUTED_VALUE"""),"Dutta")</f>
        <v>Dutta</v>
      </c>
      <c r="H941" s="3" t="s">
        <v>33</v>
      </c>
      <c r="I941" s="3">
        <v>2024.0</v>
      </c>
      <c r="J941" s="3">
        <f t="shared" si="2"/>
        <v>10000</v>
      </c>
      <c r="K941" s="3" t="s">
        <v>20</v>
      </c>
      <c r="L941" s="3">
        <v>0.0</v>
      </c>
      <c r="M941" s="3" t="s">
        <v>21</v>
      </c>
      <c r="N941" s="3">
        <v>24.0</v>
      </c>
      <c r="O941" s="3" t="s">
        <v>22</v>
      </c>
      <c r="P941" s="3" t="s">
        <v>28</v>
      </c>
      <c r="Q941" s="6">
        <f t="shared" si="3"/>
        <v>400000</v>
      </c>
    </row>
    <row r="942">
      <c r="A942" s="3">
        <v>65687.0</v>
      </c>
      <c r="B942" s="3" t="s">
        <v>418</v>
      </c>
      <c r="C942" s="3" t="s">
        <v>35</v>
      </c>
      <c r="D942" s="4" t="str">
        <f t="shared" si="1"/>
        <v>Ms.</v>
      </c>
      <c r="E942" s="3" t="str">
        <f t="shared" si="4"/>
        <v>Ms. Aadhya Thakur</v>
      </c>
      <c r="F942" s="3" t="str">
        <f>IFERROR(__xludf.DUMMYFUNCTION("SPLIT(B942,"" "")"),"Aadhya")</f>
        <v>Aadhya</v>
      </c>
      <c r="G942" s="3" t="str">
        <f>IFERROR(__xludf.DUMMYFUNCTION("""COMPUTED_VALUE"""),"Thakur")</f>
        <v>Thakur</v>
      </c>
      <c r="H942" s="3" t="s">
        <v>33</v>
      </c>
      <c r="I942" s="3">
        <v>2023.0</v>
      </c>
      <c r="J942" s="3">
        <f t="shared" si="2"/>
        <v>10000</v>
      </c>
      <c r="K942" s="3" t="s">
        <v>20</v>
      </c>
      <c r="L942" s="3">
        <v>19.0</v>
      </c>
      <c r="M942" s="3" t="s">
        <v>30</v>
      </c>
      <c r="N942" s="3">
        <v>37.0</v>
      </c>
      <c r="O942" s="3" t="s">
        <v>22</v>
      </c>
      <c r="P942" s="3" t="s">
        <v>28</v>
      </c>
      <c r="Q942" s="6">
        <f t="shared" si="3"/>
        <v>400000</v>
      </c>
    </row>
    <row r="943">
      <c r="A943" s="3">
        <v>65688.0</v>
      </c>
      <c r="B943" s="3" t="s">
        <v>765</v>
      </c>
      <c r="C943" s="3" t="s">
        <v>18</v>
      </c>
      <c r="D943" s="4" t="str">
        <f t="shared" si="1"/>
        <v>Mr.</v>
      </c>
      <c r="E943" s="3" t="str">
        <f t="shared" si="4"/>
        <v>Mr. Parth Agarwal</v>
      </c>
      <c r="F943" s="3" t="str">
        <f>IFERROR(__xludf.DUMMYFUNCTION("SPLIT(B943,"" "")"),"Parth")</f>
        <v>Parth</v>
      </c>
      <c r="G943" s="3" t="str">
        <f>IFERROR(__xludf.DUMMYFUNCTION("""COMPUTED_VALUE"""),"Agarwal")</f>
        <v>Agarwal</v>
      </c>
      <c r="H943" s="3" t="s">
        <v>19</v>
      </c>
      <c r="I943" s="3">
        <v>2024.0</v>
      </c>
      <c r="J943" s="3">
        <f t="shared" si="2"/>
        <v>5000</v>
      </c>
      <c r="K943" s="3" t="s">
        <v>20</v>
      </c>
      <c r="L943" s="10">
        <v>1355.0</v>
      </c>
      <c r="M943" s="3" t="s">
        <v>30</v>
      </c>
      <c r="N943" s="3">
        <v>9.0</v>
      </c>
      <c r="O943" s="3" t="s">
        <v>22</v>
      </c>
      <c r="P943" s="3" t="s">
        <v>31</v>
      </c>
      <c r="Q943" s="6">
        <f t="shared" si="3"/>
        <v>910000</v>
      </c>
    </row>
    <row r="944">
      <c r="A944" s="3">
        <v>65690.0</v>
      </c>
      <c r="B944" s="3" t="s">
        <v>766</v>
      </c>
      <c r="C944" s="3" t="s">
        <v>35</v>
      </c>
      <c r="D944" s="4" t="str">
        <f t="shared" si="1"/>
        <v>Ms.</v>
      </c>
      <c r="E944" s="3" t="str">
        <f t="shared" si="4"/>
        <v>Ms. Myra Joshi</v>
      </c>
      <c r="F944" s="3" t="str">
        <f>IFERROR(__xludf.DUMMYFUNCTION("SPLIT(B944,"" "")"),"Myra")</f>
        <v>Myra</v>
      </c>
      <c r="G944" s="3" t="str">
        <f>IFERROR(__xludf.DUMMYFUNCTION("""COMPUTED_VALUE"""),"Joshi")</f>
        <v>Joshi</v>
      </c>
      <c r="H944" s="3" t="s">
        <v>33</v>
      </c>
      <c r="I944" s="3">
        <v>2024.0</v>
      </c>
      <c r="J944" s="3">
        <f t="shared" si="2"/>
        <v>10000</v>
      </c>
      <c r="K944" s="3" t="s">
        <v>20</v>
      </c>
      <c r="L944" s="3">
        <v>0.0</v>
      </c>
      <c r="M944" s="3" t="s">
        <v>21</v>
      </c>
      <c r="N944" s="3">
        <v>26.0</v>
      </c>
      <c r="O944" s="3" t="s">
        <v>22</v>
      </c>
      <c r="P944" s="3" t="s">
        <v>23</v>
      </c>
      <c r="Q944" s="6">
        <f t="shared" si="3"/>
        <v>430000</v>
      </c>
    </row>
    <row r="945">
      <c r="A945" s="3">
        <v>65692.0</v>
      </c>
      <c r="B945" s="3" t="s">
        <v>767</v>
      </c>
      <c r="C945" s="3" t="s">
        <v>35</v>
      </c>
      <c r="D945" s="4" t="str">
        <f t="shared" si="1"/>
        <v>Ms.</v>
      </c>
      <c r="E945" s="3" t="str">
        <f t="shared" si="4"/>
        <v>Ms. Inaaya Chopra</v>
      </c>
      <c r="F945" s="3" t="str">
        <f>IFERROR(__xludf.DUMMYFUNCTION("SPLIT(B945,"" "")"),"Inaaya")</f>
        <v>Inaaya</v>
      </c>
      <c r="G945" s="3" t="str">
        <f>IFERROR(__xludf.DUMMYFUNCTION("""COMPUTED_VALUE"""),"Chopra")</f>
        <v>Chopra</v>
      </c>
      <c r="H945" s="3" t="s">
        <v>33</v>
      </c>
      <c r="I945" s="3">
        <v>2022.0</v>
      </c>
      <c r="J945" s="3">
        <f t="shared" si="2"/>
        <v>10000</v>
      </c>
      <c r="K945" s="3" t="s">
        <v>26</v>
      </c>
      <c r="L945" s="10">
        <v>1110.0</v>
      </c>
      <c r="M945" s="3" t="s">
        <v>21</v>
      </c>
      <c r="N945" s="3">
        <v>44.0</v>
      </c>
      <c r="O945" s="3" t="s">
        <v>22</v>
      </c>
      <c r="P945" s="3" t="s">
        <v>38</v>
      </c>
      <c r="Q945" s="6">
        <f t="shared" si="3"/>
        <v>635000</v>
      </c>
    </row>
    <row r="946">
      <c r="A946" s="3">
        <v>65693.0</v>
      </c>
      <c r="B946" s="3" t="s">
        <v>768</v>
      </c>
      <c r="C946" s="3" t="s">
        <v>35</v>
      </c>
      <c r="D946" s="4" t="str">
        <f t="shared" si="1"/>
        <v>Ms.</v>
      </c>
      <c r="E946" s="3" t="str">
        <f t="shared" si="4"/>
        <v>Ms. Tara Singh</v>
      </c>
      <c r="F946" s="3" t="str">
        <f>IFERROR(__xludf.DUMMYFUNCTION("SPLIT(B946,"" "")"),"Tara")</f>
        <v>Tara</v>
      </c>
      <c r="G946" s="3" t="str">
        <f>IFERROR(__xludf.DUMMYFUNCTION("""COMPUTED_VALUE"""),"Singh")</f>
        <v>Singh</v>
      </c>
      <c r="H946" s="3" t="s">
        <v>19</v>
      </c>
      <c r="I946" s="3">
        <v>2021.0</v>
      </c>
      <c r="J946" s="3">
        <f t="shared" si="2"/>
        <v>5000</v>
      </c>
      <c r="K946" s="3" t="s">
        <v>26</v>
      </c>
      <c r="L946" s="3">
        <v>7394.0</v>
      </c>
      <c r="M946" s="3" t="s">
        <v>21</v>
      </c>
      <c r="N946" s="3">
        <v>31.0</v>
      </c>
      <c r="O946" s="3" t="s">
        <v>22</v>
      </c>
      <c r="P946" s="3" t="s">
        <v>31</v>
      </c>
      <c r="Q946" s="6">
        <f t="shared" si="3"/>
        <v>910000</v>
      </c>
    </row>
    <row r="947">
      <c r="A947" s="3">
        <v>65694.0</v>
      </c>
      <c r="B947" s="3" t="s">
        <v>769</v>
      </c>
      <c r="C947" s="3" t="s">
        <v>18</v>
      </c>
      <c r="D947" s="4" t="str">
        <f t="shared" si="1"/>
        <v>Mr.</v>
      </c>
      <c r="E947" s="3" t="str">
        <f t="shared" si="4"/>
        <v>Mr. Dev Naidu</v>
      </c>
      <c r="F947" s="3" t="str">
        <f>IFERROR(__xludf.DUMMYFUNCTION("SPLIT(B947,"" "")"),"Dev")</f>
        <v>Dev</v>
      </c>
      <c r="G947" s="3" t="str">
        <f>IFERROR(__xludf.DUMMYFUNCTION("""COMPUTED_VALUE"""),"Naidu")</f>
        <v>Naidu</v>
      </c>
      <c r="H947" s="3" t="s">
        <v>25</v>
      </c>
      <c r="I947" s="3">
        <v>2020.0</v>
      </c>
      <c r="J947" s="3">
        <f t="shared" si="2"/>
        <v>10000</v>
      </c>
      <c r="K947" s="3" t="s">
        <v>26</v>
      </c>
      <c r="L947" s="3">
        <v>24265.0</v>
      </c>
      <c r="M947" s="3" t="s">
        <v>21</v>
      </c>
      <c r="N947" s="3">
        <v>29.0</v>
      </c>
      <c r="O947" s="3" t="s">
        <v>22</v>
      </c>
      <c r="P947" s="3" t="s">
        <v>78</v>
      </c>
      <c r="Q947" s="6">
        <f t="shared" si="3"/>
        <v>255000</v>
      </c>
    </row>
    <row r="948">
      <c r="A948" s="3">
        <v>65695.0</v>
      </c>
      <c r="B948" s="3" t="s">
        <v>216</v>
      </c>
      <c r="C948" s="3" t="s">
        <v>35</v>
      </c>
      <c r="D948" s="4" t="str">
        <f t="shared" si="1"/>
        <v>Ms.</v>
      </c>
      <c r="E948" s="3" t="str">
        <f t="shared" si="4"/>
        <v>Ms. Naira Reddy</v>
      </c>
      <c r="F948" s="3" t="str">
        <f>IFERROR(__xludf.DUMMYFUNCTION("SPLIT(B948,"" "")"),"Naira")</f>
        <v>Naira</v>
      </c>
      <c r="G948" s="3" t="str">
        <f>IFERROR(__xludf.DUMMYFUNCTION("""COMPUTED_VALUE"""),"Reddy")</f>
        <v>Reddy</v>
      </c>
      <c r="H948" s="3" t="s">
        <v>19</v>
      </c>
      <c r="I948" s="3">
        <v>2023.0</v>
      </c>
      <c r="J948" s="3">
        <f t="shared" si="2"/>
        <v>5000</v>
      </c>
      <c r="K948" s="3" t="s">
        <v>20</v>
      </c>
      <c r="L948" s="3">
        <v>0.0</v>
      </c>
      <c r="M948" s="3" t="s">
        <v>30</v>
      </c>
      <c r="N948" s="3">
        <v>64.0</v>
      </c>
      <c r="O948" s="3" t="s">
        <v>22</v>
      </c>
      <c r="P948" s="3" t="s">
        <v>31</v>
      </c>
      <c r="Q948" s="6">
        <f t="shared" si="3"/>
        <v>910000</v>
      </c>
    </row>
    <row r="949">
      <c r="A949" s="3">
        <v>65696.0</v>
      </c>
      <c r="B949" s="3" t="s">
        <v>770</v>
      </c>
      <c r="C949" s="3" t="s">
        <v>18</v>
      </c>
      <c r="D949" s="4" t="str">
        <f t="shared" si="1"/>
        <v>Mr.</v>
      </c>
      <c r="E949" s="3" t="str">
        <f t="shared" si="4"/>
        <v>Mr. Aryan Patel</v>
      </c>
      <c r="F949" s="3" t="str">
        <f>IFERROR(__xludf.DUMMYFUNCTION("SPLIT(B949,"" "")"),"Aryan")</f>
        <v>Aryan</v>
      </c>
      <c r="G949" s="3" t="str">
        <f>IFERROR(__xludf.DUMMYFUNCTION("""COMPUTED_VALUE"""),"Patel")</f>
        <v>Patel</v>
      </c>
      <c r="H949" s="3" t="s">
        <v>46</v>
      </c>
      <c r="I949" s="3">
        <v>2026.0</v>
      </c>
      <c r="J949" s="3">
        <f t="shared" si="2"/>
        <v>5000</v>
      </c>
      <c r="K949" s="3" t="s">
        <v>20</v>
      </c>
      <c r="L949" s="3">
        <v>0.0</v>
      </c>
      <c r="M949" s="3" t="s">
        <v>30</v>
      </c>
      <c r="N949" s="3">
        <f>RANDBETWEEN(0,10)</f>
        <v>10</v>
      </c>
      <c r="O949" s="3" t="s">
        <v>22</v>
      </c>
      <c r="P949" s="3" t="s">
        <v>78</v>
      </c>
      <c r="Q949" s="6">
        <f t="shared" si="3"/>
        <v>255000</v>
      </c>
    </row>
    <row r="950">
      <c r="A950" s="3">
        <v>65697.0</v>
      </c>
      <c r="B950" s="3" t="s">
        <v>771</v>
      </c>
      <c r="C950" s="3" t="s">
        <v>35</v>
      </c>
      <c r="D950" s="4" t="str">
        <f t="shared" si="1"/>
        <v>Ms.</v>
      </c>
      <c r="E950" s="3" t="str">
        <f t="shared" si="4"/>
        <v>Ms. Shanaya Mishra</v>
      </c>
      <c r="F950" s="3" t="str">
        <f>IFERROR(__xludf.DUMMYFUNCTION("SPLIT(B950,"" "")"),"Shanaya")</f>
        <v>Shanaya</v>
      </c>
      <c r="G950" s="3" t="str">
        <f>IFERROR(__xludf.DUMMYFUNCTION("""COMPUTED_VALUE"""),"Mishra")</f>
        <v>Mishra</v>
      </c>
      <c r="H950" s="3" t="s">
        <v>46</v>
      </c>
      <c r="I950" s="3">
        <v>2022.0</v>
      </c>
      <c r="J950" s="3">
        <f t="shared" si="2"/>
        <v>5000</v>
      </c>
      <c r="K950" s="3" t="s">
        <v>20</v>
      </c>
      <c r="L950" s="3">
        <v>0.0</v>
      </c>
      <c r="M950" s="3" t="s">
        <v>30</v>
      </c>
      <c r="N950" s="3">
        <v>53.0</v>
      </c>
      <c r="O950" s="3" t="s">
        <v>22</v>
      </c>
      <c r="P950" s="3" t="s">
        <v>31</v>
      </c>
      <c r="Q950" s="6">
        <f t="shared" si="3"/>
        <v>910000</v>
      </c>
    </row>
    <row r="951">
      <c r="A951" s="3">
        <v>65699.0</v>
      </c>
      <c r="B951" s="3" t="s">
        <v>772</v>
      </c>
      <c r="C951" s="3" t="s">
        <v>35</v>
      </c>
      <c r="D951" s="4" t="str">
        <f t="shared" si="1"/>
        <v>Ms.</v>
      </c>
      <c r="E951" s="3" t="str">
        <f t="shared" si="4"/>
        <v>Ms. Mahira Singh</v>
      </c>
      <c r="F951" s="3" t="str">
        <f>IFERROR(__xludf.DUMMYFUNCTION("SPLIT(B951,"" "")"),"Mahira")</f>
        <v>Mahira</v>
      </c>
      <c r="G951" s="3" t="str">
        <f>IFERROR(__xludf.DUMMYFUNCTION("""COMPUTED_VALUE"""),"Singh")</f>
        <v>Singh</v>
      </c>
      <c r="H951" s="3" t="s">
        <v>46</v>
      </c>
      <c r="I951" s="3">
        <v>2024.0</v>
      </c>
      <c r="J951" s="3">
        <f t="shared" si="2"/>
        <v>5000</v>
      </c>
      <c r="K951" s="3" t="s">
        <v>20</v>
      </c>
      <c r="L951" s="3">
        <v>0.0</v>
      </c>
      <c r="M951" s="3" t="s">
        <v>21</v>
      </c>
      <c r="N951" s="3">
        <v>64.0</v>
      </c>
      <c r="O951" s="3" t="s">
        <v>22</v>
      </c>
      <c r="P951" s="3" t="s">
        <v>23</v>
      </c>
      <c r="Q951" s="6">
        <f t="shared" si="3"/>
        <v>430000</v>
      </c>
    </row>
    <row r="952">
      <c r="A952" s="3">
        <v>65700.0</v>
      </c>
      <c r="B952" s="3" t="s">
        <v>773</v>
      </c>
      <c r="C952" s="3" t="s">
        <v>18</v>
      </c>
      <c r="D952" s="4" t="str">
        <f t="shared" si="1"/>
        <v>Mr.</v>
      </c>
      <c r="E952" s="3" t="str">
        <f t="shared" si="4"/>
        <v>Mr. Aaryan Malik</v>
      </c>
      <c r="F952" s="3" t="str">
        <f>IFERROR(__xludf.DUMMYFUNCTION("SPLIT(B952,"" "")"),"Aaryan")</f>
        <v>Aaryan</v>
      </c>
      <c r="G952" s="3" t="str">
        <f>IFERROR(__xludf.DUMMYFUNCTION("""COMPUTED_VALUE"""),"Malik")</f>
        <v>Malik</v>
      </c>
      <c r="H952" s="3" t="s">
        <v>25</v>
      </c>
      <c r="I952" s="3">
        <v>2024.0</v>
      </c>
      <c r="J952" s="3">
        <f t="shared" si="2"/>
        <v>10000</v>
      </c>
      <c r="K952" s="3" t="s">
        <v>20</v>
      </c>
      <c r="L952" s="3">
        <v>0.0</v>
      </c>
      <c r="M952" s="3" t="s">
        <v>21</v>
      </c>
      <c r="N952" s="3">
        <v>23.0</v>
      </c>
      <c r="O952" s="3" t="s">
        <v>22</v>
      </c>
      <c r="P952" s="3" t="s">
        <v>31</v>
      </c>
      <c r="Q952" s="6">
        <f t="shared" si="3"/>
        <v>910000</v>
      </c>
    </row>
    <row r="953">
      <c r="A953" s="3">
        <v>65701.0</v>
      </c>
      <c r="B953" s="3" t="s">
        <v>774</v>
      </c>
      <c r="C953" s="3" t="s">
        <v>35</v>
      </c>
      <c r="D953" s="4" t="str">
        <f t="shared" si="1"/>
        <v>Ms.</v>
      </c>
      <c r="E953" s="3" t="str">
        <f t="shared" si="4"/>
        <v>Ms. Manya Bhat</v>
      </c>
      <c r="F953" s="3" t="str">
        <f>IFERROR(__xludf.DUMMYFUNCTION("SPLIT(B953,"" "")"),"Manya")</f>
        <v>Manya</v>
      </c>
      <c r="G953" s="3" t="str">
        <f>IFERROR(__xludf.DUMMYFUNCTION("""COMPUTED_VALUE"""),"Bhat")</f>
        <v>Bhat</v>
      </c>
      <c r="H953" s="3" t="s">
        <v>19</v>
      </c>
      <c r="I953" s="3">
        <v>2016.0</v>
      </c>
      <c r="J953" s="3">
        <f t="shared" si="2"/>
        <v>5000</v>
      </c>
      <c r="K953" s="3" t="s">
        <v>20</v>
      </c>
      <c r="L953" s="3">
        <v>289.0</v>
      </c>
      <c r="M953" s="3" t="s">
        <v>21</v>
      </c>
      <c r="N953" s="3">
        <v>51.0</v>
      </c>
      <c r="O953" s="3" t="s">
        <v>41</v>
      </c>
      <c r="P953" s="3" t="s">
        <v>31</v>
      </c>
      <c r="Q953" s="6">
        <f t="shared" si="3"/>
        <v>910000</v>
      </c>
    </row>
    <row r="954">
      <c r="A954" s="3">
        <v>65702.0</v>
      </c>
      <c r="B954" s="3" t="s">
        <v>775</v>
      </c>
      <c r="C954" s="3" t="s">
        <v>18</v>
      </c>
      <c r="D954" s="4" t="str">
        <f t="shared" si="1"/>
        <v>Mr.</v>
      </c>
      <c r="E954" s="3" t="str">
        <f t="shared" si="4"/>
        <v>Mr. Om Das</v>
      </c>
      <c r="F954" s="3" t="str">
        <f>IFERROR(__xludf.DUMMYFUNCTION("SPLIT(B954,"" "")"),"Om")</f>
        <v>Om</v>
      </c>
      <c r="G954" s="3" t="str">
        <f>IFERROR(__xludf.DUMMYFUNCTION("""COMPUTED_VALUE"""),"Das")</f>
        <v>Das</v>
      </c>
      <c r="H954" s="3" t="s">
        <v>46</v>
      </c>
      <c r="I954" s="3">
        <v>2025.0</v>
      </c>
      <c r="J954" s="3">
        <f t="shared" si="2"/>
        <v>5000</v>
      </c>
      <c r="K954" s="3" t="s">
        <v>26</v>
      </c>
      <c r="L954" s="3">
        <v>8669.0</v>
      </c>
      <c r="M954" s="3" t="s">
        <v>21</v>
      </c>
      <c r="N954" s="3">
        <f t="shared" ref="N954:N955" si="42">RANDBETWEEN(0,10)</f>
        <v>6</v>
      </c>
      <c r="O954" s="3" t="s">
        <v>41</v>
      </c>
      <c r="P954" s="3" t="s">
        <v>31</v>
      </c>
      <c r="Q954" s="6">
        <f t="shared" si="3"/>
        <v>910000</v>
      </c>
    </row>
    <row r="955">
      <c r="A955" s="3">
        <v>65703.0</v>
      </c>
      <c r="B955" s="3" t="s">
        <v>776</v>
      </c>
      <c r="C955" s="3" t="s">
        <v>18</v>
      </c>
      <c r="D955" s="4" t="str">
        <f t="shared" si="1"/>
        <v>Mr.</v>
      </c>
      <c r="E955" s="3" t="str">
        <f t="shared" si="4"/>
        <v>Mr. Kabir Bhat</v>
      </c>
      <c r="F955" s="3" t="str">
        <f>IFERROR(__xludf.DUMMYFUNCTION("SPLIT(B955,"" "")"),"Kabir")</f>
        <v>Kabir</v>
      </c>
      <c r="G955" s="3" t="str">
        <f>IFERROR(__xludf.DUMMYFUNCTION("""COMPUTED_VALUE"""),"Bhat")</f>
        <v>Bhat</v>
      </c>
      <c r="H955" s="3" t="s">
        <v>19</v>
      </c>
      <c r="I955" s="3">
        <v>2023.0</v>
      </c>
      <c r="J955" s="3">
        <f t="shared" si="2"/>
        <v>5000</v>
      </c>
      <c r="K955" s="3" t="s">
        <v>20</v>
      </c>
      <c r="L955" s="3">
        <v>605.0</v>
      </c>
      <c r="M955" s="3" t="s">
        <v>30</v>
      </c>
      <c r="N955" s="3">
        <f t="shared" si="42"/>
        <v>7</v>
      </c>
      <c r="O955" s="3" t="s">
        <v>41</v>
      </c>
      <c r="P955" s="3" t="s">
        <v>31</v>
      </c>
      <c r="Q955" s="6">
        <f t="shared" si="3"/>
        <v>910000</v>
      </c>
    </row>
    <row r="956">
      <c r="A956" s="3">
        <v>65704.0</v>
      </c>
      <c r="B956" s="3" t="s">
        <v>777</v>
      </c>
      <c r="C956" s="3" t="s">
        <v>18</v>
      </c>
      <c r="D956" s="4" t="str">
        <f t="shared" si="1"/>
        <v>Mr.</v>
      </c>
      <c r="E956" s="3" t="str">
        <f t="shared" si="4"/>
        <v>Mr. Kabir Mehta</v>
      </c>
      <c r="F956" s="3" t="str">
        <f>IFERROR(__xludf.DUMMYFUNCTION("SPLIT(B956,"" "")"),"Kabir")</f>
        <v>Kabir</v>
      </c>
      <c r="G956" s="3" t="str">
        <f>IFERROR(__xludf.DUMMYFUNCTION("""COMPUTED_VALUE"""),"Mehta")</f>
        <v>Mehta</v>
      </c>
      <c r="H956" s="3" t="s">
        <v>19</v>
      </c>
      <c r="I956" s="3">
        <v>2025.0</v>
      </c>
      <c r="J956" s="3">
        <f t="shared" si="2"/>
        <v>5000</v>
      </c>
      <c r="K956" s="3" t="s">
        <v>20</v>
      </c>
      <c r="L956" s="3">
        <v>0.0</v>
      </c>
      <c r="M956" s="3" t="s">
        <v>21</v>
      </c>
      <c r="N956" s="3">
        <v>7.0</v>
      </c>
      <c r="O956" s="3" t="s">
        <v>22</v>
      </c>
      <c r="P956" s="3" t="s">
        <v>38</v>
      </c>
      <c r="Q956" s="6">
        <f t="shared" si="3"/>
        <v>635000</v>
      </c>
    </row>
    <row r="957">
      <c r="A957" s="3">
        <v>65705.0</v>
      </c>
      <c r="B957" s="3" t="s">
        <v>778</v>
      </c>
      <c r="C957" s="3" t="s">
        <v>35</v>
      </c>
      <c r="D957" s="4" t="str">
        <f t="shared" si="1"/>
        <v>Ms.</v>
      </c>
      <c r="E957" s="3" t="str">
        <f t="shared" si="4"/>
        <v>Ms. Diya Verma</v>
      </c>
      <c r="F957" s="3" t="str">
        <f>IFERROR(__xludf.DUMMYFUNCTION("SPLIT(B957,"" "")"),"Diya")</f>
        <v>Diya</v>
      </c>
      <c r="G957" s="3" t="str">
        <f>IFERROR(__xludf.DUMMYFUNCTION("""COMPUTED_VALUE"""),"Verma")</f>
        <v>Verma</v>
      </c>
      <c r="H957" s="3" t="s">
        <v>33</v>
      </c>
      <c r="I957" s="3">
        <v>2025.0</v>
      </c>
      <c r="J957" s="3">
        <f t="shared" si="2"/>
        <v>10000</v>
      </c>
      <c r="K957" s="3" t="s">
        <v>20</v>
      </c>
      <c r="L957" s="3">
        <v>0.0</v>
      </c>
      <c r="M957" s="3" t="s">
        <v>30</v>
      </c>
      <c r="N957" s="3">
        <v>24.0</v>
      </c>
      <c r="O957" s="3" t="s">
        <v>22</v>
      </c>
      <c r="P957" s="3" t="s">
        <v>28</v>
      </c>
      <c r="Q957" s="6">
        <f t="shared" si="3"/>
        <v>400000</v>
      </c>
    </row>
    <row r="958">
      <c r="A958" s="3">
        <v>65706.0</v>
      </c>
      <c r="B958" s="3" t="s">
        <v>84</v>
      </c>
      <c r="C958" s="3" t="s">
        <v>35</v>
      </c>
      <c r="D958" s="4" t="str">
        <f t="shared" si="1"/>
        <v>Ms.</v>
      </c>
      <c r="E958" s="3" t="str">
        <f t="shared" si="4"/>
        <v>Ms. Siya Jain</v>
      </c>
      <c r="F958" s="3" t="str">
        <f>IFERROR(__xludf.DUMMYFUNCTION("SPLIT(B958,"" "")"),"Siya")</f>
        <v>Siya</v>
      </c>
      <c r="G958" s="3" t="str">
        <f>IFERROR(__xludf.DUMMYFUNCTION("""COMPUTED_VALUE"""),"Jain")</f>
        <v>Jain</v>
      </c>
      <c r="H958" s="3" t="s">
        <v>33</v>
      </c>
      <c r="I958" s="3">
        <v>2022.0</v>
      </c>
      <c r="J958" s="3">
        <f t="shared" si="2"/>
        <v>10000</v>
      </c>
      <c r="K958" s="3" t="s">
        <v>20</v>
      </c>
      <c r="L958" s="3">
        <v>272.0</v>
      </c>
      <c r="M958" s="3" t="s">
        <v>30</v>
      </c>
      <c r="N958" s="3">
        <f>RANDBETWEEN(0,10)</f>
        <v>1</v>
      </c>
      <c r="O958" s="3" t="s">
        <v>22</v>
      </c>
      <c r="P958" s="3" t="s">
        <v>78</v>
      </c>
      <c r="Q958" s="6">
        <f t="shared" si="3"/>
        <v>255000</v>
      </c>
    </row>
    <row r="959">
      <c r="A959" s="3">
        <v>65707.0</v>
      </c>
      <c r="B959" s="3" t="s">
        <v>779</v>
      </c>
      <c r="C959" s="3" t="s">
        <v>35</v>
      </c>
      <c r="D959" s="4" t="str">
        <f t="shared" si="1"/>
        <v>Ms.</v>
      </c>
      <c r="E959" s="3" t="str">
        <f t="shared" si="4"/>
        <v>Ms. Naira Nair</v>
      </c>
      <c r="F959" s="3" t="str">
        <f>IFERROR(__xludf.DUMMYFUNCTION("SPLIT(B959,"" "")"),"Naira")</f>
        <v>Naira</v>
      </c>
      <c r="G959" s="3" t="str">
        <f>IFERROR(__xludf.DUMMYFUNCTION("""COMPUTED_VALUE"""),"Nair")</f>
        <v>Nair</v>
      </c>
      <c r="H959" s="3" t="s">
        <v>33</v>
      </c>
      <c r="I959" s="3">
        <v>2019.0</v>
      </c>
      <c r="J959" s="3">
        <f t="shared" si="2"/>
        <v>10000</v>
      </c>
      <c r="K959" s="3" t="s">
        <v>20</v>
      </c>
      <c r="L959" s="3">
        <v>0.0</v>
      </c>
      <c r="M959" s="3" t="s">
        <v>30</v>
      </c>
      <c r="N959" s="3">
        <v>52.0</v>
      </c>
      <c r="O959" s="3" t="s">
        <v>22</v>
      </c>
      <c r="P959" s="3" t="s">
        <v>31</v>
      </c>
      <c r="Q959" s="6">
        <f t="shared" si="3"/>
        <v>910000</v>
      </c>
    </row>
    <row r="960">
      <c r="A960" s="3">
        <v>65709.0</v>
      </c>
      <c r="B960" s="3" t="s">
        <v>780</v>
      </c>
      <c r="C960" s="3" t="s">
        <v>18</v>
      </c>
      <c r="D960" s="4" t="str">
        <f t="shared" si="1"/>
        <v>Mr.</v>
      </c>
      <c r="E960" s="3" t="str">
        <f t="shared" si="4"/>
        <v>Mr. Shivansh Iyer</v>
      </c>
      <c r="F960" s="3" t="str">
        <f>IFERROR(__xludf.DUMMYFUNCTION("SPLIT(B960,"" "")"),"Shivansh")</f>
        <v>Shivansh</v>
      </c>
      <c r="G960" s="3" t="str">
        <f>IFERROR(__xludf.DUMMYFUNCTION("""COMPUTED_VALUE"""),"Iyer")</f>
        <v>Iyer</v>
      </c>
      <c r="H960" s="3" t="s">
        <v>25</v>
      </c>
      <c r="I960" s="3">
        <v>2024.0</v>
      </c>
      <c r="J960" s="3">
        <f t="shared" si="2"/>
        <v>10000</v>
      </c>
      <c r="K960" s="3" t="s">
        <v>20</v>
      </c>
      <c r="L960" s="3">
        <v>25.0</v>
      </c>
      <c r="M960" s="3" t="s">
        <v>30</v>
      </c>
      <c r="N960" s="3">
        <v>74.0</v>
      </c>
      <c r="O960" s="3" t="s">
        <v>22</v>
      </c>
      <c r="P960" s="3" t="s">
        <v>31</v>
      </c>
      <c r="Q960" s="6">
        <f t="shared" si="3"/>
        <v>910000</v>
      </c>
    </row>
    <row r="961">
      <c r="A961" s="3">
        <v>65710.0</v>
      </c>
      <c r="B961" s="3" t="s">
        <v>231</v>
      </c>
      <c r="C961" s="3" t="s">
        <v>18</v>
      </c>
      <c r="D961" s="4" t="str">
        <f t="shared" si="1"/>
        <v>Mr.</v>
      </c>
      <c r="E961" s="3" t="str">
        <f t="shared" si="4"/>
        <v>Mr. Shaurya Sharma</v>
      </c>
      <c r="F961" s="3" t="str">
        <f>IFERROR(__xludf.DUMMYFUNCTION("SPLIT(B961,"" "")"),"Shaurya")</f>
        <v>Shaurya</v>
      </c>
      <c r="G961" s="3" t="str">
        <f>IFERROR(__xludf.DUMMYFUNCTION("""COMPUTED_VALUE"""),"Sharma")</f>
        <v>Sharma</v>
      </c>
      <c r="H961" s="3" t="s">
        <v>33</v>
      </c>
      <c r="I961" s="3">
        <v>2026.0</v>
      </c>
      <c r="J961" s="3">
        <f t="shared" si="2"/>
        <v>10000</v>
      </c>
      <c r="K961" s="3" t="s">
        <v>20</v>
      </c>
      <c r="L961" s="10">
        <v>1830.0</v>
      </c>
      <c r="M961" s="3" t="s">
        <v>30</v>
      </c>
      <c r="N961" s="3">
        <f>RANDBETWEEN(0,10)</f>
        <v>2</v>
      </c>
      <c r="O961" s="3" t="s">
        <v>41</v>
      </c>
      <c r="P961" s="3" t="s">
        <v>78</v>
      </c>
      <c r="Q961" s="6">
        <f t="shared" si="3"/>
        <v>255000</v>
      </c>
    </row>
    <row r="962">
      <c r="A962" s="3">
        <v>65712.0</v>
      </c>
      <c r="B962" s="3" t="s">
        <v>781</v>
      </c>
      <c r="C962" s="3" t="s">
        <v>35</v>
      </c>
      <c r="D962" s="4" t="str">
        <f t="shared" si="1"/>
        <v>Ms.</v>
      </c>
      <c r="E962" s="3" t="str">
        <f t="shared" si="4"/>
        <v>Ms. Lavanya Kapoor</v>
      </c>
      <c r="F962" s="3" t="str">
        <f>IFERROR(__xludf.DUMMYFUNCTION("SPLIT(B962,"" "")"),"Lavanya")</f>
        <v>Lavanya</v>
      </c>
      <c r="G962" s="3" t="str">
        <f>IFERROR(__xludf.DUMMYFUNCTION("""COMPUTED_VALUE"""),"Kapoor")</f>
        <v>Kapoor</v>
      </c>
      <c r="H962" s="3" t="s">
        <v>19</v>
      </c>
      <c r="I962" s="3">
        <v>2018.0</v>
      </c>
      <c r="J962" s="3">
        <f t="shared" si="2"/>
        <v>5000</v>
      </c>
      <c r="K962" s="3" t="s">
        <v>20</v>
      </c>
      <c r="L962" s="10">
        <v>1079.0</v>
      </c>
      <c r="M962" s="3" t="s">
        <v>21</v>
      </c>
      <c r="N962" s="3">
        <v>29.0</v>
      </c>
      <c r="O962" s="3" t="s">
        <v>41</v>
      </c>
      <c r="P962" s="3" t="s">
        <v>23</v>
      </c>
      <c r="Q962" s="6">
        <f t="shared" si="3"/>
        <v>430000</v>
      </c>
    </row>
    <row r="963">
      <c r="A963" s="3">
        <v>65713.0</v>
      </c>
      <c r="B963" s="3" t="s">
        <v>782</v>
      </c>
      <c r="C963" s="3" t="s">
        <v>18</v>
      </c>
      <c r="D963" s="4" t="str">
        <f t="shared" si="1"/>
        <v>Mr.</v>
      </c>
      <c r="E963" s="3" t="str">
        <f t="shared" si="4"/>
        <v>Mr. Sai Desai</v>
      </c>
      <c r="F963" s="3" t="str">
        <f>IFERROR(__xludf.DUMMYFUNCTION("SPLIT(B963,"" "")"),"Sai")</f>
        <v>Sai</v>
      </c>
      <c r="G963" s="3" t="str">
        <f>IFERROR(__xludf.DUMMYFUNCTION("""COMPUTED_VALUE"""),"Desai")</f>
        <v>Desai</v>
      </c>
      <c r="H963" s="3" t="s">
        <v>33</v>
      </c>
      <c r="I963" s="3">
        <v>2022.0</v>
      </c>
      <c r="J963" s="3">
        <f t="shared" si="2"/>
        <v>10000</v>
      </c>
      <c r="K963" s="3" t="s">
        <v>20</v>
      </c>
      <c r="L963" s="3">
        <v>0.0</v>
      </c>
      <c r="M963" s="3" t="s">
        <v>30</v>
      </c>
      <c r="N963" s="3">
        <v>16.0</v>
      </c>
      <c r="O963" s="3" t="s">
        <v>22</v>
      </c>
      <c r="P963" s="3" t="s">
        <v>31</v>
      </c>
      <c r="Q963" s="6">
        <f t="shared" si="3"/>
        <v>910000</v>
      </c>
    </row>
    <row r="964">
      <c r="A964" s="3">
        <v>65714.0</v>
      </c>
      <c r="B964" s="3" t="s">
        <v>783</v>
      </c>
      <c r="C964" s="3" t="s">
        <v>35</v>
      </c>
      <c r="D964" s="4" t="str">
        <f t="shared" si="1"/>
        <v>Ms.</v>
      </c>
      <c r="E964" s="3" t="str">
        <f t="shared" si="4"/>
        <v>Ms. Gauri Mehta</v>
      </c>
      <c r="F964" s="3" t="str">
        <f>IFERROR(__xludf.DUMMYFUNCTION("SPLIT(B964,"" "")"),"Gauri")</f>
        <v>Gauri</v>
      </c>
      <c r="G964" s="3" t="str">
        <f>IFERROR(__xludf.DUMMYFUNCTION("""COMPUTED_VALUE"""),"Mehta")</f>
        <v>Mehta</v>
      </c>
      <c r="H964" s="3" t="s">
        <v>19</v>
      </c>
      <c r="I964" s="3">
        <v>2024.0</v>
      </c>
      <c r="J964" s="3">
        <f t="shared" si="2"/>
        <v>5000</v>
      </c>
      <c r="K964" s="3" t="s">
        <v>20</v>
      </c>
      <c r="L964" s="10">
        <v>4670.0</v>
      </c>
      <c r="M964" s="3" t="s">
        <v>30</v>
      </c>
      <c r="N964" s="3">
        <v>39.0</v>
      </c>
      <c r="O964" s="3" t="s">
        <v>22</v>
      </c>
      <c r="P964" s="3" t="s">
        <v>78</v>
      </c>
      <c r="Q964" s="6">
        <f t="shared" si="3"/>
        <v>255000</v>
      </c>
    </row>
    <row r="965">
      <c r="A965" s="3">
        <v>65716.0</v>
      </c>
      <c r="B965" s="3" t="s">
        <v>618</v>
      </c>
      <c r="C965" s="3" t="s">
        <v>35</v>
      </c>
      <c r="D965" s="4" t="str">
        <f t="shared" si="1"/>
        <v>Ms.</v>
      </c>
      <c r="E965" s="3" t="str">
        <f t="shared" si="4"/>
        <v>Ms. Aadhya Chopra</v>
      </c>
      <c r="F965" s="3" t="str">
        <f>IFERROR(__xludf.DUMMYFUNCTION("SPLIT(B965,"" "")"),"Aadhya")</f>
        <v>Aadhya</v>
      </c>
      <c r="G965" s="3" t="str">
        <f>IFERROR(__xludf.DUMMYFUNCTION("""COMPUTED_VALUE"""),"Chopra")</f>
        <v>Chopra</v>
      </c>
      <c r="H965" s="3" t="s">
        <v>33</v>
      </c>
      <c r="I965" s="3">
        <v>2024.0</v>
      </c>
      <c r="J965" s="3">
        <f t="shared" si="2"/>
        <v>10000</v>
      </c>
      <c r="K965" s="3" t="s">
        <v>20</v>
      </c>
      <c r="L965" s="3">
        <v>0.0</v>
      </c>
      <c r="M965" s="3" t="s">
        <v>30</v>
      </c>
      <c r="N965" s="3">
        <f>RANDBETWEEN(0,10)</f>
        <v>4</v>
      </c>
      <c r="O965" s="3" t="s">
        <v>22</v>
      </c>
      <c r="P965" s="3" t="s">
        <v>31</v>
      </c>
      <c r="Q965" s="6">
        <f t="shared" si="3"/>
        <v>910000</v>
      </c>
    </row>
    <row r="966">
      <c r="A966" s="3">
        <v>65717.0</v>
      </c>
      <c r="B966" s="3" t="s">
        <v>784</v>
      </c>
      <c r="C966" s="3" t="s">
        <v>18</v>
      </c>
      <c r="D966" s="4" t="str">
        <f t="shared" si="1"/>
        <v>Mr.</v>
      </c>
      <c r="E966" s="3" t="str">
        <f t="shared" si="4"/>
        <v>Mr. Anirudh Sinha</v>
      </c>
      <c r="F966" s="3" t="str">
        <f>IFERROR(__xludf.DUMMYFUNCTION("SPLIT(B966,"" "")"),"Anirudh")</f>
        <v>Anirudh</v>
      </c>
      <c r="G966" s="3" t="str">
        <f>IFERROR(__xludf.DUMMYFUNCTION("""COMPUTED_VALUE"""),"Sinha")</f>
        <v>Sinha</v>
      </c>
      <c r="H966" s="3" t="s">
        <v>19</v>
      </c>
      <c r="I966" s="3">
        <v>2024.0</v>
      </c>
      <c r="J966" s="3">
        <f t="shared" si="2"/>
        <v>5000</v>
      </c>
      <c r="K966" s="3" t="s">
        <v>26</v>
      </c>
      <c r="L966" s="3">
        <v>21651.0</v>
      </c>
      <c r="M966" s="3" t="s">
        <v>21</v>
      </c>
      <c r="N966" s="3">
        <v>62.0</v>
      </c>
      <c r="O966" s="3" t="s">
        <v>22</v>
      </c>
      <c r="P966" s="3" t="s">
        <v>28</v>
      </c>
      <c r="Q966" s="6">
        <f t="shared" si="3"/>
        <v>400000</v>
      </c>
    </row>
    <row r="967">
      <c r="A967" s="3">
        <v>65718.0</v>
      </c>
      <c r="B967" s="3" t="s">
        <v>785</v>
      </c>
      <c r="C967" s="3" t="s">
        <v>35</v>
      </c>
      <c r="D967" s="4" t="str">
        <f t="shared" si="1"/>
        <v>Ms.</v>
      </c>
      <c r="E967" s="3" t="str">
        <f t="shared" si="4"/>
        <v>Ms. Eva Singh</v>
      </c>
      <c r="F967" s="3" t="str">
        <f>IFERROR(__xludf.DUMMYFUNCTION("SPLIT(B967,"" "")"),"Eva")</f>
        <v>Eva</v>
      </c>
      <c r="G967" s="3" t="str">
        <f>IFERROR(__xludf.DUMMYFUNCTION("""COMPUTED_VALUE"""),"Singh")</f>
        <v>Singh</v>
      </c>
      <c r="H967" s="3" t="s">
        <v>33</v>
      </c>
      <c r="I967" s="3">
        <v>2024.0</v>
      </c>
      <c r="J967" s="3">
        <f t="shared" si="2"/>
        <v>10000</v>
      </c>
      <c r="K967" s="3" t="s">
        <v>20</v>
      </c>
      <c r="L967" s="3">
        <v>170.0</v>
      </c>
      <c r="M967" s="3" t="s">
        <v>21</v>
      </c>
      <c r="N967" s="3">
        <v>7.0</v>
      </c>
      <c r="O967" s="3" t="s">
        <v>22</v>
      </c>
      <c r="P967" s="3" t="s">
        <v>38</v>
      </c>
      <c r="Q967" s="6">
        <f t="shared" si="3"/>
        <v>635000</v>
      </c>
    </row>
    <row r="968">
      <c r="A968" s="3">
        <v>65719.0</v>
      </c>
      <c r="B968" s="3" t="s">
        <v>417</v>
      </c>
      <c r="C968" s="3" t="s">
        <v>18</v>
      </c>
      <c r="D968" s="4" t="str">
        <f t="shared" si="1"/>
        <v>Mr.</v>
      </c>
      <c r="E968" s="3" t="str">
        <f t="shared" si="4"/>
        <v>Mr. Parth Desai</v>
      </c>
      <c r="F968" s="3" t="str">
        <f>IFERROR(__xludf.DUMMYFUNCTION("SPLIT(B968,"" "")"),"Parth")</f>
        <v>Parth</v>
      </c>
      <c r="G968" s="3" t="str">
        <f>IFERROR(__xludf.DUMMYFUNCTION("""COMPUTED_VALUE"""),"Desai")</f>
        <v>Desai</v>
      </c>
      <c r="H968" s="3" t="s">
        <v>33</v>
      </c>
      <c r="I968" s="3">
        <v>2021.0</v>
      </c>
      <c r="J968" s="3">
        <f t="shared" si="2"/>
        <v>10000</v>
      </c>
      <c r="K968" s="3" t="s">
        <v>20</v>
      </c>
      <c r="L968" s="3">
        <v>13.0</v>
      </c>
      <c r="M968" s="3" t="s">
        <v>30</v>
      </c>
      <c r="N968" s="3">
        <v>28.0</v>
      </c>
      <c r="O968" s="3" t="s">
        <v>22</v>
      </c>
      <c r="P968" s="3" t="s">
        <v>38</v>
      </c>
      <c r="Q968" s="6">
        <f t="shared" si="3"/>
        <v>635000</v>
      </c>
    </row>
    <row r="969">
      <c r="A969" s="3">
        <v>65720.0</v>
      </c>
      <c r="B969" s="3" t="s">
        <v>786</v>
      </c>
      <c r="C969" s="3" t="s">
        <v>35</v>
      </c>
      <c r="D969" s="4" t="str">
        <f t="shared" si="1"/>
        <v>Ms.</v>
      </c>
      <c r="E969" s="3" t="str">
        <f t="shared" si="4"/>
        <v>Ms. Kashvi Kulkarni</v>
      </c>
      <c r="F969" s="3" t="str">
        <f>IFERROR(__xludf.DUMMYFUNCTION("SPLIT(B969,"" "")"),"Kashvi")</f>
        <v>Kashvi</v>
      </c>
      <c r="G969" s="3" t="str">
        <f>IFERROR(__xludf.DUMMYFUNCTION("""COMPUTED_VALUE"""),"Kulkarni")</f>
        <v>Kulkarni</v>
      </c>
      <c r="H969" s="3" t="s">
        <v>25</v>
      </c>
      <c r="I969" s="3">
        <v>2026.0</v>
      </c>
      <c r="J969" s="3">
        <f t="shared" si="2"/>
        <v>10000</v>
      </c>
      <c r="K969" s="3" t="s">
        <v>20</v>
      </c>
      <c r="L969" s="3">
        <v>0.0</v>
      </c>
      <c r="M969" s="3" t="s">
        <v>21</v>
      </c>
      <c r="N969" s="3">
        <v>57.0</v>
      </c>
      <c r="O969" s="3" t="s">
        <v>22</v>
      </c>
      <c r="P969" s="3" t="s">
        <v>23</v>
      </c>
      <c r="Q969" s="6">
        <f t="shared" si="3"/>
        <v>430000</v>
      </c>
    </row>
    <row r="970">
      <c r="A970" s="3">
        <v>65721.0</v>
      </c>
      <c r="B970" s="3" t="s">
        <v>787</v>
      </c>
      <c r="C970" s="3" t="s">
        <v>35</v>
      </c>
      <c r="D970" s="4" t="str">
        <f t="shared" si="1"/>
        <v>Ms.</v>
      </c>
      <c r="E970" s="3" t="str">
        <f t="shared" si="4"/>
        <v>Ms. Aaradhya Desai</v>
      </c>
      <c r="F970" s="3" t="str">
        <f>IFERROR(__xludf.DUMMYFUNCTION("SPLIT(B970,"" "")"),"Aaradhya")</f>
        <v>Aaradhya</v>
      </c>
      <c r="G970" s="3" t="str">
        <f>IFERROR(__xludf.DUMMYFUNCTION("""COMPUTED_VALUE"""),"Desai")</f>
        <v>Desai</v>
      </c>
      <c r="H970" s="3" t="s">
        <v>25</v>
      </c>
      <c r="I970" s="3">
        <v>2027.0</v>
      </c>
      <c r="J970" s="3">
        <f t="shared" si="2"/>
        <v>10000</v>
      </c>
      <c r="K970" s="3" t="s">
        <v>26</v>
      </c>
      <c r="L970" s="3">
        <v>15034.0</v>
      </c>
      <c r="M970" s="3" t="s">
        <v>21</v>
      </c>
      <c r="N970" s="3">
        <f>RANDBETWEEN(0,10)</f>
        <v>5</v>
      </c>
      <c r="O970" s="3" t="s">
        <v>22</v>
      </c>
      <c r="P970" s="3" t="s">
        <v>28</v>
      </c>
      <c r="Q970" s="6">
        <f t="shared" si="3"/>
        <v>400000</v>
      </c>
    </row>
    <row r="971">
      <c r="A971" s="3">
        <v>65722.0</v>
      </c>
      <c r="B971" s="3" t="s">
        <v>788</v>
      </c>
      <c r="C971" s="3" t="s">
        <v>18</v>
      </c>
      <c r="D971" s="4" t="str">
        <f t="shared" si="1"/>
        <v>Mr.</v>
      </c>
      <c r="E971" s="3" t="str">
        <f t="shared" si="4"/>
        <v>Mr. Dev Malik</v>
      </c>
      <c r="F971" s="3" t="str">
        <f>IFERROR(__xludf.DUMMYFUNCTION("SPLIT(B971,"" "")"),"Dev")</f>
        <v>Dev</v>
      </c>
      <c r="G971" s="3" t="str">
        <f>IFERROR(__xludf.DUMMYFUNCTION("""COMPUTED_VALUE"""),"Malik")</f>
        <v>Malik</v>
      </c>
      <c r="H971" s="3" t="s">
        <v>33</v>
      </c>
      <c r="I971" s="3">
        <v>2017.0</v>
      </c>
      <c r="J971" s="3">
        <f t="shared" si="2"/>
        <v>10000</v>
      </c>
      <c r="K971" s="3" t="s">
        <v>20</v>
      </c>
      <c r="L971" s="10">
        <v>7303.0</v>
      </c>
      <c r="M971" s="3" t="s">
        <v>30</v>
      </c>
      <c r="N971" s="3">
        <v>7.0</v>
      </c>
      <c r="O971" s="3" t="s">
        <v>22</v>
      </c>
      <c r="P971" s="3" t="s">
        <v>31</v>
      </c>
      <c r="Q971" s="6">
        <f t="shared" si="3"/>
        <v>910000</v>
      </c>
    </row>
    <row r="972">
      <c r="A972" s="3">
        <v>65723.0</v>
      </c>
      <c r="B972" s="3" t="s">
        <v>539</v>
      </c>
      <c r="C972" s="3" t="s">
        <v>35</v>
      </c>
      <c r="D972" s="4" t="str">
        <f t="shared" si="1"/>
        <v>Ms.</v>
      </c>
      <c r="E972" s="3" t="str">
        <f t="shared" si="4"/>
        <v>Ms. Kyra Prasad</v>
      </c>
      <c r="F972" s="3" t="str">
        <f>IFERROR(__xludf.DUMMYFUNCTION("SPLIT(B972,"" "")"),"Kyra")</f>
        <v>Kyra</v>
      </c>
      <c r="G972" s="3" t="str">
        <f>IFERROR(__xludf.DUMMYFUNCTION("""COMPUTED_VALUE"""),"Prasad")</f>
        <v>Prasad</v>
      </c>
      <c r="H972" s="3" t="s">
        <v>46</v>
      </c>
      <c r="I972" s="3">
        <v>2021.0</v>
      </c>
      <c r="J972" s="3">
        <f t="shared" si="2"/>
        <v>5000</v>
      </c>
      <c r="K972" s="3" t="s">
        <v>20</v>
      </c>
      <c r="L972" s="10">
        <v>6436.0</v>
      </c>
      <c r="M972" s="3" t="s">
        <v>30</v>
      </c>
      <c r="N972" s="3">
        <v>58.0</v>
      </c>
      <c r="O972" s="3" t="s">
        <v>41</v>
      </c>
      <c r="P972" s="3" t="s">
        <v>28</v>
      </c>
      <c r="Q972" s="6">
        <f t="shared" si="3"/>
        <v>400000</v>
      </c>
    </row>
    <row r="973">
      <c r="A973" s="3">
        <v>65724.0</v>
      </c>
      <c r="B973" s="3" t="s">
        <v>789</v>
      </c>
      <c r="C973" s="3" t="s">
        <v>35</v>
      </c>
      <c r="D973" s="4" t="str">
        <f t="shared" si="1"/>
        <v>Ms.</v>
      </c>
      <c r="E973" s="3" t="str">
        <f t="shared" si="4"/>
        <v>Ms. Prisha Pillai</v>
      </c>
      <c r="F973" s="3" t="str">
        <f>IFERROR(__xludf.DUMMYFUNCTION("SPLIT(B973,"" "")"),"Prisha")</f>
        <v>Prisha</v>
      </c>
      <c r="G973" s="3" t="str">
        <f>IFERROR(__xludf.DUMMYFUNCTION("""COMPUTED_VALUE"""),"Pillai")</f>
        <v>Pillai</v>
      </c>
      <c r="H973" s="3" t="s">
        <v>46</v>
      </c>
      <c r="I973" s="3">
        <v>2024.0</v>
      </c>
      <c r="J973" s="3">
        <f t="shared" si="2"/>
        <v>5000</v>
      </c>
      <c r="K973" s="3" t="s">
        <v>20</v>
      </c>
      <c r="L973" s="3">
        <v>0.0</v>
      </c>
      <c r="M973" s="3" t="s">
        <v>30</v>
      </c>
      <c r="N973" s="3">
        <v>78.0</v>
      </c>
      <c r="O973" s="3" t="s">
        <v>22</v>
      </c>
      <c r="P973" s="3" t="s">
        <v>31</v>
      </c>
      <c r="Q973" s="6">
        <f t="shared" si="3"/>
        <v>910000</v>
      </c>
    </row>
    <row r="974">
      <c r="A974" s="3">
        <v>65725.0</v>
      </c>
      <c r="B974" s="3" t="s">
        <v>790</v>
      </c>
      <c r="C974" s="3" t="s">
        <v>35</v>
      </c>
      <c r="D974" s="4" t="str">
        <f t="shared" si="1"/>
        <v>Ms.</v>
      </c>
      <c r="E974" s="3" t="str">
        <f t="shared" si="4"/>
        <v>Ms. Aarohi Kapoor</v>
      </c>
      <c r="F974" s="3" t="str">
        <f>IFERROR(__xludf.DUMMYFUNCTION("SPLIT(B974,"" "")"),"Aarohi")</f>
        <v>Aarohi</v>
      </c>
      <c r="G974" s="3" t="str">
        <f>IFERROR(__xludf.DUMMYFUNCTION("""COMPUTED_VALUE"""),"Kapoor")</f>
        <v>Kapoor</v>
      </c>
      <c r="H974" s="3" t="s">
        <v>19</v>
      </c>
      <c r="I974" s="3">
        <v>2024.0</v>
      </c>
      <c r="J974" s="3">
        <f t="shared" si="2"/>
        <v>5000</v>
      </c>
      <c r="K974" s="3" t="s">
        <v>20</v>
      </c>
      <c r="L974" s="3">
        <v>0.0</v>
      </c>
      <c r="M974" s="3" t="s">
        <v>21</v>
      </c>
      <c r="N974" s="3">
        <v>25.0</v>
      </c>
      <c r="O974" s="3" t="s">
        <v>22</v>
      </c>
      <c r="P974" s="3" t="s">
        <v>38</v>
      </c>
      <c r="Q974" s="6">
        <f t="shared" si="3"/>
        <v>635000</v>
      </c>
    </row>
    <row r="975">
      <c r="A975" s="3">
        <v>65726.0</v>
      </c>
      <c r="B975" s="3" t="s">
        <v>791</v>
      </c>
      <c r="C975" s="3" t="s">
        <v>18</v>
      </c>
      <c r="D975" s="4" t="str">
        <f t="shared" si="1"/>
        <v>Mr.</v>
      </c>
      <c r="E975" s="3" t="str">
        <f t="shared" si="4"/>
        <v>Mr. Ayaan Kumar</v>
      </c>
      <c r="F975" s="3" t="str">
        <f>IFERROR(__xludf.DUMMYFUNCTION("SPLIT(B975,"" "")"),"Ayaan")</f>
        <v>Ayaan</v>
      </c>
      <c r="G975" s="3" t="str">
        <f>IFERROR(__xludf.DUMMYFUNCTION("""COMPUTED_VALUE"""),"Kumar")</f>
        <v>Kumar</v>
      </c>
      <c r="H975" s="3" t="s">
        <v>46</v>
      </c>
      <c r="I975" s="3">
        <v>2023.0</v>
      </c>
      <c r="J975" s="3">
        <f t="shared" si="2"/>
        <v>5000</v>
      </c>
      <c r="K975" s="3" t="s">
        <v>26</v>
      </c>
      <c r="L975" s="3">
        <v>16889.0</v>
      </c>
      <c r="M975" s="3" t="s">
        <v>21</v>
      </c>
      <c r="N975" s="3">
        <v>24.0</v>
      </c>
      <c r="O975" s="3" t="s">
        <v>22</v>
      </c>
      <c r="P975" s="3" t="s">
        <v>31</v>
      </c>
      <c r="Q975" s="6">
        <f t="shared" si="3"/>
        <v>910000</v>
      </c>
    </row>
    <row r="976">
      <c r="A976" s="3">
        <v>65727.0</v>
      </c>
      <c r="B976" s="3" t="s">
        <v>792</v>
      </c>
      <c r="C976" s="3" t="s">
        <v>18</v>
      </c>
      <c r="D976" s="4" t="str">
        <f t="shared" si="1"/>
        <v>Mr.</v>
      </c>
      <c r="E976" s="3" t="str">
        <f t="shared" si="4"/>
        <v>Mr. Arnav Joshi</v>
      </c>
      <c r="F976" s="3" t="str">
        <f>IFERROR(__xludf.DUMMYFUNCTION("SPLIT(B976,"" "")"),"Arnav")</f>
        <v>Arnav</v>
      </c>
      <c r="G976" s="3" t="str">
        <f>IFERROR(__xludf.DUMMYFUNCTION("""COMPUTED_VALUE"""),"Joshi")</f>
        <v>Joshi</v>
      </c>
      <c r="H976" s="3" t="s">
        <v>46</v>
      </c>
      <c r="I976" s="3">
        <v>2024.0</v>
      </c>
      <c r="J976" s="3">
        <f t="shared" si="2"/>
        <v>5000</v>
      </c>
      <c r="K976" s="3" t="s">
        <v>20</v>
      </c>
      <c r="L976" s="3">
        <v>25.0</v>
      </c>
      <c r="M976" s="3" t="s">
        <v>21</v>
      </c>
      <c r="N976" s="3">
        <f>RANDBETWEEN(0,10)</f>
        <v>6</v>
      </c>
      <c r="O976" s="3" t="s">
        <v>22</v>
      </c>
      <c r="P976" s="3" t="s">
        <v>23</v>
      </c>
      <c r="Q976" s="6">
        <f t="shared" si="3"/>
        <v>430000</v>
      </c>
    </row>
    <row r="977">
      <c r="A977" s="3">
        <v>65729.0</v>
      </c>
      <c r="B977" s="3" t="s">
        <v>793</v>
      </c>
      <c r="C977" s="3" t="s">
        <v>18</v>
      </c>
      <c r="D977" s="4" t="str">
        <f t="shared" si="1"/>
        <v>Mr.</v>
      </c>
      <c r="E977" s="3" t="str">
        <f t="shared" si="4"/>
        <v>Mr. Sai Sinha</v>
      </c>
      <c r="F977" s="3" t="str">
        <f>IFERROR(__xludf.DUMMYFUNCTION("SPLIT(B977,"" "")"),"Sai")</f>
        <v>Sai</v>
      </c>
      <c r="G977" s="3" t="str">
        <f>IFERROR(__xludf.DUMMYFUNCTION("""COMPUTED_VALUE"""),"Sinha")</f>
        <v>Sinha</v>
      </c>
      <c r="H977" s="3" t="s">
        <v>25</v>
      </c>
      <c r="I977" s="3">
        <v>2024.0</v>
      </c>
      <c r="J977" s="3">
        <f t="shared" si="2"/>
        <v>10000</v>
      </c>
      <c r="K977" s="3" t="s">
        <v>26</v>
      </c>
      <c r="L977" s="3">
        <v>11625.0</v>
      </c>
      <c r="M977" s="3" t="s">
        <v>30</v>
      </c>
      <c r="N977" s="3">
        <v>14.0</v>
      </c>
      <c r="O977" s="3" t="s">
        <v>22</v>
      </c>
      <c r="P977" s="3" t="s">
        <v>31</v>
      </c>
      <c r="Q977" s="6">
        <f t="shared" si="3"/>
        <v>910000</v>
      </c>
    </row>
    <row r="978">
      <c r="A978" s="3">
        <v>65730.0</v>
      </c>
      <c r="B978" s="3" t="s">
        <v>794</v>
      </c>
      <c r="C978" s="3" t="s">
        <v>18</v>
      </c>
      <c r="D978" s="4" t="str">
        <f t="shared" si="1"/>
        <v>Mr.</v>
      </c>
      <c r="E978" s="3" t="str">
        <f t="shared" si="4"/>
        <v>Mr. Arnav Desai</v>
      </c>
      <c r="F978" s="3" t="str">
        <f>IFERROR(__xludf.DUMMYFUNCTION("SPLIT(B978,"" "")"),"Arnav")</f>
        <v>Arnav</v>
      </c>
      <c r="G978" s="3" t="str">
        <f>IFERROR(__xludf.DUMMYFUNCTION("""COMPUTED_VALUE"""),"Desai")</f>
        <v>Desai</v>
      </c>
      <c r="H978" s="3" t="s">
        <v>25</v>
      </c>
      <c r="I978" s="3">
        <v>2020.0</v>
      </c>
      <c r="J978" s="3">
        <f t="shared" si="2"/>
        <v>10000</v>
      </c>
      <c r="K978" s="3" t="s">
        <v>20</v>
      </c>
      <c r="L978" s="3">
        <v>225.0</v>
      </c>
      <c r="M978" s="3" t="s">
        <v>21</v>
      </c>
      <c r="N978" s="3">
        <v>72.0</v>
      </c>
      <c r="O978" s="3" t="s">
        <v>41</v>
      </c>
      <c r="P978" s="3" t="s">
        <v>31</v>
      </c>
      <c r="Q978" s="6">
        <f t="shared" si="3"/>
        <v>910000</v>
      </c>
    </row>
    <row r="979">
      <c r="A979" s="3">
        <v>65737.0</v>
      </c>
      <c r="B979" s="3" t="s">
        <v>795</v>
      </c>
      <c r="C979" s="3" t="s">
        <v>35</v>
      </c>
      <c r="D979" s="4" t="str">
        <f t="shared" si="1"/>
        <v>Ms.</v>
      </c>
      <c r="E979" s="3" t="str">
        <f t="shared" si="4"/>
        <v>Ms. Sara Singh</v>
      </c>
      <c r="F979" s="3" t="str">
        <f>IFERROR(__xludf.DUMMYFUNCTION("SPLIT(B979,"" "")"),"Sara")</f>
        <v>Sara</v>
      </c>
      <c r="G979" s="3" t="str">
        <f>IFERROR(__xludf.DUMMYFUNCTION("""COMPUTED_VALUE"""),"Singh")</f>
        <v>Singh</v>
      </c>
      <c r="H979" s="3" t="s">
        <v>33</v>
      </c>
      <c r="I979" s="3">
        <v>2024.0</v>
      </c>
      <c r="J979" s="3">
        <f t="shared" si="2"/>
        <v>10000</v>
      </c>
      <c r="K979" s="3" t="s">
        <v>20</v>
      </c>
      <c r="L979" s="10">
        <v>1426.0</v>
      </c>
      <c r="M979" s="3" t="s">
        <v>30</v>
      </c>
      <c r="N979" s="3">
        <v>52.0</v>
      </c>
      <c r="O979" s="3" t="s">
        <v>22</v>
      </c>
      <c r="P979" s="3" t="s">
        <v>31</v>
      </c>
      <c r="Q979" s="6">
        <f t="shared" si="3"/>
        <v>910000</v>
      </c>
    </row>
    <row r="980">
      <c r="A980" s="3">
        <v>65740.0</v>
      </c>
      <c r="B980" s="3" t="s">
        <v>796</v>
      </c>
      <c r="C980" s="3" t="s">
        <v>18</v>
      </c>
      <c r="D980" s="4" t="str">
        <f t="shared" si="1"/>
        <v>Mr.</v>
      </c>
      <c r="E980" s="3" t="str">
        <f t="shared" si="4"/>
        <v>Mr. Vihaan Singh</v>
      </c>
      <c r="F980" s="3" t="str">
        <f>IFERROR(__xludf.DUMMYFUNCTION("SPLIT(B980,"" "")"),"Vihaan")</f>
        <v>Vihaan</v>
      </c>
      <c r="G980" s="3" t="str">
        <f>IFERROR(__xludf.DUMMYFUNCTION("""COMPUTED_VALUE"""),"Singh")</f>
        <v>Singh</v>
      </c>
      <c r="H980" s="3" t="s">
        <v>19</v>
      </c>
      <c r="I980" s="3">
        <v>2012.0</v>
      </c>
      <c r="J980" s="3">
        <f t="shared" si="2"/>
        <v>5000</v>
      </c>
      <c r="K980" s="3" t="s">
        <v>20</v>
      </c>
      <c r="L980" s="10">
        <v>5475.0</v>
      </c>
      <c r="M980" s="3" t="s">
        <v>30</v>
      </c>
      <c r="N980" s="3">
        <f t="shared" ref="N980:N982" si="43">RANDBETWEEN(0,10)</f>
        <v>0</v>
      </c>
      <c r="O980" s="3" t="s">
        <v>41</v>
      </c>
      <c r="P980" s="3" t="s">
        <v>28</v>
      </c>
      <c r="Q980" s="6">
        <f t="shared" si="3"/>
        <v>400000</v>
      </c>
    </row>
    <row r="981">
      <c r="A981" s="3">
        <v>65741.0</v>
      </c>
      <c r="B981" s="3" t="s">
        <v>175</v>
      </c>
      <c r="C981" s="3" t="s">
        <v>35</v>
      </c>
      <c r="D981" s="4" t="str">
        <f t="shared" si="1"/>
        <v>Ms.</v>
      </c>
      <c r="E981" s="3" t="str">
        <f t="shared" si="4"/>
        <v>Ms. Kyra Kumar</v>
      </c>
      <c r="F981" s="3" t="str">
        <f>IFERROR(__xludf.DUMMYFUNCTION("SPLIT(B981,"" "")"),"Kyra")</f>
        <v>Kyra</v>
      </c>
      <c r="G981" s="3" t="str">
        <f>IFERROR(__xludf.DUMMYFUNCTION("""COMPUTED_VALUE"""),"Kumar")</f>
        <v>Kumar</v>
      </c>
      <c r="H981" s="3" t="s">
        <v>46</v>
      </c>
      <c r="I981" s="3">
        <v>2025.0</v>
      </c>
      <c r="J981" s="3">
        <f t="shared" si="2"/>
        <v>5000</v>
      </c>
      <c r="K981" s="3" t="s">
        <v>26</v>
      </c>
      <c r="L981" s="10">
        <v>1593.0</v>
      </c>
      <c r="M981" s="3" t="s">
        <v>30</v>
      </c>
      <c r="N981" s="3">
        <f t="shared" si="43"/>
        <v>2</v>
      </c>
      <c r="O981" s="3" t="s">
        <v>41</v>
      </c>
      <c r="P981" s="3" t="s">
        <v>28</v>
      </c>
      <c r="Q981" s="6">
        <f t="shared" si="3"/>
        <v>400000</v>
      </c>
    </row>
    <row r="982">
      <c r="A982" s="3">
        <v>65742.0</v>
      </c>
      <c r="B982" s="3" t="s">
        <v>631</v>
      </c>
      <c r="C982" s="3" t="s">
        <v>18</v>
      </c>
      <c r="D982" s="4" t="str">
        <f t="shared" si="1"/>
        <v>Mr.</v>
      </c>
      <c r="E982" s="3" t="str">
        <f t="shared" si="4"/>
        <v>Mr. Ayaan Naidu</v>
      </c>
      <c r="F982" s="3" t="str">
        <f>IFERROR(__xludf.DUMMYFUNCTION("SPLIT(B982,"" "")"),"Ayaan")</f>
        <v>Ayaan</v>
      </c>
      <c r="G982" s="3" t="str">
        <f>IFERROR(__xludf.DUMMYFUNCTION("""COMPUTED_VALUE"""),"Naidu")</f>
        <v>Naidu</v>
      </c>
      <c r="H982" s="3" t="s">
        <v>33</v>
      </c>
      <c r="I982" s="3">
        <v>2022.0</v>
      </c>
      <c r="J982" s="3">
        <f t="shared" si="2"/>
        <v>10000</v>
      </c>
      <c r="K982" s="3" t="s">
        <v>26</v>
      </c>
      <c r="L982" s="3">
        <v>23252.0</v>
      </c>
      <c r="M982" s="3" t="s">
        <v>30</v>
      </c>
      <c r="N982" s="3">
        <f t="shared" si="43"/>
        <v>8</v>
      </c>
      <c r="O982" s="3" t="s">
        <v>22</v>
      </c>
      <c r="P982" s="3" t="s">
        <v>28</v>
      </c>
      <c r="Q982" s="6">
        <f t="shared" si="3"/>
        <v>400000</v>
      </c>
    </row>
    <row r="983">
      <c r="A983" s="3">
        <v>65743.0</v>
      </c>
      <c r="B983" s="3" t="s">
        <v>509</v>
      </c>
      <c r="C983" s="3" t="s">
        <v>35</v>
      </c>
      <c r="D983" s="4" t="str">
        <f t="shared" si="1"/>
        <v>Ms.</v>
      </c>
      <c r="E983" s="3" t="str">
        <f t="shared" si="4"/>
        <v>Ms. Charvi Jain</v>
      </c>
      <c r="F983" s="3" t="str">
        <f>IFERROR(__xludf.DUMMYFUNCTION("SPLIT(B983,"" "")"),"Charvi")</f>
        <v>Charvi</v>
      </c>
      <c r="G983" s="3" t="str">
        <f>IFERROR(__xludf.DUMMYFUNCTION("""COMPUTED_VALUE"""),"Jain")</f>
        <v>Jain</v>
      </c>
      <c r="H983" s="3" t="s">
        <v>46</v>
      </c>
      <c r="I983" s="3">
        <v>2019.0</v>
      </c>
      <c r="J983" s="3">
        <f t="shared" si="2"/>
        <v>5000</v>
      </c>
      <c r="K983" s="3" t="s">
        <v>20</v>
      </c>
      <c r="L983" s="3">
        <v>0.0</v>
      </c>
      <c r="M983" s="3" t="s">
        <v>30</v>
      </c>
      <c r="N983" s="3">
        <v>3.0</v>
      </c>
      <c r="O983" s="3" t="s">
        <v>22</v>
      </c>
      <c r="P983" s="3" t="s">
        <v>23</v>
      </c>
      <c r="Q983" s="6">
        <f t="shared" si="3"/>
        <v>430000</v>
      </c>
    </row>
    <row r="984">
      <c r="A984" s="3">
        <v>65744.0</v>
      </c>
      <c r="B984" s="3" t="s">
        <v>797</v>
      </c>
      <c r="C984" s="3" t="s">
        <v>18</v>
      </c>
      <c r="D984" s="4" t="str">
        <f t="shared" si="1"/>
        <v>Mr.</v>
      </c>
      <c r="E984" s="3" t="str">
        <f t="shared" si="4"/>
        <v>Mr. Rudra Bhatt</v>
      </c>
      <c r="F984" s="3" t="str">
        <f>IFERROR(__xludf.DUMMYFUNCTION("SPLIT(B984,"" "")"),"Rudra")</f>
        <v>Rudra</v>
      </c>
      <c r="G984" s="3" t="str">
        <f>IFERROR(__xludf.DUMMYFUNCTION("""COMPUTED_VALUE"""),"Bhatt")</f>
        <v>Bhatt</v>
      </c>
      <c r="H984" s="3" t="s">
        <v>46</v>
      </c>
      <c r="I984" s="3">
        <v>2021.0</v>
      </c>
      <c r="J984" s="3">
        <f t="shared" si="2"/>
        <v>5000</v>
      </c>
      <c r="K984" s="3" t="s">
        <v>26</v>
      </c>
      <c r="L984" s="3">
        <v>3525.0</v>
      </c>
      <c r="M984" s="3" t="s">
        <v>21</v>
      </c>
      <c r="N984" s="3">
        <f>RANDBETWEEN(0,10)</f>
        <v>1</v>
      </c>
      <c r="O984" s="3" t="s">
        <v>22</v>
      </c>
      <c r="P984" s="3" t="s">
        <v>38</v>
      </c>
      <c r="Q984" s="6">
        <f t="shared" si="3"/>
        <v>635000</v>
      </c>
    </row>
    <row r="985">
      <c r="A985" s="3">
        <v>65747.0</v>
      </c>
      <c r="B985" s="3" t="s">
        <v>798</v>
      </c>
      <c r="C985" s="3" t="s">
        <v>35</v>
      </c>
      <c r="D985" s="4" t="str">
        <f t="shared" si="1"/>
        <v>Ms.</v>
      </c>
      <c r="E985" s="3" t="str">
        <f t="shared" si="4"/>
        <v>Ms. Saanvi Gupta</v>
      </c>
      <c r="F985" s="3" t="str">
        <f>IFERROR(__xludf.DUMMYFUNCTION("SPLIT(B985,"" "")"),"Saanvi")</f>
        <v>Saanvi</v>
      </c>
      <c r="G985" s="3" t="str">
        <f>IFERROR(__xludf.DUMMYFUNCTION("""COMPUTED_VALUE"""),"Gupta")</f>
        <v>Gupta</v>
      </c>
      <c r="H985" s="3" t="s">
        <v>46</v>
      </c>
      <c r="I985" s="3">
        <v>2024.0</v>
      </c>
      <c r="J985" s="3">
        <f t="shared" si="2"/>
        <v>5000</v>
      </c>
      <c r="K985" s="3" t="s">
        <v>20</v>
      </c>
      <c r="L985" s="10">
        <v>3655.0</v>
      </c>
      <c r="M985" s="3" t="s">
        <v>21</v>
      </c>
      <c r="N985" s="3">
        <v>11.0</v>
      </c>
      <c r="O985" s="3" t="s">
        <v>22</v>
      </c>
      <c r="P985" s="3" t="s">
        <v>38</v>
      </c>
      <c r="Q985" s="6">
        <f t="shared" si="3"/>
        <v>635000</v>
      </c>
    </row>
    <row r="986">
      <c r="A986" s="3">
        <v>65748.0</v>
      </c>
      <c r="B986" s="3" t="s">
        <v>63</v>
      </c>
      <c r="C986" s="3" t="s">
        <v>35</v>
      </c>
      <c r="D986" s="4" t="str">
        <f t="shared" si="1"/>
        <v>Ms.</v>
      </c>
      <c r="E986" s="3" t="str">
        <f t="shared" si="4"/>
        <v>Ms. Tara Sinha</v>
      </c>
      <c r="F986" s="3" t="str">
        <f>IFERROR(__xludf.DUMMYFUNCTION("SPLIT(B986,"" "")"),"Tara")</f>
        <v>Tara</v>
      </c>
      <c r="G986" s="3" t="str">
        <f>IFERROR(__xludf.DUMMYFUNCTION("""COMPUTED_VALUE"""),"Sinha")</f>
        <v>Sinha</v>
      </c>
      <c r="H986" s="3" t="s">
        <v>19</v>
      </c>
      <c r="I986" s="3">
        <v>2012.0</v>
      </c>
      <c r="J986" s="3">
        <f t="shared" si="2"/>
        <v>5000</v>
      </c>
      <c r="K986" s="3" t="s">
        <v>26</v>
      </c>
      <c r="L986" s="3">
        <v>19832.0</v>
      </c>
      <c r="M986" s="3" t="s">
        <v>30</v>
      </c>
      <c r="N986" s="3">
        <v>69.0</v>
      </c>
      <c r="O986" s="3" t="s">
        <v>41</v>
      </c>
      <c r="P986" s="3" t="s">
        <v>38</v>
      </c>
      <c r="Q986" s="6">
        <f t="shared" si="3"/>
        <v>635000</v>
      </c>
    </row>
    <row r="987">
      <c r="A987" s="3">
        <v>65749.0</v>
      </c>
      <c r="B987" s="3" t="s">
        <v>338</v>
      </c>
      <c r="C987" s="3" t="s">
        <v>35</v>
      </c>
      <c r="D987" s="4" t="str">
        <f t="shared" si="1"/>
        <v>Ms.</v>
      </c>
      <c r="E987" s="3" t="str">
        <f t="shared" si="4"/>
        <v>Ms. Diya Prasad</v>
      </c>
      <c r="F987" s="3" t="str">
        <f>IFERROR(__xludf.DUMMYFUNCTION("SPLIT(B987,"" "")"),"Diya")</f>
        <v>Diya</v>
      </c>
      <c r="G987" s="3" t="str">
        <f>IFERROR(__xludf.DUMMYFUNCTION("""COMPUTED_VALUE"""),"Prasad")</f>
        <v>Prasad</v>
      </c>
      <c r="H987" s="3" t="s">
        <v>25</v>
      </c>
      <c r="I987" s="3">
        <v>2024.0</v>
      </c>
      <c r="J987" s="3">
        <f t="shared" si="2"/>
        <v>10000</v>
      </c>
      <c r="K987" s="3" t="s">
        <v>20</v>
      </c>
      <c r="L987" s="3">
        <v>0.0</v>
      </c>
      <c r="M987" s="3" t="s">
        <v>30</v>
      </c>
      <c r="N987" s="3">
        <v>25.0</v>
      </c>
      <c r="O987" s="3" t="s">
        <v>22</v>
      </c>
      <c r="P987" s="3" t="s">
        <v>31</v>
      </c>
      <c r="Q987" s="6">
        <f t="shared" si="3"/>
        <v>910000</v>
      </c>
    </row>
    <row r="988">
      <c r="A988" s="3">
        <v>65750.0</v>
      </c>
      <c r="B988" s="3" t="s">
        <v>630</v>
      </c>
      <c r="C988" s="3" t="s">
        <v>35</v>
      </c>
      <c r="D988" s="4" t="str">
        <f t="shared" si="1"/>
        <v>Ms.</v>
      </c>
      <c r="E988" s="3" t="str">
        <f t="shared" si="4"/>
        <v>Ms. Anvi Kulkarni</v>
      </c>
      <c r="F988" s="3" t="str">
        <f>IFERROR(__xludf.DUMMYFUNCTION("SPLIT(B988,"" "")"),"Anvi")</f>
        <v>Anvi</v>
      </c>
      <c r="G988" s="3" t="str">
        <f>IFERROR(__xludf.DUMMYFUNCTION("""COMPUTED_VALUE"""),"Kulkarni")</f>
        <v>Kulkarni</v>
      </c>
      <c r="H988" s="3" t="s">
        <v>25</v>
      </c>
      <c r="I988" s="3">
        <v>2025.0</v>
      </c>
      <c r="J988" s="3">
        <f t="shared" si="2"/>
        <v>10000</v>
      </c>
      <c r="K988" s="3" t="s">
        <v>20</v>
      </c>
      <c r="L988" s="10">
        <v>4106.0</v>
      </c>
      <c r="M988" s="3" t="s">
        <v>30</v>
      </c>
      <c r="N988" s="3">
        <v>35.0</v>
      </c>
      <c r="O988" s="3" t="s">
        <v>41</v>
      </c>
      <c r="P988" s="3" t="s">
        <v>28</v>
      </c>
      <c r="Q988" s="6">
        <f t="shared" si="3"/>
        <v>400000</v>
      </c>
    </row>
    <row r="989">
      <c r="A989" s="3">
        <v>65751.0</v>
      </c>
      <c r="B989" s="3" t="s">
        <v>799</v>
      </c>
      <c r="C989" s="3" t="s">
        <v>18</v>
      </c>
      <c r="D989" s="4" t="str">
        <f t="shared" si="1"/>
        <v>Mr.</v>
      </c>
      <c r="E989" s="3" t="str">
        <f t="shared" si="4"/>
        <v>Mr. Arjun Sinha</v>
      </c>
      <c r="F989" s="3" t="str">
        <f>IFERROR(__xludf.DUMMYFUNCTION("SPLIT(B989,"" "")"),"Arjun")</f>
        <v>Arjun</v>
      </c>
      <c r="G989" s="3" t="str">
        <f>IFERROR(__xludf.DUMMYFUNCTION("""COMPUTED_VALUE"""),"Sinha")</f>
        <v>Sinha</v>
      </c>
      <c r="H989" s="3" t="s">
        <v>25</v>
      </c>
      <c r="I989" s="3">
        <v>2020.0</v>
      </c>
      <c r="J989" s="3">
        <f t="shared" si="2"/>
        <v>10000</v>
      </c>
      <c r="K989" s="3" t="s">
        <v>20</v>
      </c>
      <c r="L989" s="10">
        <v>1630.0</v>
      </c>
      <c r="M989" s="3" t="s">
        <v>21</v>
      </c>
      <c r="N989" s="3">
        <v>9.0</v>
      </c>
      <c r="O989" s="3" t="s">
        <v>41</v>
      </c>
      <c r="P989" s="3" t="s">
        <v>31</v>
      </c>
      <c r="Q989" s="6">
        <f t="shared" si="3"/>
        <v>910000</v>
      </c>
    </row>
    <row r="990">
      <c r="A990" s="3">
        <v>65752.0</v>
      </c>
      <c r="B990" s="3" t="s">
        <v>800</v>
      </c>
      <c r="C990" s="3" t="s">
        <v>18</v>
      </c>
      <c r="D990" s="4" t="str">
        <f t="shared" si="1"/>
        <v>Mr.</v>
      </c>
      <c r="E990" s="3" t="str">
        <f t="shared" si="4"/>
        <v>Mr. Aditya Sharma</v>
      </c>
      <c r="F990" s="3" t="str">
        <f>IFERROR(__xludf.DUMMYFUNCTION("SPLIT(B990,"" "")"),"Aditya")</f>
        <v>Aditya</v>
      </c>
      <c r="G990" s="3" t="str">
        <f>IFERROR(__xludf.DUMMYFUNCTION("""COMPUTED_VALUE"""),"Sharma")</f>
        <v>Sharma</v>
      </c>
      <c r="H990" s="3" t="s">
        <v>25</v>
      </c>
      <c r="I990" s="3">
        <v>2017.0</v>
      </c>
      <c r="J990" s="3">
        <f t="shared" si="2"/>
        <v>10000</v>
      </c>
      <c r="K990" s="3" t="s">
        <v>20</v>
      </c>
      <c r="L990" s="3">
        <v>0.0</v>
      </c>
      <c r="M990" s="3" t="s">
        <v>21</v>
      </c>
      <c r="N990" s="3">
        <v>7.0</v>
      </c>
      <c r="O990" s="3" t="s">
        <v>22</v>
      </c>
      <c r="P990" s="3" t="s">
        <v>38</v>
      </c>
      <c r="Q990" s="6">
        <f t="shared" si="3"/>
        <v>635000</v>
      </c>
    </row>
    <row r="991">
      <c r="A991" s="3">
        <v>65753.0</v>
      </c>
      <c r="B991" s="3" t="s">
        <v>801</v>
      </c>
      <c r="C991" s="3" t="s">
        <v>35</v>
      </c>
      <c r="D991" s="4" t="str">
        <f t="shared" si="1"/>
        <v>Ms.</v>
      </c>
      <c r="E991" s="3" t="str">
        <f t="shared" si="4"/>
        <v>Ms. Navya Mehta</v>
      </c>
      <c r="F991" s="3" t="str">
        <f>IFERROR(__xludf.DUMMYFUNCTION("SPLIT(B991,"" "")"),"Navya")</f>
        <v>Navya</v>
      </c>
      <c r="G991" s="3" t="str">
        <f>IFERROR(__xludf.DUMMYFUNCTION("""COMPUTED_VALUE"""),"Mehta")</f>
        <v>Mehta</v>
      </c>
      <c r="H991" s="3" t="s">
        <v>33</v>
      </c>
      <c r="I991" s="3">
        <v>2026.0</v>
      </c>
      <c r="J991" s="3">
        <f t="shared" si="2"/>
        <v>10000</v>
      </c>
      <c r="K991" s="3" t="s">
        <v>26</v>
      </c>
      <c r="L991" s="3">
        <v>967.0</v>
      </c>
      <c r="M991" s="3" t="s">
        <v>30</v>
      </c>
      <c r="N991" s="3">
        <f>RANDBETWEEN(0,10)</f>
        <v>5</v>
      </c>
      <c r="O991" s="3" t="s">
        <v>41</v>
      </c>
      <c r="P991" s="3" t="s">
        <v>31</v>
      </c>
      <c r="Q991" s="6">
        <f t="shared" si="3"/>
        <v>910000</v>
      </c>
    </row>
    <row r="992">
      <c r="A992" s="3">
        <v>65755.0</v>
      </c>
      <c r="B992" s="3" t="s">
        <v>802</v>
      </c>
      <c r="C992" s="3" t="s">
        <v>18</v>
      </c>
      <c r="D992" s="4" t="str">
        <f t="shared" si="1"/>
        <v>Mr.</v>
      </c>
      <c r="E992" s="3" t="str">
        <f t="shared" si="4"/>
        <v>Mr. Om Desai</v>
      </c>
      <c r="F992" s="3" t="str">
        <f>IFERROR(__xludf.DUMMYFUNCTION("SPLIT(B992,"" "")"),"Om")</f>
        <v>Om</v>
      </c>
      <c r="G992" s="3" t="str">
        <f>IFERROR(__xludf.DUMMYFUNCTION("""COMPUTED_VALUE"""),"Desai")</f>
        <v>Desai</v>
      </c>
      <c r="H992" s="3" t="s">
        <v>19</v>
      </c>
      <c r="I992" s="3">
        <v>2024.0</v>
      </c>
      <c r="J992" s="3">
        <f t="shared" si="2"/>
        <v>5000</v>
      </c>
      <c r="K992" s="3" t="s">
        <v>20</v>
      </c>
      <c r="L992" s="3">
        <v>0.0</v>
      </c>
      <c r="M992" s="3" t="s">
        <v>30</v>
      </c>
      <c r="N992" s="3">
        <v>55.0</v>
      </c>
      <c r="O992" s="3" t="s">
        <v>22</v>
      </c>
      <c r="P992" s="3" t="s">
        <v>38</v>
      </c>
      <c r="Q992" s="6">
        <f t="shared" si="3"/>
        <v>635000</v>
      </c>
    </row>
    <row r="993">
      <c r="A993" s="3">
        <v>65757.0</v>
      </c>
      <c r="B993" s="3" t="s">
        <v>803</v>
      </c>
      <c r="C993" s="3" t="s">
        <v>18</v>
      </c>
      <c r="D993" s="4" t="str">
        <f t="shared" si="1"/>
        <v>Mr.</v>
      </c>
      <c r="E993" s="3" t="str">
        <f t="shared" si="4"/>
        <v>Mr. Aryan Singh</v>
      </c>
      <c r="F993" s="3" t="str">
        <f>IFERROR(__xludf.DUMMYFUNCTION("SPLIT(B993,"" "")"),"Aryan")</f>
        <v>Aryan</v>
      </c>
      <c r="G993" s="3" t="str">
        <f>IFERROR(__xludf.DUMMYFUNCTION("""COMPUTED_VALUE"""),"Singh")</f>
        <v>Singh</v>
      </c>
      <c r="H993" s="3" t="s">
        <v>25</v>
      </c>
      <c r="I993" s="3">
        <v>2023.0</v>
      </c>
      <c r="J993" s="3">
        <f t="shared" si="2"/>
        <v>10000</v>
      </c>
      <c r="K993" s="3" t="s">
        <v>20</v>
      </c>
      <c r="L993" s="3">
        <v>0.0</v>
      </c>
      <c r="M993" s="3" t="s">
        <v>21</v>
      </c>
      <c r="N993" s="3">
        <v>39.0</v>
      </c>
      <c r="O993" s="3" t="s">
        <v>22</v>
      </c>
      <c r="P993" s="3" t="s">
        <v>23</v>
      </c>
      <c r="Q993" s="6">
        <f t="shared" si="3"/>
        <v>430000</v>
      </c>
    </row>
    <row r="994">
      <c r="A994" s="3">
        <v>65758.0</v>
      </c>
      <c r="B994" s="3" t="s">
        <v>804</v>
      </c>
      <c r="C994" s="3" t="s">
        <v>18</v>
      </c>
      <c r="D994" s="4" t="str">
        <f t="shared" si="1"/>
        <v>Mr.</v>
      </c>
      <c r="E994" s="3" t="str">
        <f t="shared" si="4"/>
        <v>Mr. Reyansh Chowdhury</v>
      </c>
      <c r="F994" s="3" t="str">
        <f>IFERROR(__xludf.DUMMYFUNCTION("SPLIT(B994,"" "")"),"Reyansh")</f>
        <v>Reyansh</v>
      </c>
      <c r="G994" s="3" t="str">
        <f>IFERROR(__xludf.DUMMYFUNCTION("""COMPUTED_VALUE"""),"Chowdhury")</f>
        <v>Chowdhury</v>
      </c>
      <c r="H994" s="3" t="s">
        <v>19</v>
      </c>
      <c r="I994" s="3">
        <v>2024.0</v>
      </c>
      <c r="J994" s="3">
        <f t="shared" si="2"/>
        <v>5000</v>
      </c>
      <c r="K994" s="3" t="s">
        <v>20</v>
      </c>
      <c r="L994" s="3">
        <v>0.0</v>
      </c>
      <c r="M994" s="3" t="s">
        <v>30</v>
      </c>
      <c r="N994" s="3">
        <v>15.0</v>
      </c>
      <c r="O994" s="3" t="s">
        <v>22</v>
      </c>
      <c r="P994" s="3" t="s">
        <v>31</v>
      </c>
      <c r="Q994" s="6">
        <f t="shared" si="3"/>
        <v>910000</v>
      </c>
    </row>
    <row r="995">
      <c r="A995" s="3">
        <v>65759.0</v>
      </c>
      <c r="B995" s="3" t="s">
        <v>69</v>
      </c>
      <c r="C995" s="3" t="s">
        <v>18</v>
      </c>
      <c r="D995" s="4" t="str">
        <f t="shared" si="1"/>
        <v>Mr.</v>
      </c>
      <c r="E995" s="3" t="str">
        <f t="shared" si="4"/>
        <v>Mr. Aaryan Bhatt</v>
      </c>
      <c r="F995" s="3" t="str">
        <f>IFERROR(__xludf.DUMMYFUNCTION("SPLIT(B995,"" "")"),"Aaryan")</f>
        <v>Aaryan</v>
      </c>
      <c r="G995" s="3" t="str">
        <f>IFERROR(__xludf.DUMMYFUNCTION("""COMPUTED_VALUE"""),"Bhatt")</f>
        <v>Bhatt</v>
      </c>
      <c r="H995" s="3" t="s">
        <v>46</v>
      </c>
      <c r="I995" s="3">
        <v>2024.0</v>
      </c>
      <c r="J995" s="3">
        <f t="shared" si="2"/>
        <v>5000</v>
      </c>
      <c r="K995" s="3" t="s">
        <v>26</v>
      </c>
      <c r="L995" s="10">
        <v>1750.0</v>
      </c>
      <c r="M995" s="3" t="s">
        <v>21</v>
      </c>
      <c r="N995" s="3">
        <v>37.0</v>
      </c>
      <c r="O995" s="3" t="s">
        <v>22</v>
      </c>
      <c r="P995" s="3" t="s">
        <v>23</v>
      </c>
      <c r="Q995" s="6">
        <f t="shared" si="3"/>
        <v>430000</v>
      </c>
    </row>
    <row r="996">
      <c r="A996" s="3">
        <v>65761.0</v>
      </c>
      <c r="B996" s="3" t="s">
        <v>805</v>
      </c>
      <c r="C996" s="3" t="s">
        <v>18</v>
      </c>
      <c r="D996" s="4" t="str">
        <f t="shared" si="1"/>
        <v>Mr.</v>
      </c>
      <c r="E996" s="3" t="str">
        <f t="shared" si="4"/>
        <v>Mr. Dev Mishra</v>
      </c>
      <c r="F996" s="3" t="str">
        <f>IFERROR(__xludf.DUMMYFUNCTION("SPLIT(B996,"" "")"),"Dev")</f>
        <v>Dev</v>
      </c>
      <c r="G996" s="3" t="str">
        <f>IFERROR(__xludf.DUMMYFUNCTION("""COMPUTED_VALUE"""),"Mishra")</f>
        <v>Mishra</v>
      </c>
      <c r="H996" s="3" t="s">
        <v>33</v>
      </c>
      <c r="I996" s="3">
        <v>2014.0</v>
      </c>
      <c r="J996" s="3">
        <f t="shared" si="2"/>
        <v>10000</v>
      </c>
      <c r="K996" s="3" t="s">
        <v>26</v>
      </c>
      <c r="L996" s="10">
        <v>4885.0</v>
      </c>
      <c r="M996" s="3" t="s">
        <v>30</v>
      </c>
      <c r="N996" s="3">
        <f>RANDBETWEEN(0,10)</f>
        <v>4</v>
      </c>
      <c r="O996" s="3" t="s">
        <v>41</v>
      </c>
      <c r="P996" s="3" t="s">
        <v>28</v>
      </c>
      <c r="Q996" s="6">
        <f t="shared" si="3"/>
        <v>400000</v>
      </c>
    </row>
    <row r="997">
      <c r="A997" s="3">
        <v>65762.0</v>
      </c>
      <c r="B997" s="3" t="s">
        <v>806</v>
      </c>
      <c r="C997" s="3" t="s">
        <v>35</v>
      </c>
      <c r="D997" s="4" t="str">
        <f t="shared" si="1"/>
        <v>Ms.</v>
      </c>
      <c r="E997" s="3" t="str">
        <f t="shared" si="4"/>
        <v>Ms. Vanya Sharma</v>
      </c>
      <c r="F997" s="3" t="str">
        <f>IFERROR(__xludf.DUMMYFUNCTION("SPLIT(B997,"" "")"),"Vanya")</f>
        <v>Vanya</v>
      </c>
      <c r="G997" s="3" t="str">
        <f>IFERROR(__xludf.DUMMYFUNCTION("""COMPUTED_VALUE"""),"Sharma")</f>
        <v>Sharma</v>
      </c>
      <c r="H997" s="3" t="s">
        <v>25</v>
      </c>
      <c r="I997" s="3">
        <v>2024.0</v>
      </c>
      <c r="J997" s="3">
        <f t="shared" si="2"/>
        <v>10000</v>
      </c>
      <c r="K997" s="3" t="s">
        <v>20</v>
      </c>
      <c r="L997" s="3">
        <v>0.0</v>
      </c>
      <c r="M997" s="3" t="s">
        <v>30</v>
      </c>
      <c r="N997" s="3">
        <v>7.0</v>
      </c>
      <c r="O997" s="3" t="s">
        <v>22</v>
      </c>
      <c r="P997" s="3" t="s">
        <v>38</v>
      </c>
      <c r="Q997" s="6">
        <f t="shared" si="3"/>
        <v>635000</v>
      </c>
    </row>
    <row r="998">
      <c r="A998" s="3">
        <v>65765.0</v>
      </c>
      <c r="B998" s="3" t="s">
        <v>469</v>
      </c>
      <c r="C998" s="3" t="s">
        <v>35</v>
      </c>
      <c r="D998" s="4" t="str">
        <f t="shared" si="1"/>
        <v>Ms.</v>
      </c>
      <c r="E998" s="3" t="str">
        <f t="shared" si="4"/>
        <v>Ms. Mahira Malik</v>
      </c>
      <c r="F998" s="3" t="str">
        <f>IFERROR(__xludf.DUMMYFUNCTION("SPLIT(B998,"" "")"),"Mahira")</f>
        <v>Mahira</v>
      </c>
      <c r="G998" s="3" t="str">
        <f>IFERROR(__xludf.DUMMYFUNCTION("""COMPUTED_VALUE"""),"Malik")</f>
        <v>Malik</v>
      </c>
      <c r="H998" s="3" t="s">
        <v>33</v>
      </c>
      <c r="I998" s="3">
        <v>2018.0</v>
      </c>
      <c r="J998" s="3">
        <f t="shared" si="2"/>
        <v>10000</v>
      </c>
      <c r="K998" s="3" t="s">
        <v>26</v>
      </c>
      <c r="L998" s="10">
        <v>3584.0</v>
      </c>
      <c r="M998" s="3" t="s">
        <v>21</v>
      </c>
      <c r="N998" s="3">
        <f>RANDBETWEEN(0,10)</f>
        <v>0</v>
      </c>
      <c r="O998" s="3" t="s">
        <v>22</v>
      </c>
      <c r="P998" s="3" t="s">
        <v>78</v>
      </c>
      <c r="Q998" s="6">
        <f t="shared" si="3"/>
        <v>255000</v>
      </c>
    </row>
    <row r="999">
      <c r="A999" s="3">
        <v>65766.0</v>
      </c>
      <c r="B999" s="3" t="s">
        <v>807</v>
      </c>
      <c r="C999" s="3" t="s">
        <v>18</v>
      </c>
      <c r="D999" s="4" t="str">
        <f t="shared" si="1"/>
        <v>Mr.</v>
      </c>
      <c r="E999" s="3" t="str">
        <f t="shared" si="4"/>
        <v>Mr. Sai Agarwal</v>
      </c>
      <c r="F999" s="3" t="str">
        <f>IFERROR(__xludf.DUMMYFUNCTION("SPLIT(B999,"" "")"),"Sai")</f>
        <v>Sai</v>
      </c>
      <c r="G999" s="3" t="str">
        <f>IFERROR(__xludf.DUMMYFUNCTION("""COMPUTED_VALUE"""),"Agarwal")</f>
        <v>Agarwal</v>
      </c>
      <c r="H999" s="3" t="s">
        <v>46</v>
      </c>
      <c r="I999" s="3">
        <v>2006.0</v>
      </c>
      <c r="J999" s="3">
        <f t="shared" si="2"/>
        <v>5000</v>
      </c>
      <c r="K999" s="3" t="s">
        <v>20</v>
      </c>
      <c r="L999" s="3">
        <v>13.0</v>
      </c>
      <c r="M999" s="3" t="s">
        <v>30</v>
      </c>
      <c r="N999" s="3">
        <v>2.0</v>
      </c>
      <c r="O999" s="3" t="s">
        <v>41</v>
      </c>
      <c r="P999" s="3" t="s">
        <v>23</v>
      </c>
      <c r="Q999" s="6">
        <f t="shared" si="3"/>
        <v>430000</v>
      </c>
    </row>
    <row r="1000">
      <c r="A1000" s="3">
        <v>65768.0</v>
      </c>
      <c r="B1000" s="3" t="s">
        <v>808</v>
      </c>
      <c r="C1000" s="3" t="s">
        <v>35</v>
      </c>
      <c r="D1000" s="4" t="str">
        <f t="shared" si="1"/>
        <v>Ms.</v>
      </c>
      <c r="E1000" s="3" t="str">
        <f t="shared" si="4"/>
        <v>Ms. Saanvi Thakur</v>
      </c>
      <c r="F1000" s="3" t="str">
        <f>IFERROR(__xludf.DUMMYFUNCTION("SPLIT(B1000,"" "")"),"Saanvi")</f>
        <v>Saanvi</v>
      </c>
      <c r="G1000" s="3" t="str">
        <f>IFERROR(__xludf.DUMMYFUNCTION("""COMPUTED_VALUE"""),"Thakur")</f>
        <v>Thakur</v>
      </c>
      <c r="H1000" s="3" t="s">
        <v>19</v>
      </c>
      <c r="I1000" s="3">
        <v>2023.0</v>
      </c>
      <c r="J1000" s="3">
        <f t="shared" si="2"/>
        <v>5000</v>
      </c>
      <c r="K1000" s="3" t="s">
        <v>26</v>
      </c>
      <c r="L1000" s="10">
        <v>3003.0</v>
      </c>
      <c r="M1000" s="3" t="s">
        <v>21</v>
      </c>
      <c r="N1000" s="3">
        <v>44.0</v>
      </c>
      <c r="O1000" s="3" t="s">
        <v>22</v>
      </c>
      <c r="P1000" s="3" t="s">
        <v>78</v>
      </c>
      <c r="Q1000" s="6">
        <f t="shared" si="3"/>
        <v>255000</v>
      </c>
    </row>
    <row r="1001">
      <c r="A1001" s="3">
        <v>65770.0</v>
      </c>
      <c r="B1001" s="3" t="s">
        <v>809</v>
      </c>
      <c r="C1001" s="3" t="s">
        <v>18</v>
      </c>
      <c r="D1001" s="4" t="str">
        <f t="shared" si="1"/>
        <v>Mr.</v>
      </c>
      <c r="E1001" s="3" t="str">
        <f t="shared" si="4"/>
        <v>Mr. Sai Patel</v>
      </c>
      <c r="F1001" s="3" t="str">
        <f>IFERROR(__xludf.DUMMYFUNCTION("SPLIT(B1001,"" "")"),"Sai")</f>
        <v>Sai</v>
      </c>
      <c r="G1001" s="3" t="str">
        <f>IFERROR(__xludf.DUMMYFUNCTION("""COMPUTED_VALUE"""),"Patel")</f>
        <v>Patel</v>
      </c>
      <c r="H1001" s="3" t="s">
        <v>46</v>
      </c>
      <c r="I1001" s="3">
        <v>2021.0</v>
      </c>
      <c r="J1001" s="3">
        <f t="shared" si="2"/>
        <v>5000</v>
      </c>
      <c r="K1001" s="3" t="s">
        <v>20</v>
      </c>
      <c r="L1001" s="3">
        <v>0.0</v>
      </c>
      <c r="M1001" s="3" t="s">
        <v>153</v>
      </c>
      <c r="N1001" s="3">
        <f>RANDBETWEEN(0,10)</f>
        <v>5</v>
      </c>
      <c r="O1001" s="3" t="s">
        <v>22</v>
      </c>
      <c r="P1001" s="3" t="s">
        <v>23</v>
      </c>
      <c r="Q1001" s="6">
        <f t="shared" si="3"/>
        <v>430000</v>
      </c>
    </row>
    <row r="1002">
      <c r="A1002" s="3"/>
      <c r="B1002" s="3"/>
      <c r="C1002" s="3"/>
      <c r="D1002" s="4"/>
      <c r="E1002" s="3" t="str">
        <f t="shared" si="4"/>
        <v> </v>
      </c>
      <c r="F1002" s="3"/>
      <c r="G1002" s="3"/>
      <c r="H1002" s="3"/>
      <c r="I1002" s="3"/>
      <c r="J1002" s="3"/>
      <c r="K1002" s="4" t="s">
        <v>810</v>
      </c>
      <c r="L1002" s="11" t="s">
        <v>811</v>
      </c>
      <c r="M1002" s="3"/>
      <c r="N1002" s="3"/>
      <c r="O1002" s="3"/>
      <c r="P1002" s="3"/>
      <c r="Q1002" s="6"/>
    </row>
    <row r="1003">
      <c r="A1003" s="3"/>
      <c r="B1003" s="3"/>
      <c r="C1003" s="3"/>
      <c r="D1003" s="4"/>
      <c r="E1003" s="3"/>
      <c r="F1003" s="3"/>
      <c r="G1003" s="3"/>
      <c r="H1003" s="3"/>
      <c r="I1003" s="3"/>
      <c r="J1003" s="3"/>
      <c r="K1003" s="4"/>
      <c r="L1003" s="3"/>
      <c r="M1003" s="3"/>
      <c r="N1003" s="3"/>
      <c r="O1003" s="3"/>
      <c r="P1003" s="3"/>
      <c r="Q1003" s="6"/>
    </row>
    <row r="1004">
      <c r="A1004" s="3"/>
      <c r="B1004" s="3"/>
      <c r="C1004" s="3"/>
      <c r="D1004" s="4"/>
      <c r="E1004" s="3"/>
      <c r="F1004" s="3"/>
      <c r="G1004" s="3"/>
      <c r="H1004" s="3"/>
      <c r="I1004" s="3"/>
      <c r="J1004" s="3"/>
      <c r="K1004" s="4"/>
      <c r="L1004" s="3"/>
      <c r="M1004" s="3"/>
      <c r="N1004" s="3"/>
      <c r="O1004" s="3"/>
      <c r="P1004" s="3"/>
      <c r="Q1004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</cols>
  <sheetData>
    <row r="1">
      <c r="A1" s="12" t="s">
        <v>812</v>
      </c>
      <c r="B1" s="12" t="s">
        <v>813</v>
      </c>
      <c r="C1" s="12" t="s">
        <v>7</v>
      </c>
      <c r="D1" s="12" t="s">
        <v>814</v>
      </c>
      <c r="E1" s="13" t="s">
        <v>815</v>
      </c>
      <c r="F1" s="13" t="s">
        <v>815</v>
      </c>
      <c r="G1" s="13" t="s">
        <v>815</v>
      </c>
      <c r="H1" s="13" t="s">
        <v>815</v>
      </c>
      <c r="I1" s="13" t="s">
        <v>815</v>
      </c>
      <c r="J1" s="13" t="s">
        <v>815</v>
      </c>
      <c r="K1" s="13" t="s">
        <v>815</v>
      </c>
      <c r="L1" s="13" t="s">
        <v>815</v>
      </c>
      <c r="M1" s="13" t="s">
        <v>815</v>
      </c>
      <c r="N1" s="13" t="s">
        <v>815</v>
      </c>
      <c r="O1" s="13" t="s">
        <v>815</v>
      </c>
      <c r="P1" s="13" t="s">
        <v>815</v>
      </c>
      <c r="Q1" s="13" t="s">
        <v>815</v>
      </c>
      <c r="R1" s="13" t="s">
        <v>815</v>
      </c>
      <c r="S1" s="13" t="s">
        <v>815</v>
      </c>
      <c r="T1" s="13" t="s">
        <v>815</v>
      </c>
      <c r="U1" s="13" t="s">
        <v>815</v>
      </c>
      <c r="V1" s="13" t="s">
        <v>815</v>
      </c>
      <c r="W1" s="13" t="s">
        <v>815</v>
      </c>
      <c r="X1" s="13" t="s">
        <v>815</v>
      </c>
      <c r="Y1" s="13" t="s">
        <v>815</v>
      </c>
      <c r="Z1" s="13" t="s">
        <v>815</v>
      </c>
    </row>
    <row r="2">
      <c r="A2" s="12">
        <v>64633.0</v>
      </c>
      <c r="B2" s="13" t="str">
        <f>VLOOKUP(A2,Data!$A$2:$P$1001, 2, FALSE)</f>
        <v>Laksh Kulkarni</v>
      </c>
      <c r="C2" s="12" t="str">
        <f>VLOOKUP(A2,Data!$A$2:$P$1001, 8, FALSE)</f>
        <v>South</v>
      </c>
      <c r="D2" s="12" t="str">
        <f>VLOOKUP(A2,Data!$A$2:$P$1001, 13, FALSE)</f>
        <v>Mobile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>
        <v>64634.0</v>
      </c>
      <c r="B3" s="13" t="str">
        <f>VLOOKUP(A3,Data!$A$2:$P$1001, 2, FALSE)</f>
        <v>Atharv Singh</v>
      </c>
      <c r="C3" s="12" t="str">
        <f>VLOOKUP(A3,Data!$A$2:$P$1001, 8, FALSE)</f>
        <v>North</v>
      </c>
      <c r="D3" s="12" t="str">
        <f>VLOOKUP(A3,Data!$A$2:$P$1001, 13, FALSE)</f>
        <v>Mobile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>
        <v>64972.0</v>
      </c>
      <c r="B4" s="13" t="str">
        <f>VLOOKUP(A4,Data!$A$2:$P$1001, 2, FALSE)</f>
        <v>Anaya Kumar</v>
      </c>
      <c r="C4" s="12" t="str">
        <f>VLOOKUP(A4,Data!$A$2:$P$1001, 8, FALSE)</f>
        <v>East</v>
      </c>
      <c r="D4" s="12" t="str">
        <f>VLOOKUP(A4,Data!$A$2:$P$1001, 13, FALSE)</f>
        <v>Mobile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>
        <v>64805.0</v>
      </c>
      <c r="B5" s="13" t="str">
        <f>VLOOKUP(A5,Data!$A$2:$P$1001, 2, FALSE)</f>
        <v>Tara Patel</v>
      </c>
      <c r="C5" s="12" t="str">
        <f>VLOOKUP(A5,Data!$A$2:$P$1001, 8, FALSE)</f>
        <v>North</v>
      </c>
      <c r="D5" s="12" t="str">
        <f>VLOOKUP(A5,Data!$A$2:$P$1001, 13, FALSE)</f>
        <v>Mobile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>
        <v>64637.0</v>
      </c>
      <c r="B6" s="13" t="str">
        <f>VLOOKUP(A6,Data!$A$2:$P$1001, 2, FALSE)</f>
        <v>Aarohi Gupta</v>
      </c>
      <c r="C6" s="12" t="str">
        <f>VLOOKUP(A6,Data!$A$2:$P$1001, 8, FALSE)</f>
        <v>North</v>
      </c>
      <c r="D6" s="12" t="str">
        <f>VLOOKUP(A6,Data!$A$2:$P$1001, 13, FALSE)</f>
        <v>Mobile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>
        <v>64806.0</v>
      </c>
      <c r="B7" s="13" t="str">
        <f>VLOOKUP(A7,Data!$A$2:$P$1001, 2, FALSE)</f>
        <v>Eva Verma</v>
      </c>
      <c r="C7" s="12" t="str">
        <f>VLOOKUP(A7,Data!$A$2:$P$1001, 8, FALSE)</f>
        <v>East</v>
      </c>
      <c r="D7" s="12" t="str">
        <f>VLOOKUP(A7,Data!$A$2:$P$1001, 13, FALSE)</f>
        <v>Mobile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>
        <v>64970.0</v>
      </c>
      <c r="B8" s="13" t="str">
        <f>VLOOKUP(A8,Data!$A$2:$P$1001, 2, FALSE)</f>
        <v>Anvi Dutta</v>
      </c>
      <c r="C8" s="12" t="str">
        <f>VLOOKUP(A8,Data!$A$2:$P$1001, 8, FALSE)</f>
        <v>South</v>
      </c>
      <c r="D8" s="12" t="str">
        <f>VLOOKUP(A8,Data!$A$2:$P$1001, 13, FALSE)</f>
        <v>Mobile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>
        <v>64971.0</v>
      </c>
      <c r="B9" s="13" t="str">
        <f>VLOOKUP(A9,Data!$A$2:$P$1001, 2, FALSE)</f>
        <v>Dhanush Sinha</v>
      </c>
      <c r="C9" s="12" t="str">
        <f>VLOOKUP(A9,Data!$A$2:$P$1001, 8, FALSE)</f>
        <v>West</v>
      </c>
      <c r="D9" s="12" t="str">
        <f>VLOOKUP(A9,Data!$A$2:$P$1001, 13, FALSE)</f>
        <v>Mobile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>
        <v>65201.0</v>
      </c>
      <c r="B10" s="13" t="str">
        <f>VLOOKUP(A10,Data!$A$2:$P$1001, 2, FALSE)</f>
        <v>Aaradhya Das</v>
      </c>
      <c r="C10" s="12" t="str">
        <f>VLOOKUP(A10,Data!$A$2:$P$1001, 8, FALSE)</f>
        <v>West</v>
      </c>
      <c r="D10" s="12" t="str">
        <f>VLOOKUP(A10,Data!$A$2:$P$1001, 13, FALSE)</f>
        <v>Mobile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>
        <v>65202.0</v>
      </c>
      <c r="B11" s="13" t="str">
        <f>VLOOKUP(A11,Data!$A$2:$P$1001, 2, FALSE)</f>
        <v>Sara Sharma</v>
      </c>
      <c r="C11" s="12" t="str">
        <f>VLOOKUP(A11,Data!$A$2:$P$1001, 8, FALSE)</f>
        <v>West</v>
      </c>
      <c r="D11" s="12" t="str">
        <f>VLOOKUP(A11,Data!$A$2:$P$1001, 13, FALSE)</f>
        <v>Mobile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75"/>
    <col customWidth="1" min="2" max="2" width="19.5"/>
  </cols>
  <sheetData>
    <row r="1"/>
    <row r="2"/>
    <row r="3"/>
    <row r="4"/>
    <row r="5"/>
    <row r="6"/>
    <row r="7"/>
    <row r="8">
      <c r="A8" s="14" t="str">
        <f t="array" ref="A8">INDEX(A3:A6, MATCH(MIN(B3:B6), B3:B6, 0))</f>
        <v>South</v>
      </c>
      <c r="B8" s="15">
        <f>MIN(B3:B6)</f>
        <v>4207.065637</v>
      </c>
    </row>
    <row r="9">
      <c r="B9" s="13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25"/>
  </cols>
  <sheetData>
    <row r="1">
      <c r="C1" s="13"/>
    </row>
    <row r="2">
      <c r="C2" s="13"/>
    </row>
    <row r="3">
      <c r="C3" s="13"/>
    </row>
    <row r="4">
      <c r="C4" s="13"/>
    </row>
    <row r="5">
      <c r="C5" s="13"/>
    </row>
    <row r="6">
      <c r="C6" s="13"/>
    </row>
    <row r="7">
      <c r="A7" s="13"/>
      <c r="B7" s="13"/>
      <c r="C7" s="13"/>
    </row>
    <row r="8">
      <c r="A8" s="13" t="str">
        <f t="array" ref="A8">INDEX(A2:A5,MATCH(MIN(B2:B5),B2:B5, 0))</f>
        <v>West</v>
      </c>
      <c r="B8" s="13">
        <f>MIN(B2:B5)</f>
        <v>192</v>
      </c>
      <c r="C8" s="1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</cols>
  <sheetData>
    <row r="1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 t="str">
        <f t="array" ref="A7">INDEX(A2:A5, MATCH(MAX(B2:B5), B2:B5, 0))</f>
        <v>East</v>
      </c>
      <c r="B7" s="13">
        <f>MAX(B2:B5)</f>
        <v>33.46829268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5"/>
    <col customWidth="1" min="2" max="2" width="23.75"/>
  </cols>
  <sheetData>
    <row r="1">
      <c r="A1" s="13" t="s">
        <v>15</v>
      </c>
      <c r="B1" s="13" t="s">
        <v>821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 t="s">
        <v>28</v>
      </c>
      <c r="B2" s="13">
        <v>50.0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 t="s">
        <v>31</v>
      </c>
      <c r="B3" s="13">
        <v>114.0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 t="s">
        <v>23</v>
      </c>
      <c r="B4" s="13">
        <v>56.0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3" t="s">
        <v>78</v>
      </c>
      <c r="B5" s="13">
        <v>31.0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 t="s">
        <v>38</v>
      </c>
      <c r="B6" s="13">
        <v>76.0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 t="s">
        <v>817</v>
      </c>
      <c r="B7" s="13">
        <v>327.0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 t="str">
        <f t="array" ref="B8">INDEX(A2:A6, MATCH(MIN(B2:B6), B2:B6, 0))</f>
        <v>Diploma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 t="str">
        <f t="array" ref="B9">XLOOKUP(MIN(B2:B6), B2:B6, A2:A6)
</f>
        <v>Diploma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8" t="s">
        <v>15</v>
      </c>
    </row>
    <row r="2">
      <c r="A2" s="19">
        <v>64645.0</v>
      </c>
      <c r="B2" s="20" t="s">
        <v>90</v>
      </c>
      <c r="C2" s="20" t="s">
        <v>35</v>
      </c>
      <c r="D2" s="21"/>
      <c r="E2" s="21"/>
      <c r="F2" s="20" t="s">
        <v>822</v>
      </c>
      <c r="G2" s="20" t="s">
        <v>823</v>
      </c>
      <c r="H2" s="20" t="s">
        <v>25</v>
      </c>
      <c r="I2" s="20">
        <v>2024.0</v>
      </c>
      <c r="J2" s="20">
        <v>10000.0</v>
      </c>
      <c r="K2" s="20" t="s">
        <v>26</v>
      </c>
      <c r="L2" s="22">
        <v>3622.0</v>
      </c>
      <c r="M2" s="20" t="s">
        <v>21</v>
      </c>
      <c r="N2" s="20">
        <v>8.0</v>
      </c>
      <c r="O2" s="20" t="s">
        <v>22</v>
      </c>
      <c r="P2" s="23" t="s">
        <v>78</v>
      </c>
    </row>
    <row r="3">
      <c r="A3" s="19">
        <v>64741.0</v>
      </c>
      <c r="B3" s="20" t="s">
        <v>162</v>
      </c>
      <c r="C3" s="20" t="s">
        <v>35</v>
      </c>
      <c r="D3" s="21"/>
      <c r="E3" s="21"/>
      <c r="F3" s="20" t="s">
        <v>824</v>
      </c>
      <c r="G3" s="20" t="s">
        <v>825</v>
      </c>
      <c r="H3" s="20" t="s">
        <v>46</v>
      </c>
      <c r="I3" s="20">
        <v>2026.0</v>
      </c>
      <c r="J3" s="20">
        <v>5000.0</v>
      </c>
      <c r="K3" s="20" t="s">
        <v>26</v>
      </c>
      <c r="L3" s="20">
        <v>21084.0</v>
      </c>
      <c r="M3" s="20" t="s">
        <v>30</v>
      </c>
      <c r="N3" s="20">
        <v>54.0</v>
      </c>
      <c r="O3" s="20" t="s">
        <v>41</v>
      </c>
      <c r="P3" s="23" t="s">
        <v>78</v>
      </c>
    </row>
    <row r="4">
      <c r="A4" s="19">
        <v>64797.0</v>
      </c>
      <c r="B4" s="20" t="s">
        <v>212</v>
      </c>
      <c r="C4" s="20" t="s">
        <v>35</v>
      </c>
      <c r="D4" s="21"/>
      <c r="E4" s="21"/>
      <c r="F4" s="20" t="s">
        <v>826</v>
      </c>
      <c r="G4" s="20" t="s">
        <v>827</v>
      </c>
      <c r="H4" s="20" t="s">
        <v>25</v>
      </c>
      <c r="I4" s="20">
        <v>2028.0</v>
      </c>
      <c r="J4" s="20">
        <v>10000.0</v>
      </c>
      <c r="K4" s="20" t="s">
        <v>26</v>
      </c>
      <c r="L4" s="20">
        <v>23905.0</v>
      </c>
      <c r="M4" s="20" t="s">
        <v>21</v>
      </c>
      <c r="N4" s="20">
        <v>51.0</v>
      </c>
      <c r="O4" s="20" t="s">
        <v>41</v>
      </c>
      <c r="P4" s="23" t="s">
        <v>78</v>
      </c>
    </row>
    <row r="5">
      <c r="A5" s="19">
        <v>64851.0</v>
      </c>
      <c r="B5" s="20" t="s">
        <v>259</v>
      </c>
      <c r="C5" s="20" t="s">
        <v>35</v>
      </c>
      <c r="D5" s="21"/>
      <c r="E5" s="21"/>
      <c r="F5" s="20" t="s">
        <v>828</v>
      </c>
      <c r="G5" s="20" t="s">
        <v>829</v>
      </c>
      <c r="H5" s="20" t="s">
        <v>33</v>
      </c>
      <c r="I5" s="20">
        <v>2024.0</v>
      </c>
      <c r="J5" s="20">
        <v>10000.0</v>
      </c>
      <c r="K5" s="20" t="s">
        <v>26</v>
      </c>
      <c r="L5" s="20">
        <v>13137.0</v>
      </c>
      <c r="M5" s="20" t="s">
        <v>21</v>
      </c>
      <c r="N5" s="20">
        <v>55.0</v>
      </c>
      <c r="O5" s="20" t="s">
        <v>41</v>
      </c>
      <c r="P5" s="23" t="s">
        <v>78</v>
      </c>
    </row>
    <row r="6">
      <c r="A6" s="19">
        <v>64879.0</v>
      </c>
      <c r="B6" s="20" t="s">
        <v>278</v>
      </c>
      <c r="C6" s="20" t="s">
        <v>18</v>
      </c>
      <c r="D6" s="21"/>
      <c r="E6" s="21"/>
      <c r="F6" s="20" t="s">
        <v>830</v>
      </c>
      <c r="G6" s="20" t="s">
        <v>831</v>
      </c>
      <c r="H6" s="20" t="s">
        <v>33</v>
      </c>
      <c r="I6" s="20">
        <v>2024.0</v>
      </c>
      <c r="J6" s="20">
        <v>10000.0</v>
      </c>
      <c r="K6" s="20" t="s">
        <v>26</v>
      </c>
      <c r="L6" s="20">
        <v>18887.0</v>
      </c>
      <c r="M6" s="20" t="s">
        <v>21</v>
      </c>
      <c r="N6" s="20">
        <v>65.0</v>
      </c>
      <c r="O6" s="20" t="s">
        <v>22</v>
      </c>
      <c r="P6" s="23" t="s">
        <v>78</v>
      </c>
    </row>
    <row r="7">
      <c r="A7" s="19">
        <v>64905.0</v>
      </c>
      <c r="B7" s="20" t="s">
        <v>296</v>
      </c>
      <c r="C7" s="20" t="s">
        <v>18</v>
      </c>
      <c r="D7" s="21"/>
      <c r="E7" s="21"/>
      <c r="F7" s="20" t="s">
        <v>832</v>
      </c>
      <c r="G7" s="20" t="s">
        <v>829</v>
      </c>
      <c r="H7" s="20" t="s">
        <v>46</v>
      </c>
      <c r="I7" s="20">
        <v>2020.0</v>
      </c>
      <c r="J7" s="20">
        <v>5000.0</v>
      </c>
      <c r="K7" s="20" t="s">
        <v>26</v>
      </c>
      <c r="L7" s="20">
        <v>2731.0</v>
      </c>
      <c r="M7" s="20" t="s">
        <v>21</v>
      </c>
      <c r="N7" s="20">
        <v>49.0</v>
      </c>
      <c r="O7" s="20" t="s">
        <v>41</v>
      </c>
      <c r="P7" s="23" t="s">
        <v>78</v>
      </c>
    </row>
    <row r="8">
      <c r="A8" s="19">
        <v>65052.0</v>
      </c>
      <c r="B8" s="20" t="s">
        <v>401</v>
      </c>
      <c r="C8" s="20" t="s">
        <v>18</v>
      </c>
      <c r="D8" s="21"/>
      <c r="E8" s="21"/>
      <c r="F8" s="20" t="s">
        <v>833</v>
      </c>
      <c r="G8" s="20" t="s">
        <v>834</v>
      </c>
      <c r="H8" s="20" t="s">
        <v>19</v>
      </c>
      <c r="I8" s="20">
        <v>2018.0</v>
      </c>
      <c r="J8" s="20">
        <v>5000.0</v>
      </c>
      <c r="K8" s="20" t="s">
        <v>26</v>
      </c>
      <c r="L8" s="20">
        <v>14088.0</v>
      </c>
      <c r="M8" s="20" t="s">
        <v>30</v>
      </c>
      <c r="N8" s="20">
        <v>4.0</v>
      </c>
      <c r="O8" s="20" t="s">
        <v>22</v>
      </c>
      <c r="P8" s="23" t="s">
        <v>78</v>
      </c>
    </row>
    <row r="9">
      <c r="A9" s="19">
        <v>65073.0</v>
      </c>
      <c r="B9" s="20" t="s">
        <v>414</v>
      </c>
      <c r="C9" s="20" t="s">
        <v>35</v>
      </c>
      <c r="D9" s="21"/>
      <c r="E9" s="21"/>
      <c r="F9" s="20" t="s">
        <v>835</v>
      </c>
      <c r="G9" s="20" t="s">
        <v>836</v>
      </c>
      <c r="H9" s="20" t="s">
        <v>33</v>
      </c>
      <c r="I9" s="20">
        <v>2026.0</v>
      </c>
      <c r="J9" s="20">
        <v>10000.0</v>
      </c>
      <c r="K9" s="20" t="s">
        <v>26</v>
      </c>
      <c r="L9" s="20">
        <v>3733.0</v>
      </c>
      <c r="M9" s="20" t="s">
        <v>21</v>
      </c>
      <c r="N9" s="20">
        <v>22.0</v>
      </c>
      <c r="O9" s="20" t="s">
        <v>41</v>
      </c>
      <c r="P9" s="23" t="s">
        <v>78</v>
      </c>
    </row>
    <row r="10">
      <c r="A10" s="19">
        <v>65091.0</v>
      </c>
      <c r="B10" s="20" t="s">
        <v>426</v>
      </c>
      <c r="C10" s="20" t="s">
        <v>18</v>
      </c>
      <c r="D10" s="21"/>
      <c r="E10" s="21"/>
      <c r="F10" s="20" t="s">
        <v>837</v>
      </c>
      <c r="G10" s="20" t="s">
        <v>838</v>
      </c>
      <c r="H10" s="20" t="s">
        <v>25</v>
      </c>
      <c r="I10" s="20">
        <v>2027.0</v>
      </c>
      <c r="J10" s="20">
        <v>10000.0</v>
      </c>
      <c r="K10" s="20" t="s">
        <v>26</v>
      </c>
      <c r="L10" s="20">
        <v>9611.0</v>
      </c>
      <c r="M10" s="20" t="s">
        <v>21</v>
      </c>
      <c r="N10" s="20">
        <v>4.0</v>
      </c>
      <c r="O10" s="20" t="s">
        <v>41</v>
      </c>
      <c r="P10" s="23" t="s">
        <v>78</v>
      </c>
    </row>
    <row r="11">
      <c r="A11" s="19">
        <v>65120.0</v>
      </c>
      <c r="B11" s="20" t="s">
        <v>442</v>
      </c>
      <c r="C11" s="20" t="s">
        <v>18</v>
      </c>
      <c r="D11" s="21"/>
      <c r="E11" s="21"/>
      <c r="F11" s="20" t="s">
        <v>839</v>
      </c>
      <c r="G11" s="20" t="s">
        <v>840</v>
      </c>
      <c r="H11" s="20" t="s">
        <v>25</v>
      </c>
      <c r="I11" s="20">
        <v>2012.0</v>
      </c>
      <c r="J11" s="20">
        <v>10000.0</v>
      </c>
      <c r="K11" s="20" t="s">
        <v>26</v>
      </c>
      <c r="L11" s="20">
        <v>6129.0</v>
      </c>
      <c r="M11" s="20" t="s">
        <v>30</v>
      </c>
      <c r="N11" s="20">
        <v>37.0</v>
      </c>
      <c r="O11" s="20" t="s">
        <v>41</v>
      </c>
      <c r="P11" s="23" t="s">
        <v>78</v>
      </c>
    </row>
    <row r="12">
      <c r="A12" s="19">
        <v>65121.0</v>
      </c>
      <c r="B12" s="20" t="s">
        <v>443</v>
      </c>
      <c r="C12" s="20" t="s">
        <v>35</v>
      </c>
      <c r="D12" s="21"/>
      <c r="E12" s="21"/>
      <c r="F12" s="20" t="s">
        <v>841</v>
      </c>
      <c r="G12" s="20" t="s">
        <v>842</v>
      </c>
      <c r="H12" s="20" t="s">
        <v>25</v>
      </c>
      <c r="I12" s="20">
        <v>2023.0</v>
      </c>
      <c r="J12" s="20">
        <v>10000.0</v>
      </c>
      <c r="K12" s="20" t="s">
        <v>26</v>
      </c>
      <c r="L12" s="20">
        <v>4436.0</v>
      </c>
      <c r="M12" s="20" t="s">
        <v>21</v>
      </c>
      <c r="N12" s="20">
        <v>0.0</v>
      </c>
      <c r="O12" s="20" t="s">
        <v>41</v>
      </c>
      <c r="P12" s="23" t="s">
        <v>78</v>
      </c>
    </row>
    <row r="13">
      <c r="A13" s="19">
        <v>65125.0</v>
      </c>
      <c r="B13" s="20" t="s">
        <v>202</v>
      </c>
      <c r="C13" s="20" t="s">
        <v>18</v>
      </c>
      <c r="D13" s="21"/>
      <c r="E13" s="21"/>
      <c r="F13" s="20" t="s">
        <v>843</v>
      </c>
      <c r="G13" s="20" t="s">
        <v>844</v>
      </c>
      <c r="H13" s="20" t="s">
        <v>25</v>
      </c>
      <c r="I13" s="20">
        <v>2024.0</v>
      </c>
      <c r="J13" s="20">
        <v>10000.0</v>
      </c>
      <c r="K13" s="20" t="s">
        <v>26</v>
      </c>
      <c r="L13" s="20">
        <v>15694.0</v>
      </c>
      <c r="M13" s="20" t="s">
        <v>21</v>
      </c>
      <c r="N13" s="20">
        <v>44.0</v>
      </c>
      <c r="O13" s="20" t="s">
        <v>22</v>
      </c>
      <c r="P13" s="23" t="s">
        <v>78</v>
      </c>
    </row>
    <row r="14">
      <c r="A14" s="19">
        <v>65156.0</v>
      </c>
      <c r="B14" s="20" t="s">
        <v>393</v>
      </c>
      <c r="C14" s="20" t="s">
        <v>18</v>
      </c>
      <c r="D14" s="21"/>
      <c r="E14" s="21"/>
      <c r="F14" s="20" t="s">
        <v>845</v>
      </c>
      <c r="G14" s="20" t="s">
        <v>846</v>
      </c>
      <c r="H14" s="20" t="s">
        <v>25</v>
      </c>
      <c r="I14" s="20">
        <v>2026.0</v>
      </c>
      <c r="J14" s="20">
        <v>10000.0</v>
      </c>
      <c r="K14" s="20" t="s">
        <v>26</v>
      </c>
      <c r="L14" s="20">
        <v>18500.0</v>
      </c>
      <c r="M14" s="20" t="s">
        <v>21</v>
      </c>
      <c r="N14" s="20">
        <v>9.0</v>
      </c>
      <c r="O14" s="20" t="s">
        <v>41</v>
      </c>
      <c r="P14" s="23" t="s">
        <v>78</v>
      </c>
    </row>
    <row r="15">
      <c r="A15" s="19">
        <v>65182.0</v>
      </c>
      <c r="B15" s="20" t="s">
        <v>484</v>
      </c>
      <c r="C15" s="20" t="s">
        <v>18</v>
      </c>
      <c r="D15" s="21"/>
      <c r="E15" s="21"/>
      <c r="F15" s="20" t="s">
        <v>847</v>
      </c>
      <c r="G15" s="20" t="s">
        <v>848</v>
      </c>
      <c r="H15" s="20" t="s">
        <v>46</v>
      </c>
      <c r="I15" s="20">
        <v>2024.0</v>
      </c>
      <c r="J15" s="20">
        <v>5000.0</v>
      </c>
      <c r="K15" s="20" t="s">
        <v>26</v>
      </c>
      <c r="L15" s="20">
        <v>4758.0</v>
      </c>
      <c r="M15" s="20" t="s">
        <v>21</v>
      </c>
      <c r="N15" s="20">
        <v>9.0</v>
      </c>
      <c r="O15" s="20" t="s">
        <v>22</v>
      </c>
      <c r="P15" s="23" t="s">
        <v>78</v>
      </c>
    </row>
    <row r="16">
      <c r="A16" s="19">
        <v>65187.0</v>
      </c>
      <c r="B16" s="20" t="s">
        <v>488</v>
      </c>
      <c r="C16" s="20" t="s">
        <v>18</v>
      </c>
      <c r="D16" s="21"/>
      <c r="E16" s="21"/>
      <c r="F16" s="20" t="s">
        <v>849</v>
      </c>
      <c r="G16" s="20" t="s">
        <v>850</v>
      </c>
      <c r="H16" s="20" t="s">
        <v>33</v>
      </c>
      <c r="I16" s="20">
        <v>2022.0</v>
      </c>
      <c r="J16" s="20">
        <v>10000.0</v>
      </c>
      <c r="K16" s="20" t="s">
        <v>26</v>
      </c>
      <c r="L16" s="22">
        <v>7335.0</v>
      </c>
      <c r="M16" s="20" t="s">
        <v>30</v>
      </c>
      <c r="N16" s="20">
        <v>34.0</v>
      </c>
      <c r="O16" s="20" t="s">
        <v>22</v>
      </c>
      <c r="P16" s="23" t="s">
        <v>78</v>
      </c>
    </row>
    <row r="17">
      <c r="A17" s="19">
        <v>65205.0</v>
      </c>
      <c r="B17" s="20" t="s">
        <v>501</v>
      </c>
      <c r="C17" s="20" t="s">
        <v>18</v>
      </c>
      <c r="D17" s="21"/>
      <c r="E17" s="21"/>
      <c r="F17" s="20" t="s">
        <v>851</v>
      </c>
      <c r="G17" s="20" t="s">
        <v>852</v>
      </c>
      <c r="H17" s="20" t="s">
        <v>25</v>
      </c>
      <c r="I17" s="20">
        <v>2024.0</v>
      </c>
      <c r="J17" s="20">
        <v>10000.0</v>
      </c>
      <c r="K17" s="20" t="s">
        <v>26</v>
      </c>
      <c r="L17" s="22">
        <v>4449.0</v>
      </c>
      <c r="M17" s="20" t="s">
        <v>30</v>
      </c>
      <c r="N17" s="20">
        <v>59.0</v>
      </c>
      <c r="O17" s="20" t="s">
        <v>22</v>
      </c>
      <c r="P17" s="23" t="s">
        <v>78</v>
      </c>
    </row>
    <row r="18">
      <c r="A18" s="19">
        <v>65216.0</v>
      </c>
      <c r="B18" s="20" t="s">
        <v>509</v>
      </c>
      <c r="C18" s="20" t="s">
        <v>35</v>
      </c>
      <c r="D18" s="21"/>
      <c r="E18" s="21"/>
      <c r="F18" s="20" t="s">
        <v>853</v>
      </c>
      <c r="G18" s="20" t="s">
        <v>848</v>
      </c>
      <c r="H18" s="20" t="s">
        <v>25</v>
      </c>
      <c r="I18" s="20">
        <v>2022.0</v>
      </c>
      <c r="J18" s="20">
        <v>10000.0</v>
      </c>
      <c r="K18" s="20" t="s">
        <v>26</v>
      </c>
      <c r="L18" s="20">
        <v>1013.0</v>
      </c>
      <c r="M18" s="20" t="s">
        <v>21</v>
      </c>
      <c r="N18" s="20">
        <v>72.0</v>
      </c>
      <c r="O18" s="20" t="s">
        <v>22</v>
      </c>
      <c r="P18" s="23" t="s">
        <v>78</v>
      </c>
    </row>
    <row r="19">
      <c r="A19" s="19">
        <v>65300.0</v>
      </c>
      <c r="B19" s="20" t="s">
        <v>155</v>
      </c>
      <c r="C19" s="20" t="s">
        <v>18</v>
      </c>
      <c r="D19" s="21"/>
      <c r="E19" s="21"/>
      <c r="F19" s="20" t="s">
        <v>854</v>
      </c>
      <c r="G19" s="20" t="s">
        <v>831</v>
      </c>
      <c r="H19" s="20" t="s">
        <v>19</v>
      </c>
      <c r="I19" s="20">
        <v>2024.0</v>
      </c>
      <c r="J19" s="20">
        <v>5000.0</v>
      </c>
      <c r="K19" s="20" t="s">
        <v>26</v>
      </c>
      <c r="L19" s="20">
        <v>16040.0</v>
      </c>
      <c r="M19" s="20" t="s">
        <v>21</v>
      </c>
      <c r="N19" s="20">
        <v>36.0</v>
      </c>
      <c r="O19" s="20" t="s">
        <v>22</v>
      </c>
      <c r="P19" s="23" t="s">
        <v>78</v>
      </c>
    </row>
    <row r="20">
      <c r="A20" s="19">
        <v>65313.0</v>
      </c>
      <c r="B20" s="20" t="s">
        <v>564</v>
      </c>
      <c r="C20" s="20" t="s">
        <v>18</v>
      </c>
      <c r="D20" s="21"/>
      <c r="E20" s="21"/>
      <c r="F20" s="20" t="s">
        <v>847</v>
      </c>
      <c r="G20" s="20" t="s">
        <v>855</v>
      </c>
      <c r="H20" s="20" t="s">
        <v>33</v>
      </c>
      <c r="I20" s="20">
        <v>2016.0</v>
      </c>
      <c r="J20" s="20">
        <v>10000.0</v>
      </c>
      <c r="K20" s="20" t="s">
        <v>26</v>
      </c>
      <c r="L20" s="20">
        <v>6537.0</v>
      </c>
      <c r="M20" s="20" t="s">
        <v>21</v>
      </c>
      <c r="N20" s="20">
        <v>79.0</v>
      </c>
      <c r="O20" s="20" t="s">
        <v>22</v>
      </c>
      <c r="P20" s="23" t="s">
        <v>78</v>
      </c>
    </row>
    <row r="21">
      <c r="A21" s="19">
        <v>65346.0</v>
      </c>
      <c r="B21" s="20" t="s">
        <v>581</v>
      </c>
      <c r="C21" s="20" t="s">
        <v>18</v>
      </c>
      <c r="D21" s="21"/>
      <c r="E21" s="21"/>
      <c r="F21" s="20" t="s">
        <v>856</v>
      </c>
      <c r="G21" s="20" t="s">
        <v>840</v>
      </c>
      <c r="H21" s="20" t="s">
        <v>25</v>
      </c>
      <c r="I21" s="20">
        <v>2027.0</v>
      </c>
      <c r="J21" s="20">
        <v>10000.0</v>
      </c>
      <c r="K21" s="20" t="s">
        <v>26</v>
      </c>
      <c r="L21" s="20">
        <v>14417.0</v>
      </c>
      <c r="M21" s="20" t="s">
        <v>21</v>
      </c>
      <c r="N21" s="20">
        <v>25.0</v>
      </c>
      <c r="O21" s="20" t="s">
        <v>22</v>
      </c>
      <c r="P21" s="23" t="s">
        <v>78</v>
      </c>
    </row>
    <row r="22">
      <c r="A22" s="19">
        <v>65363.0</v>
      </c>
      <c r="B22" s="20" t="s">
        <v>306</v>
      </c>
      <c r="C22" s="20" t="s">
        <v>18</v>
      </c>
      <c r="D22" s="21"/>
      <c r="E22" s="21"/>
      <c r="F22" s="20" t="s">
        <v>839</v>
      </c>
      <c r="G22" s="20" t="s">
        <v>857</v>
      </c>
      <c r="H22" s="20" t="s">
        <v>46</v>
      </c>
      <c r="I22" s="20">
        <v>2025.0</v>
      </c>
      <c r="J22" s="20">
        <v>5000.0</v>
      </c>
      <c r="K22" s="20" t="s">
        <v>26</v>
      </c>
      <c r="L22" s="20">
        <v>16277.0</v>
      </c>
      <c r="M22" s="20" t="s">
        <v>21</v>
      </c>
      <c r="N22" s="20">
        <v>65.0</v>
      </c>
      <c r="O22" s="20" t="s">
        <v>22</v>
      </c>
      <c r="P22" s="23" t="s">
        <v>78</v>
      </c>
    </row>
    <row r="23">
      <c r="A23" s="19">
        <v>65371.0</v>
      </c>
      <c r="B23" s="20" t="s">
        <v>181</v>
      </c>
      <c r="C23" s="20" t="s">
        <v>35</v>
      </c>
      <c r="D23" s="21"/>
      <c r="E23" s="21"/>
      <c r="F23" s="20" t="s">
        <v>858</v>
      </c>
      <c r="G23" s="20" t="s">
        <v>831</v>
      </c>
      <c r="H23" s="20" t="s">
        <v>25</v>
      </c>
      <c r="I23" s="20">
        <v>2027.0</v>
      </c>
      <c r="J23" s="20">
        <v>10000.0</v>
      </c>
      <c r="K23" s="20" t="s">
        <v>26</v>
      </c>
      <c r="L23" s="20">
        <v>5467.0</v>
      </c>
      <c r="M23" s="20" t="s">
        <v>21</v>
      </c>
      <c r="N23" s="20">
        <v>2.0</v>
      </c>
      <c r="O23" s="20" t="s">
        <v>41</v>
      </c>
      <c r="P23" s="23" t="s">
        <v>78</v>
      </c>
    </row>
    <row r="24">
      <c r="A24" s="19">
        <v>65381.0</v>
      </c>
      <c r="B24" s="20" t="s">
        <v>606</v>
      </c>
      <c r="C24" s="20" t="s">
        <v>35</v>
      </c>
      <c r="D24" s="21"/>
      <c r="E24" s="21"/>
      <c r="F24" s="20" t="s">
        <v>859</v>
      </c>
      <c r="G24" s="20" t="s">
        <v>827</v>
      </c>
      <c r="H24" s="20" t="s">
        <v>46</v>
      </c>
      <c r="I24" s="20">
        <v>2025.0</v>
      </c>
      <c r="J24" s="20">
        <v>5000.0</v>
      </c>
      <c r="K24" s="20" t="s">
        <v>26</v>
      </c>
      <c r="L24" s="20">
        <v>15734.0</v>
      </c>
      <c r="M24" s="20" t="s">
        <v>21</v>
      </c>
      <c r="N24" s="20">
        <v>22.0</v>
      </c>
      <c r="O24" s="20" t="s">
        <v>22</v>
      </c>
      <c r="P24" s="23" t="s">
        <v>78</v>
      </c>
    </row>
    <row r="25">
      <c r="A25" s="19">
        <v>65409.0</v>
      </c>
      <c r="B25" s="20" t="s">
        <v>621</v>
      </c>
      <c r="C25" s="20" t="s">
        <v>18</v>
      </c>
      <c r="D25" s="21"/>
      <c r="E25" s="21"/>
      <c r="F25" s="20" t="s">
        <v>860</v>
      </c>
      <c r="G25" s="20" t="s">
        <v>861</v>
      </c>
      <c r="H25" s="20" t="s">
        <v>46</v>
      </c>
      <c r="I25" s="20">
        <v>2027.0</v>
      </c>
      <c r="J25" s="20">
        <v>5000.0</v>
      </c>
      <c r="K25" s="20" t="s">
        <v>26</v>
      </c>
      <c r="L25" s="20">
        <v>9104.0</v>
      </c>
      <c r="M25" s="20" t="s">
        <v>21</v>
      </c>
      <c r="N25" s="20">
        <v>69.0</v>
      </c>
      <c r="O25" s="20" t="s">
        <v>41</v>
      </c>
      <c r="P25" s="23" t="s">
        <v>78</v>
      </c>
    </row>
    <row r="26">
      <c r="A26" s="19">
        <v>65461.0</v>
      </c>
      <c r="B26" s="20" t="s">
        <v>649</v>
      </c>
      <c r="C26" s="20" t="s">
        <v>18</v>
      </c>
      <c r="D26" s="21"/>
      <c r="E26" s="21"/>
      <c r="F26" s="20" t="s">
        <v>862</v>
      </c>
      <c r="G26" s="20" t="s">
        <v>831</v>
      </c>
      <c r="H26" s="20" t="s">
        <v>46</v>
      </c>
      <c r="I26" s="20">
        <v>2021.0</v>
      </c>
      <c r="J26" s="20">
        <v>5000.0</v>
      </c>
      <c r="K26" s="20" t="s">
        <v>26</v>
      </c>
      <c r="L26" s="20">
        <v>7408.0</v>
      </c>
      <c r="M26" s="20" t="s">
        <v>30</v>
      </c>
      <c r="N26" s="20">
        <v>52.0</v>
      </c>
      <c r="O26" s="20" t="s">
        <v>22</v>
      </c>
      <c r="P26" s="23" t="s">
        <v>78</v>
      </c>
    </row>
    <row r="27">
      <c r="A27" s="19">
        <v>65471.0</v>
      </c>
      <c r="B27" s="20" t="s">
        <v>656</v>
      </c>
      <c r="C27" s="20" t="s">
        <v>18</v>
      </c>
      <c r="D27" s="21"/>
      <c r="E27" s="21"/>
      <c r="F27" s="20" t="s">
        <v>843</v>
      </c>
      <c r="G27" s="20" t="s">
        <v>831</v>
      </c>
      <c r="H27" s="20" t="s">
        <v>33</v>
      </c>
      <c r="I27" s="20">
        <v>2024.0</v>
      </c>
      <c r="J27" s="20">
        <v>10000.0</v>
      </c>
      <c r="K27" s="20" t="s">
        <v>26</v>
      </c>
      <c r="L27" s="20">
        <v>3329.0</v>
      </c>
      <c r="M27" s="20" t="s">
        <v>21</v>
      </c>
      <c r="N27" s="20">
        <v>65.0</v>
      </c>
      <c r="O27" s="20" t="s">
        <v>22</v>
      </c>
      <c r="P27" s="23" t="s">
        <v>78</v>
      </c>
    </row>
    <row r="28">
      <c r="A28" s="19">
        <v>65597.0</v>
      </c>
      <c r="B28" s="20" t="s">
        <v>723</v>
      </c>
      <c r="C28" s="20" t="s">
        <v>18</v>
      </c>
      <c r="D28" s="21"/>
      <c r="E28" s="21"/>
      <c r="F28" s="20" t="s">
        <v>856</v>
      </c>
      <c r="G28" s="20" t="s">
        <v>863</v>
      </c>
      <c r="H28" s="20" t="s">
        <v>46</v>
      </c>
      <c r="I28" s="20">
        <v>2022.0</v>
      </c>
      <c r="J28" s="20">
        <v>5000.0</v>
      </c>
      <c r="K28" s="20" t="s">
        <v>26</v>
      </c>
      <c r="L28" s="20">
        <v>19405.0</v>
      </c>
      <c r="M28" s="20" t="s">
        <v>21</v>
      </c>
      <c r="N28" s="20">
        <v>33.0</v>
      </c>
      <c r="O28" s="20" t="s">
        <v>22</v>
      </c>
      <c r="P28" s="23" t="s">
        <v>78</v>
      </c>
    </row>
    <row r="29">
      <c r="A29" s="19">
        <v>65626.0</v>
      </c>
      <c r="B29" s="20" t="s">
        <v>732</v>
      </c>
      <c r="C29" s="20" t="s">
        <v>18</v>
      </c>
      <c r="D29" s="21"/>
      <c r="E29" s="21"/>
      <c r="F29" s="20" t="s">
        <v>864</v>
      </c>
      <c r="G29" s="20" t="s">
        <v>825</v>
      </c>
      <c r="H29" s="20" t="s">
        <v>25</v>
      </c>
      <c r="I29" s="20">
        <v>2024.0</v>
      </c>
      <c r="J29" s="20">
        <v>10000.0</v>
      </c>
      <c r="K29" s="20" t="s">
        <v>26</v>
      </c>
      <c r="L29" s="22">
        <v>7615.0</v>
      </c>
      <c r="M29" s="20" t="s">
        <v>30</v>
      </c>
      <c r="N29" s="20">
        <v>7.0</v>
      </c>
      <c r="O29" s="20" t="s">
        <v>22</v>
      </c>
      <c r="P29" s="23" t="s">
        <v>78</v>
      </c>
    </row>
    <row r="30">
      <c r="A30" s="19">
        <v>65694.0</v>
      </c>
      <c r="B30" s="20" t="s">
        <v>769</v>
      </c>
      <c r="C30" s="20" t="s">
        <v>18</v>
      </c>
      <c r="D30" s="21"/>
      <c r="E30" s="21"/>
      <c r="F30" s="20" t="s">
        <v>865</v>
      </c>
      <c r="G30" s="20" t="s">
        <v>855</v>
      </c>
      <c r="H30" s="20" t="s">
        <v>25</v>
      </c>
      <c r="I30" s="20">
        <v>2020.0</v>
      </c>
      <c r="J30" s="20">
        <v>10000.0</v>
      </c>
      <c r="K30" s="20" t="s">
        <v>26</v>
      </c>
      <c r="L30" s="20">
        <v>24265.0</v>
      </c>
      <c r="M30" s="20" t="s">
        <v>21</v>
      </c>
      <c r="N30" s="20">
        <v>29.0</v>
      </c>
      <c r="O30" s="20" t="s">
        <v>22</v>
      </c>
      <c r="P30" s="23" t="s">
        <v>78</v>
      </c>
    </row>
    <row r="31">
      <c r="A31" s="19">
        <v>65765.0</v>
      </c>
      <c r="B31" s="20" t="s">
        <v>469</v>
      </c>
      <c r="C31" s="20" t="s">
        <v>35</v>
      </c>
      <c r="D31" s="21"/>
      <c r="E31" s="21"/>
      <c r="F31" s="20" t="s">
        <v>822</v>
      </c>
      <c r="G31" s="20" t="s">
        <v>866</v>
      </c>
      <c r="H31" s="20" t="s">
        <v>33</v>
      </c>
      <c r="I31" s="20">
        <v>2018.0</v>
      </c>
      <c r="J31" s="20">
        <v>10000.0</v>
      </c>
      <c r="K31" s="20" t="s">
        <v>26</v>
      </c>
      <c r="L31" s="22">
        <v>3584.0</v>
      </c>
      <c r="M31" s="20" t="s">
        <v>21</v>
      </c>
      <c r="N31" s="20">
        <v>6.0</v>
      </c>
      <c r="O31" s="20" t="s">
        <v>22</v>
      </c>
      <c r="P31" s="23" t="s">
        <v>78</v>
      </c>
    </row>
    <row r="32">
      <c r="A32" s="19">
        <v>65768.0</v>
      </c>
      <c r="B32" s="20" t="s">
        <v>808</v>
      </c>
      <c r="C32" s="20" t="s">
        <v>35</v>
      </c>
      <c r="D32" s="21"/>
      <c r="E32" s="21"/>
      <c r="F32" s="20" t="s">
        <v>859</v>
      </c>
      <c r="G32" s="20" t="s">
        <v>863</v>
      </c>
      <c r="H32" s="20" t="s">
        <v>19</v>
      </c>
      <c r="I32" s="20">
        <v>2023.0</v>
      </c>
      <c r="J32" s="20">
        <v>5000.0</v>
      </c>
      <c r="K32" s="20" t="s">
        <v>26</v>
      </c>
      <c r="L32" s="22">
        <v>3003.0</v>
      </c>
      <c r="M32" s="20" t="s">
        <v>21</v>
      </c>
      <c r="N32" s="20">
        <v>44.0</v>
      </c>
      <c r="O32" s="20" t="s">
        <v>22</v>
      </c>
      <c r="P32" s="23" t="s">
        <v>78</v>
      </c>
    </row>
  </sheetData>
  <drawing r:id="rId1"/>
  <tableParts count="1">
    <tablePart r:id="rId3"/>
  </tableParts>
</worksheet>
</file>