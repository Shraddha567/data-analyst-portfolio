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 Number" sheetId="1" r:id="rId5"/>
    <sheet state="visible" name="Age" sheetId="2" r:id="rId6"/>
    <sheet state="visible" name="Charts" sheetId="3" r:id="rId7"/>
    <sheet state="visible" name="User Details" sheetId="4" r:id="rId8"/>
    <sheet state="visible" name="Formula" sheetId="5" r:id="rId9"/>
    <sheet state="visible" name="Data Cleanup" sheetId="6" r:id="rId10"/>
    <sheet state="visible" name="Pivot Table" sheetId="7" r:id="rId11"/>
    <sheet state="visible" name="Pivot Table Basic Operation" sheetId="8" r:id="rId12"/>
    <sheet state="visible" name="Pivot Chart Practice" sheetId="9" r:id="rId13"/>
    <sheet state="visible" name="Pivot Table Chart" sheetId="10" r:id="rId14"/>
    <sheet state="visible" name="Detail1-Samsung" sheetId="11" r:id="rId15"/>
  </sheets>
  <definedNames>
    <definedName hidden="1" localSheetId="3" name="_xlnm._FilterDatabase">'User Details'!$A$1:$E$11</definedName>
    <definedName hidden="1" localSheetId="5" name="_xlnm._FilterDatabase">'Data Cleanup'!$A$1:$Z$23</definedName>
  </definedNames>
  <calcPr/>
  <pivotCaches>
    <pivotCache cacheId="0" r:id="rId16"/>
    <pivotCache cacheId="1" r:id="rId17"/>
  </pivotCaches>
</workbook>
</file>

<file path=xl/sharedStrings.xml><?xml version="1.0" encoding="utf-8"?>
<sst xmlns="http://schemas.openxmlformats.org/spreadsheetml/2006/main" count="361" uniqueCount="160">
  <si>
    <t>Objects</t>
  </si>
  <si>
    <t>Launch Month</t>
  </si>
  <si>
    <t>Average Price</t>
  </si>
  <si>
    <t>Clothes</t>
  </si>
  <si>
    <t>Groceries</t>
  </si>
  <si>
    <t>Electronics</t>
  </si>
  <si>
    <t>Cars</t>
  </si>
  <si>
    <t>Toys</t>
  </si>
  <si>
    <t>Accessories</t>
  </si>
  <si>
    <t>Name</t>
  </si>
  <si>
    <t>Age</t>
  </si>
  <si>
    <t>Ram</t>
  </si>
  <si>
    <t>Shyaam</t>
  </si>
  <si>
    <t>Mala</t>
  </si>
  <si>
    <t>Lata</t>
  </si>
  <si>
    <t>Priya</t>
  </si>
  <si>
    <t>Purchases</t>
  </si>
  <si>
    <t>Price</t>
  </si>
  <si>
    <t>Quantity</t>
  </si>
  <si>
    <t>Spoons</t>
  </si>
  <si>
    <t>Fruits</t>
  </si>
  <si>
    <t>Screw Driver</t>
  </si>
  <si>
    <t>Chocolates</t>
  </si>
  <si>
    <t>City</t>
  </si>
  <si>
    <t>User Type</t>
  </si>
  <si>
    <t>Aman</t>
  </si>
  <si>
    <t>Pune</t>
  </si>
  <si>
    <t>Paid</t>
  </si>
  <si>
    <t>Ankit</t>
  </si>
  <si>
    <t>Indore</t>
  </si>
  <si>
    <t>Ayesha</t>
  </si>
  <si>
    <t>Hyderabad</t>
  </si>
  <si>
    <t>Free</t>
  </si>
  <si>
    <t>Karan</t>
  </si>
  <si>
    <t>Ahmedabad</t>
  </si>
  <si>
    <t>Neha</t>
  </si>
  <si>
    <t>Mumbai</t>
  </si>
  <si>
    <t>Pooja</t>
  </si>
  <si>
    <t>Jaipur</t>
  </si>
  <si>
    <t>Rahul</t>
  </si>
  <si>
    <t>Delhi</t>
  </si>
  <si>
    <t>Rohan</t>
  </si>
  <si>
    <t>Bengaluru</t>
  </si>
  <si>
    <t>Shraddha</t>
  </si>
  <si>
    <t>Bhopal</t>
  </si>
  <si>
    <t>Yash</t>
  </si>
  <si>
    <t>Chandigarh</t>
  </si>
  <si>
    <t>Product</t>
  </si>
  <si>
    <t>Price ($) per product</t>
  </si>
  <si>
    <t>Sales for the Product</t>
  </si>
  <si>
    <t>Profit per quantity sold</t>
  </si>
  <si>
    <t>Overall Profit for that Product($)</t>
  </si>
  <si>
    <t>Date</t>
  </si>
  <si>
    <t>Product A</t>
  </si>
  <si>
    <t>Product B</t>
  </si>
  <si>
    <t>Product C</t>
  </si>
  <si>
    <t>Product D</t>
  </si>
  <si>
    <t>Product E</t>
  </si>
  <si>
    <t>Product F</t>
  </si>
  <si>
    <t>Product G</t>
  </si>
  <si>
    <t>Product H</t>
  </si>
  <si>
    <t>Product I</t>
  </si>
  <si>
    <t>Product J</t>
  </si>
  <si>
    <t>Product K</t>
  </si>
  <si>
    <t>Product L</t>
  </si>
  <si>
    <t>Product M</t>
  </si>
  <si>
    <t>13-01-2025</t>
  </si>
  <si>
    <t>Product N</t>
  </si>
  <si>
    <t>14-01-2025</t>
  </si>
  <si>
    <t>Product O</t>
  </si>
  <si>
    <t>15-01-2025</t>
  </si>
  <si>
    <t>Price($)</t>
  </si>
  <si>
    <t>Vendor</t>
  </si>
  <si>
    <t>Total Score($)</t>
  </si>
  <si>
    <t>Profit($)</t>
  </si>
  <si>
    <t>Laptop</t>
  </si>
  <si>
    <t>Dell</t>
  </si>
  <si>
    <t>Mobile</t>
  </si>
  <si>
    <t>five</t>
  </si>
  <si>
    <t>Samsung</t>
  </si>
  <si>
    <t>Headphones</t>
  </si>
  <si>
    <t>Sony</t>
  </si>
  <si>
    <t>12.03.24</t>
  </si>
  <si>
    <t>Keyboard</t>
  </si>
  <si>
    <t>eighty</t>
  </si>
  <si>
    <t>Logitech</t>
  </si>
  <si>
    <t>Mouse</t>
  </si>
  <si>
    <t>HP</t>
  </si>
  <si>
    <t>Monitor</t>
  </si>
  <si>
    <t>LG</t>
  </si>
  <si>
    <t>Printer</t>
  </si>
  <si>
    <t>Canon</t>
  </si>
  <si>
    <t>eight hundred</t>
  </si>
  <si>
    <t>Tablet</t>
  </si>
  <si>
    <t>6 units</t>
  </si>
  <si>
    <t>Apple</t>
  </si>
  <si>
    <t>2024.03.08</t>
  </si>
  <si>
    <t>Camera</t>
  </si>
  <si>
    <t>Nikon</t>
  </si>
  <si>
    <t>one hundred</t>
  </si>
  <si>
    <t>9th March 24</t>
  </si>
  <si>
    <t>Speaker</t>
  </si>
  <si>
    <t>JBL</t>
  </si>
  <si>
    <t>Webcam</t>
  </si>
  <si>
    <t>ten</t>
  </si>
  <si>
    <t>Router</t>
  </si>
  <si>
    <t>TP-Link</t>
  </si>
  <si>
    <t>14/03/2024</t>
  </si>
  <si>
    <t>Hard Drive</t>
  </si>
  <si>
    <t>Seagate</t>
  </si>
  <si>
    <t>15-03-24</t>
  </si>
  <si>
    <t>SSD</t>
  </si>
  <si>
    <t>samsung</t>
  </si>
  <si>
    <t>Power Bank</t>
  </si>
  <si>
    <t>Mi</t>
  </si>
  <si>
    <t>17-03-2024</t>
  </si>
  <si>
    <t>18/03/2024</t>
  </si>
  <si>
    <t>Price ($)</t>
  </si>
  <si>
    <t>Total Sales ($)</t>
  </si>
  <si>
    <t>Profit ($)</t>
  </si>
  <si>
    <t>Order Date</t>
  </si>
  <si>
    <t xml:space="preserve"> </t>
  </si>
  <si>
    <t>15-01-2024</t>
  </si>
  <si>
    <t>18-01-2024</t>
  </si>
  <si>
    <t>20-01-2024</t>
  </si>
  <si>
    <t>22-01-2024</t>
  </si>
  <si>
    <t>25-01-2024</t>
  </si>
  <si>
    <t>28-01-2024</t>
  </si>
  <si>
    <t>Xiaomi</t>
  </si>
  <si>
    <t>14-02-2024</t>
  </si>
  <si>
    <t>17-02-2024</t>
  </si>
  <si>
    <t>20-02-2024</t>
  </si>
  <si>
    <t>22-02-2024</t>
  </si>
  <si>
    <t>Lenovo</t>
  </si>
  <si>
    <t>25-02-2024</t>
  </si>
  <si>
    <t>OnePlus</t>
  </si>
  <si>
    <t>28-02-2024</t>
  </si>
  <si>
    <t>Bose</t>
  </si>
  <si>
    <t>Epson</t>
  </si>
  <si>
    <t>15-03-2024</t>
  </si>
  <si>
    <t>18-03-2024</t>
  </si>
  <si>
    <t>20-03-2024</t>
  </si>
  <si>
    <t>22-03-2024</t>
  </si>
  <si>
    <t>COUNTA of Product</t>
  </si>
  <si>
    <t>SUM of Quantity</t>
  </si>
  <si>
    <t>AVERAGE of Profit ($)</t>
  </si>
  <si>
    <t>SUM of Price ($)</t>
  </si>
  <si>
    <t>Grand Total</t>
  </si>
  <si>
    <t>Charger</t>
  </si>
  <si>
    <t>Drone</t>
  </si>
  <si>
    <t>External HDD</t>
  </si>
  <si>
    <t>Speakers</t>
  </si>
  <si>
    <t>Fitness Band</t>
  </si>
  <si>
    <t>Game Console</t>
  </si>
  <si>
    <t>Laptop Stand</t>
  </si>
  <si>
    <t>Phone Case</t>
  </si>
  <si>
    <t>Smartphone</t>
  </si>
  <si>
    <t>Smartwatch</t>
  </si>
  <si>
    <t>Wireless Mouse</t>
  </si>
  <si>
    <t>29-03-2024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</si>
</sst>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mm yyyy"/>
    <numFmt numFmtId="165" formatCode="&quot;$&quot;#,##0.00"/>
    <numFmt numFmtId="166" formatCode="mm-dd-yyyy"/>
    <numFmt numFmtId="167" formatCode="&quot;$&quot;#,##0"/>
    <numFmt numFmtId="168" formatCode="#,##0&quot;$&quot;"/>
    <numFmt numFmtId="169" formatCode="yyyy/mm/dd"/>
    <numFmt numFmtId="170" formatCode="yyyy-m-d"/>
    <numFmt numFmtId="171" formatCode="mm/dd/yyyy"/>
    <numFmt numFmtId="172" formatCode="mm-dd-yy"/>
    <numFmt numFmtId="173" formatCode="mm/dd/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2" fontId="4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6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6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0" fillId="0" fontId="4" numFmtId="167" xfId="0" applyAlignment="1" applyFont="1" applyNumberFormat="1">
      <alignment horizontal="right" readingOrder="0"/>
    </xf>
    <xf borderId="0" fillId="0" fontId="4" numFmtId="168" xfId="0" applyAlignment="1" applyFont="1" applyNumberFormat="1">
      <alignment horizontal="right" readingOrder="0"/>
    </xf>
    <xf borderId="0" fillId="0" fontId="4" numFmtId="169" xfId="0" applyAlignment="1" applyFont="1" applyNumberFormat="1">
      <alignment horizontal="right" readingOrder="0"/>
    </xf>
    <xf borderId="0" fillId="0" fontId="4" numFmtId="0" xfId="0" applyAlignment="1" applyFont="1">
      <alignment horizontal="right"/>
    </xf>
    <xf borderId="0" fillId="0" fontId="4" numFmtId="166" xfId="0" applyAlignment="1" applyFont="1" applyNumberFormat="1">
      <alignment horizontal="right" readingOrder="0"/>
    </xf>
    <xf borderId="0" fillId="0" fontId="4" numFmtId="170" xfId="0" applyAlignment="1" applyFont="1" applyNumberFormat="1">
      <alignment horizontal="right" readingOrder="0"/>
    </xf>
    <xf borderId="0" fillId="0" fontId="4" numFmtId="171" xfId="0" applyAlignment="1" applyFont="1" applyNumberFormat="1">
      <alignment horizontal="right" readingOrder="0"/>
    </xf>
    <xf borderId="0" fillId="0" fontId="4" numFmtId="172" xfId="0" applyAlignment="1" applyFont="1" applyNumberFormat="1">
      <alignment horizontal="right" readingOrder="0"/>
    </xf>
    <xf borderId="0" fillId="0" fontId="4" numFmtId="173" xfId="0" applyAlignment="1" applyFont="1" applyNumberFormat="1">
      <alignment horizontal="right" readingOrder="0"/>
    </xf>
    <xf borderId="0" fillId="0" fontId="4" numFmtId="0" xfId="0" applyFont="1"/>
    <xf borderId="0" fillId="0" fontId="4" numFmtId="0" xfId="0" applyAlignment="1" applyFont="1">
      <alignment horizontal="center" readingOrder="0"/>
    </xf>
    <xf borderId="0" fillId="0" fontId="4" numFmtId="166" xfId="0" applyAlignment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5" fillId="0" fontId="4" numFmtId="166" xfId="0" applyAlignment="1" applyBorder="1" applyFont="1" applyNumberFormat="1">
      <alignment readingOrder="0"/>
    </xf>
    <xf borderId="6" fillId="0" fontId="4" numFmtId="0" xfId="0" applyBorder="1" applyFont="1"/>
  </cellXfs>
  <cellStyles count="1">
    <cellStyle xfId="0" name="Normal" builtinId="0"/>
  </cellStyles>
  <dxfs count="12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2">
    <tableStyle count="5" pivot="0" name="Formula-style">
      <tableStyleElement dxfId="5" type="headerRow"/>
      <tableStyleElement dxfId="6" type="firstRowStripe"/>
      <tableStyleElement dxfId="7" type="secondRowStripe"/>
      <tableStyleElement dxfId="8" type="totalRow"/>
      <tableStyleElement dxfId="9" size="0" type="wholeTable"/>
    </tableStyle>
    <tableStyle count="3" pivot="0" name="Detail1-Samsung-style">
      <tableStyleElement dxfId="10" type="headerRow"/>
      <tableStyleElement dxfId="11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Last month purchases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Charts!$B$1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Charts!$A$2:$A$6</c:f>
            </c:strRef>
          </c:cat>
          <c:val>
            <c:numRef>
              <c:f>Charts!$B$2:$B$6</c:f>
              <c:numCache/>
            </c:numRef>
          </c:val>
        </c:ser>
        <c:ser>
          <c:idx val="1"/>
          <c:order val="1"/>
          <c:tx>
            <c:strRef>
              <c:f>Charts!$C$1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Charts!$A$2:$A$6</c:f>
            </c:strRef>
          </c:cat>
          <c:val>
            <c:numRef>
              <c:f>Charts!$C$2:$C$6</c:f>
              <c:numCache/>
            </c:numRef>
          </c:val>
        </c:ser>
        <c:axId val="1899478175"/>
        <c:axId val="938579905"/>
      </c:bar3DChart>
      <c:catAx>
        <c:axId val="18994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Purchases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8579905"/>
      </c:catAx>
      <c:valAx>
        <c:axId val="9385799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94781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Quantity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Chart'!$B$1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Chart'!$A$2:$A$20</c:f>
            </c:strRef>
          </c:cat>
          <c:val>
            <c:numRef>
              <c:f>'Pivot Table Chart'!$B$2:$B$20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6</xdr:row>
      <xdr:rowOff>152400</xdr:rowOff>
    </xdr:from>
    <xdr:ext cx="4267200" cy="2628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152400</xdr:rowOff>
    </xdr:from>
    <xdr:ext cx="3533775" cy="2190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31" sheet="Pivot Table"/>
  </cacheSource>
  <cacheFields>
    <cacheField name="Product" numFmtId="0">
      <sharedItems>
        <s v="Laptop"/>
        <s v="Mobile"/>
        <s v="Headphones"/>
        <s v="Monitor"/>
        <s v="Keyboard"/>
        <s v="Mouse"/>
        <s v="Tablet"/>
        <s v="Printer"/>
      </sharedItems>
    </cacheField>
    <cacheField name="Price ($)" numFmtId="0">
      <sharedItems containsSemiMixedTypes="0" containsString="0" containsNumber="1" containsInteger="1">
        <n v="800.0"/>
        <n v="500.0"/>
        <n v="120.0"/>
        <n v="300.0"/>
        <n v="50.0"/>
        <n v="30.0"/>
        <n v="400.0"/>
        <n v="900.0"/>
        <n v="700.0"/>
        <n v="280.0"/>
        <n v="200.0"/>
        <n v="100.0"/>
        <n v="850.0"/>
        <n v="450.0"/>
        <n v="60.0"/>
        <n v="25.0"/>
        <n v="380.0"/>
        <n v="320.0"/>
        <n v="220.0"/>
        <n v="780.0"/>
        <n v="600.0"/>
        <n v="150.0"/>
        <n v="55.0"/>
        <n v="35.0"/>
        <n v="420.0"/>
        <n v="310.0"/>
        <n v="210.0"/>
        <n v="950.0"/>
        <n v="520.0"/>
        <n v="130.0"/>
      </sharedItems>
    </cacheField>
    <cacheField name="Quantity" numFmtId="0">
      <sharedItems containsSemiMixedTypes="0" containsString="0" containsNumber="1" containsInteger="1">
        <n v="2.0"/>
        <n v="3.0"/>
        <n v="5.0"/>
        <n v="6.0"/>
        <n v="10.0"/>
        <n v="1.0"/>
        <n v="4.0"/>
        <n v="12.0"/>
        <n v="7.0"/>
        <n v="8.0"/>
      </sharedItems>
    </cacheField>
    <cacheField name="Vendor" numFmtId="0">
      <sharedItems>
        <s v="Dell"/>
        <s v="Samsung"/>
        <s v="Sony"/>
        <s v="LG"/>
        <s v="Logitech"/>
        <s v="Apple"/>
        <s v="HP"/>
        <s v="Canon"/>
        <s v="JBL"/>
        <s v="Xiaomi"/>
        <s v="Lenovo"/>
        <s v="OnePlus"/>
        <s v="Bose"/>
        <s v="Epson"/>
      </sharedItems>
    </cacheField>
    <cacheField name="Total Sales ($)" numFmtId="0">
      <sharedItems containsSemiMixedTypes="0" containsString="0" containsNumber="1" containsInteger="1">
        <n v="1600.0"/>
        <n v="1500.0"/>
        <n v="600.0"/>
        <n v="300.0"/>
        <n v="800.0"/>
        <n v="900.0"/>
        <n v="1400.0"/>
        <n v="840.0"/>
        <n v="400.0"/>
        <n v="1700.0"/>
        <n v="2250.0"/>
        <n v="240.0"/>
        <n v="1140.0"/>
        <n v="640.0"/>
        <n v="220.0"/>
        <n v="2340.0"/>
        <n v="2400.0"/>
        <n v="385.0"/>
        <n v="280.0"/>
        <n v="930.0"/>
        <n v="420.0"/>
        <n v="950.0"/>
        <n v="1560.0"/>
        <n v="520.0"/>
      </sharedItems>
    </cacheField>
    <cacheField name="Profit ($)" numFmtId="0">
      <sharedItems containsSemiMixedTypes="0" containsString="0" containsNumber="1" containsInteger="1">
        <n v="240.0"/>
        <n v="300.0"/>
        <n v="180.0"/>
        <n v="120.0"/>
        <n v="90.0"/>
        <n v="100.0"/>
        <n v="160.0"/>
        <n v="150.0"/>
        <n v="280.0"/>
        <n v="200.0"/>
        <n v="80.0"/>
        <n v="260.0"/>
        <n v="450.0"/>
        <n v="70.0"/>
        <n v="95.0"/>
        <n v="220.0"/>
        <n v="130.0"/>
        <n v="40.0"/>
        <n v="350.0"/>
        <n v="480.0"/>
        <n v="110.0"/>
        <n v="85.0"/>
        <n v="170.0"/>
        <n v="210.0"/>
        <n v="75.0"/>
        <n v="190.0"/>
      </sharedItems>
    </cacheField>
    <cacheField name="Order Date">
      <sharedItems containsDate="1" containsMixedTypes="1">
        <d v="2024-05-01T00:00:00Z"/>
        <d v="2024-07-01T00:00:00Z"/>
        <d v="2024-10-01T00:00:00Z"/>
        <d v="2024-12-01T00:00:00Z"/>
        <s v="15-01-2024"/>
        <s v="18-01-2024"/>
        <s v="20-01-2024"/>
        <s v="22-01-2024"/>
        <s v="25-01-2024"/>
        <s v="28-01-2024"/>
        <d v="2024-02-02T00:00:00Z"/>
        <d v="2024-05-02T00:00:00Z"/>
        <d v="2024-08-02T00:00:00Z"/>
        <d v="2024-10-02T00:00:00Z"/>
        <d v="2024-12-02T00:00:00Z"/>
        <s v="14-02-2024"/>
        <s v="17-02-2024"/>
        <s v="20-02-2024"/>
        <s v="22-02-2024"/>
        <s v="25-02-2024"/>
        <s v="28-02-2024"/>
        <d v="2024-01-03T00:00:00Z"/>
        <d v="2024-04-03T00:00:00Z"/>
        <d v="2024-07-03T00:00:00Z"/>
        <d v="2024-10-03T00:00:00Z"/>
        <d v="2024-12-03T00:00:00Z"/>
        <s v="15-03-2024"/>
        <s v="18-03-2024"/>
        <s v="20-03-2024"/>
        <s v="22-03-2024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32" sheet="Pivot Chart Practice"/>
  </cacheSource>
  <cacheFields>
    <cacheField name="Product" numFmtId="0">
      <sharedItems>
        <s v="Camera"/>
        <s v="Charger"/>
        <s v="Drone"/>
        <s v="External HDD"/>
        <s v="Speakers"/>
        <s v="Fitness Band"/>
        <s v="Game Console"/>
        <s v="Headphones"/>
        <s v="Keyboard"/>
        <s v="Laptop"/>
        <s v="Laptop Stand"/>
        <s v="Monitor"/>
        <s v="Mouse"/>
        <s v="Phone Case"/>
        <s v="Smartphone"/>
        <s v="Power Bank"/>
        <s v="Smartwatch"/>
        <s v="Wireless Mouse"/>
      </sharedItems>
    </cacheField>
    <cacheField name="Quantity" numFmtId="0">
      <sharedItems containsSemiMixedTypes="0" containsString="0" containsNumber="1" containsInteger="1">
        <n v="5.0"/>
        <n v="6.0"/>
        <n v="30.0"/>
        <n v="44.0"/>
        <n v="3.0"/>
        <n v="10.0"/>
        <n v="11.0"/>
        <n v="20.0"/>
        <n v="16.0"/>
        <n v="4.0"/>
        <n v="18.0"/>
        <n v="22.0"/>
        <n v="23.0"/>
        <n v="25.0"/>
        <n v="12.0"/>
        <n v="21.0"/>
        <n v="40.0"/>
        <n v="43.0"/>
        <n v="34.0"/>
        <n v="8.0"/>
      </sharedItems>
    </cacheField>
    <cacheField name="Price ($)" numFmtId="0">
      <sharedItems containsSemiMixedTypes="0" containsString="0" containsNumber="1" containsInteger="1">
        <n v="800.0"/>
        <n v="500.0"/>
        <n v="120.0"/>
        <n v="300.0"/>
        <n v="50.0"/>
        <n v="30.0"/>
        <n v="400.0"/>
        <n v="900.0"/>
        <n v="700.0"/>
        <n v="280.0"/>
        <n v="200.0"/>
        <n v="100.0"/>
        <n v="850.0"/>
        <n v="450.0"/>
        <n v="60.0"/>
        <n v="25.0"/>
        <n v="380.0"/>
        <n v="320.0"/>
        <n v="220.0"/>
        <n v="780.0"/>
        <n v="600.0"/>
        <n v="150.0"/>
        <n v="55.0"/>
        <n v="35.0"/>
        <n v="420.0"/>
        <n v="310.0"/>
        <n v="210.0"/>
        <n v="950.0"/>
        <n v="520.0"/>
        <n v="130.0"/>
        <n v="189.0"/>
      </sharedItems>
    </cacheField>
    <cacheField name="quantity2" numFmtId="0">
      <sharedItems containsSemiMixedTypes="0" containsString="0" containsNumber="1" containsInteger="1">
        <n v="2.0"/>
        <n v="3.0"/>
        <n v="5.0"/>
        <n v="6.0"/>
        <n v="10.0"/>
        <n v="1.0"/>
        <n v="4.0"/>
        <n v="12.0"/>
        <n v="7.0"/>
        <n v="8.0"/>
      </sharedItems>
    </cacheField>
    <cacheField name="Vendor" numFmtId="0">
      <sharedItems>
        <s v="Dell"/>
        <s v="Samsung"/>
        <s v="Sony"/>
        <s v="LG"/>
        <s v="Logitech"/>
        <s v="Apple"/>
        <s v="HP"/>
        <s v="Canon"/>
        <s v="JBL"/>
        <s v="Xiaomi"/>
        <s v="Lenovo"/>
        <s v="OnePlus"/>
        <s v="Bose"/>
        <s v="Epson"/>
      </sharedItems>
    </cacheField>
    <cacheField name="Total Sales ($)" numFmtId="0">
      <sharedItems containsSemiMixedTypes="0" containsString="0" containsNumber="1" containsInteger="1">
        <n v="1600.0"/>
        <n v="1500.0"/>
        <n v="600.0"/>
        <n v="300.0"/>
        <n v="800.0"/>
        <n v="900.0"/>
        <n v="1400.0"/>
        <n v="840.0"/>
        <n v="400.0"/>
        <n v="1700.0"/>
        <n v="2250.0"/>
        <n v="240.0"/>
        <n v="1140.0"/>
        <n v="640.0"/>
        <n v="220.0"/>
        <n v="2340.0"/>
        <n v="2400.0"/>
        <n v="385.0"/>
        <n v="280.0"/>
        <n v="930.0"/>
        <n v="420.0"/>
        <n v="950.0"/>
        <n v="1560.0"/>
        <n v="520.0"/>
      </sharedItems>
    </cacheField>
    <cacheField name="Profit ($)" numFmtId="0">
      <sharedItems containsSemiMixedTypes="0" containsString="0" containsNumber="1" containsInteger="1">
        <n v="240.0"/>
        <n v="300.0"/>
        <n v="180.0"/>
        <n v="120.0"/>
        <n v="90.0"/>
        <n v="100.0"/>
        <n v="160.0"/>
        <n v="150.0"/>
        <n v="280.0"/>
        <n v="200.0"/>
        <n v="80.0"/>
        <n v="260.0"/>
        <n v="450.0"/>
        <n v="70.0"/>
        <n v="95.0"/>
        <n v="220.0"/>
        <n v="130.0"/>
        <n v="40.0"/>
        <n v="350.0"/>
        <n v="480.0"/>
        <n v="110.0"/>
        <n v="85.0"/>
        <n v="170.0"/>
        <n v="210.0"/>
        <n v="75.0"/>
        <n v="190.0"/>
      </sharedItems>
    </cacheField>
    <cacheField name="Order Date">
      <sharedItems containsDate="1" containsMixedTypes="1">
        <d v="2024-05-01T00:00:00Z"/>
        <d v="2024-07-01T00:00:00Z"/>
        <d v="2024-10-01T00:00:00Z"/>
        <d v="2024-12-01T00:00:00Z"/>
        <s v="15-01-2024"/>
        <s v="18-01-2024"/>
        <s v="20-01-2024"/>
        <s v="22-01-2024"/>
        <s v="25-01-2024"/>
        <s v="28-01-2024"/>
        <d v="2024-02-02T00:00:00Z"/>
        <d v="2024-05-02T00:00:00Z"/>
        <d v="2024-08-02T00:00:00Z"/>
        <d v="2024-10-02T00:00:00Z"/>
        <d v="2024-12-02T00:00:00Z"/>
        <s v="14-02-2024"/>
        <s v="17-02-2024"/>
        <s v="20-02-2024"/>
        <s v="22-02-2024"/>
        <s v="25-02-2024"/>
        <s v="28-02-2024"/>
        <d v="2024-01-03T00:00:00Z"/>
        <d v="2024-04-03T00:00:00Z"/>
        <d v="2024-07-03T00:00:00Z"/>
        <d v="2024-10-03T00:00:00Z"/>
        <d v="2024-12-03T00:00:00Z"/>
        <s v="15-03-2024"/>
        <s v="18-03-2024"/>
        <s v="20-03-2024"/>
        <s v="22-03-2024"/>
        <s v="29-03-202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Basic Operation" cacheId="0" dataCaption="" compact="0" compactData="0">
  <location ref="A3:E18" firstHeaderRow="0" firstDataRow="2" firstDataCol="0" rowPageCount="1" colPageCount="1"/>
  <pivotFields>
    <pivotField name="Product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ice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endor" axis="axisRow" compact="0" outline="0" multipleItemSelectionAllowed="1" showAll="0" sortType="descending">
      <items>
        <item x="9"/>
        <item x="2"/>
        <item x="1"/>
        <item x="11"/>
        <item x="4"/>
        <item x="3"/>
        <item x="10"/>
        <item x="8"/>
        <item x="6"/>
        <item x="13"/>
        <item x="0"/>
        <item x="7"/>
        <item x="12"/>
        <item x="5"/>
        <item t="default"/>
      </items>
    </pivotField>
    <pivotField name="Total Sales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rofit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3"/>
  </rowFields>
  <colFields>
    <field x="-2"/>
  </colFields>
  <pageFields>
    <pageField fld="0"/>
  </pageFields>
  <dataFields>
    <dataField name="COUNTA of Product" fld="0" subtotal="count" baseField="0"/>
    <dataField name="SUM of Quantity" fld="2" baseField="0"/>
    <dataField name="AVERAGE of Profit ($)" fld="5" subtotal="average" baseField="0"/>
    <dataField name="SUM of Price ($)" fld="1" baseField="0"/>
  </dataFields>
</pivotTableDefinition>
</file>

<file path=xl/tables/table1.xml><?xml version="1.0" encoding="utf-8"?>
<table xmlns="http://schemas.openxmlformats.org/spreadsheetml/2006/main" totalsRowCount="1" ref="A1:G17" displayName="Table1" name="Table1" id="1">
  <tableColumns count="7">
    <tableColumn name="Product" id="1"/>
    <tableColumn name="Price ($) per product" id="2"/>
    <tableColumn name="Quantity" id="3"/>
    <tableColumn totalsRowFunction="custom" name="Sales for the Product" id="4"/>
    <tableColumn name="Profit per quantity sold" id="5"/>
    <tableColumn name="Overall Profit for that Product($)" id="6"/>
    <tableColumn name="Date" id="7"/>
  </tableColumns>
  <tableStyleInfo name="Formula-style" showColumnStripes="0" showFirstColumn="1" showLastColumn="1" showRowStripes="1"/>
</table>
</file>

<file path=xl/tables/table2.xml><?xml version="1.0" encoding="utf-8"?>
<table xmlns="http://schemas.openxmlformats.org/spreadsheetml/2006/main" headerRowCount="0" ref="A1:H5" displayName="Table_1" name="Table_1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Detail1-Samsu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45292.0</v>
      </c>
      <c r="C2" s="4">
        <v>200.0</v>
      </c>
    </row>
    <row r="3">
      <c r="A3" s="2" t="s">
        <v>4</v>
      </c>
      <c r="B3" s="3">
        <v>45323.0</v>
      </c>
      <c r="C3" s="4">
        <v>400.0</v>
      </c>
    </row>
    <row r="4">
      <c r="A4" s="2" t="s">
        <v>5</v>
      </c>
      <c r="B4" s="3">
        <v>45352.0</v>
      </c>
      <c r="C4" s="4">
        <v>60.0</v>
      </c>
    </row>
    <row r="5">
      <c r="A5" s="2" t="s">
        <v>6</v>
      </c>
      <c r="B5" s="3">
        <v>45383.0</v>
      </c>
      <c r="C5" s="4">
        <v>100.0</v>
      </c>
    </row>
    <row r="6">
      <c r="A6" s="2" t="s">
        <v>7</v>
      </c>
      <c r="B6" s="3">
        <v>45413.0</v>
      </c>
      <c r="C6" s="4">
        <v>120.0</v>
      </c>
    </row>
    <row r="7">
      <c r="A7" s="2" t="s">
        <v>8</v>
      </c>
      <c r="B7" s="3">
        <v>45444.0</v>
      </c>
      <c r="C7" s="4">
        <v>150.0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</v>
      </c>
      <c r="B1" s="5" t="s">
        <v>10</v>
      </c>
      <c r="C1" s="1" t="s">
        <v>2</v>
      </c>
    </row>
    <row r="2">
      <c r="A2" s="2" t="s">
        <v>11</v>
      </c>
      <c r="B2" s="3">
        <v>30.0</v>
      </c>
      <c r="C2" s="4">
        <v>200.0</v>
      </c>
    </row>
    <row r="3">
      <c r="A3" s="2" t="s">
        <v>12</v>
      </c>
      <c r="B3" s="3">
        <v>22.0</v>
      </c>
      <c r="C3" s="4">
        <v>400.0</v>
      </c>
    </row>
    <row r="4">
      <c r="A4" s="2" t="s">
        <v>13</v>
      </c>
      <c r="B4" s="3">
        <v>24.0</v>
      </c>
      <c r="C4" s="4">
        <v>60.0</v>
      </c>
    </row>
    <row r="5">
      <c r="A5" s="2" t="s">
        <v>14</v>
      </c>
      <c r="B5" s="3">
        <v>28.0</v>
      </c>
      <c r="C5" s="4">
        <v>100.0</v>
      </c>
    </row>
    <row r="6">
      <c r="A6" s="2" t="s">
        <v>15</v>
      </c>
      <c r="B6" s="3">
        <v>31.0</v>
      </c>
      <c r="C6" s="4">
        <v>120.0</v>
      </c>
    </row>
    <row r="7">
      <c r="A7" s="2" t="s">
        <v>8</v>
      </c>
      <c r="B7" s="3">
        <v>45444.0</v>
      </c>
      <c r="C7" s="4">
        <v>150.0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16</v>
      </c>
      <c r="B1" s="6" t="s">
        <v>17</v>
      </c>
      <c r="C1" s="6" t="s">
        <v>18</v>
      </c>
    </row>
    <row r="2">
      <c r="A2" s="7" t="s">
        <v>19</v>
      </c>
      <c r="B2" s="7">
        <v>40.0</v>
      </c>
      <c r="C2" s="7">
        <v>10.0</v>
      </c>
    </row>
    <row r="3">
      <c r="A3" s="7" t="s">
        <v>20</v>
      </c>
      <c r="B3" s="7">
        <v>100.0</v>
      </c>
      <c r="C3" s="7">
        <v>40.0</v>
      </c>
    </row>
    <row r="4">
      <c r="A4" s="7" t="s">
        <v>21</v>
      </c>
      <c r="B4" s="7">
        <v>75.0</v>
      </c>
      <c r="C4" s="7">
        <v>2.0</v>
      </c>
    </row>
    <row r="5">
      <c r="A5" s="7" t="s">
        <v>7</v>
      </c>
      <c r="B5" s="7">
        <v>65.0</v>
      </c>
      <c r="C5" s="7">
        <v>5.0</v>
      </c>
    </row>
    <row r="6">
      <c r="A6" s="7" t="s">
        <v>22</v>
      </c>
      <c r="B6" s="7">
        <v>40.0</v>
      </c>
      <c r="C6" s="7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3.75" customHeight="1">
      <c r="A1" s="8" t="s">
        <v>9</v>
      </c>
      <c r="B1" s="8" t="s">
        <v>10</v>
      </c>
      <c r="C1" s="8" t="s">
        <v>23</v>
      </c>
      <c r="D1" s="8" t="s">
        <v>24</v>
      </c>
    </row>
    <row r="2">
      <c r="A2" s="7" t="s">
        <v>25</v>
      </c>
      <c r="B2" s="9">
        <v>18.0</v>
      </c>
      <c r="C2" s="7" t="s">
        <v>26</v>
      </c>
      <c r="D2" s="10" t="s">
        <v>27</v>
      </c>
    </row>
    <row r="3">
      <c r="A3" s="7" t="s">
        <v>28</v>
      </c>
      <c r="B3" s="9">
        <v>34.0</v>
      </c>
      <c r="C3" s="7" t="s">
        <v>29</v>
      </c>
      <c r="D3" s="11" t="s">
        <v>27</v>
      </c>
    </row>
    <row r="4">
      <c r="A4" s="7" t="s">
        <v>30</v>
      </c>
      <c r="B4" s="9">
        <v>24.0</v>
      </c>
      <c r="C4" s="7" t="s">
        <v>31</v>
      </c>
      <c r="D4" s="11" t="s">
        <v>32</v>
      </c>
    </row>
    <row r="5">
      <c r="A5" s="7" t="s">
        <v>33</v>
      </c>
      <c r="B5" s="9">
        <v>22.0</v>
      </c>
      <c r="C5" s="7" t="s">
        <v>34</v>
      </c>
      <c r="D5" s="7" t="s">
        <v>27</v>
      </c>
    </row>
    <row r="6">
      <c r="A6" s="7" t="s">
        <v>35</v>
      </c>
      <c r="B6" s="9">
        <v>27.0</v>
      </c>
      <c r="C6" s="7" t="s">
        <v>36</v>
      </c>
      <c r="D6" s="7" t="s">
        <v>32</v>
      </c>
    </row>
    <row r="7">
      <c r="A7" s="7" t="s">
        <v>37</v>
      </c>
      <c r="B7" s="9">
        <v>22.0</v>
      </c>
      <c r="C7" s="7" t="s">
        <v>38</v>
      </c>
      <c r="D7" s="7" t="s">
        <v>32</v>
      </c>
    </row>
    <row r="8">
      <c r="A8" s="7" t="s">
        <v>39</v>
      </c>
      <c r="B8" s="9">
        <v>20.0</v>
      </c>
      <c r="C8" s="7" t="s">
        <v>40</v>
      </c>
      <c r="D8" s="7" t="s">
        <v>27</v>
      </c>
    </row>
    <row r="9">
      <c r="A9" s="7" t="s">
        <v>41</v>
      </c>
      <c r="B9" s="9">
        <v>28.0</v>
      </c>
      <c r="C9" s="7" t="s">
        <v>42</v>
      </c>
      <c r="D9" s="7" t="s">
        <v>32</v>
      </c>
    </row>
    <row r="10">
      <c r="A10" s="7" t="s">
        <v>43</v>
      </c>
      <c r="B10" s="9">
        <v>30.0</v>
      </c>
      <c r="C10" s="7" t="s">
        <v>44</v>
      </c>
      <c r="D10" s="7" t="s">
        <v>32</v>
      </c>
    </row>
    <row r="11">
      <c r="A11" s="7" t="s">
        <v>45</v>
      </c>
      <c r="B11" s="9">
        <v>26.0</v>
      </c>
      <c r="C11" s="7" t="s">
        <v>46</v>
      </c>
      <c r="D11" s="7" t="s">
        <v>27</v>
      </c>
    </row>
  </sheetData>
  <autoFilter ref="$A$1:$E$11"/>
  <conditionalFormatting sqref="B2:B11">
    <cfRule type="cellIs" dxfId="0" priority="1" operator="greaterThan">
      <formula>30</formula>
    </cfRule>
  </conditionalFormatting>
  <conditionalFormatting sqref="B2:B11">
    <cfRule type="cellIs" dxfId="1" priority="2" operator="greaterThanOrEqual">
      <formula>25</formula>
    </cfRule>
  </conditionalFormatting>
  <conditionalFormatting sqref="B2:B11">
    <cfRule type="cellIs" dxfId="2" priority="3" operator="greaterThanOrEqual">
      <formula>20</formula>
    </cfRule>
  </conditionalFormatting>
  <conditionalFormatting sqref="B2">
    <cfRule type="cellIs" dxfId="3" priority="4" operator="equal">
      <formula>18</formula>
    </cfRule>
  </conditionalFormatting>
  <dataValidations>
    <dataValidation type="list" allowBlank="1" showErrorMessage="1" sqref="D2:D11">
      <formula1>"Paid,Free"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0"/>
    <col customWidth="1" min="3" max="3" width="15.13"/>
    <col customWidth="1" min="4" max="4" width="15.38"/>
    <col customWidth="1" min="5" max="5" width="15.75"/>
    <col customWidth="1" min="6" max="6" width="15.5"/>
  </cols>
  <sheetData>
    <row r="1" ht="22.5" customHeight="1">
      <c r="A1" s="12" t="s">
        <v>47</v>
      </c>
      <c r="B1" s="13" t="s">
        <v>48</v>
      </c>
      <c r="C1" s="12" t="s">
        <v>18</v>
      </c>
      <c r="D1" s="13" t="s">
        <v>49</v>
      </c>
      <c r="E1" s="13" t="s">
        <v>50</v>
      </c>
      <c r="F1" s="13" t="s">
        <v>51</v>
      </c>
      <c r="G1" s="12" t="s">
        <v>52</v>
      </c>
    </row>
    <row r="2" ht="22.5" customHeight="1">
      <c r="A2" s="14" t="s">
        <v>53</v>
      </c>
      <c r="B2" s="15">
        <v>25.0</v>
      </c>
      <c r="C2" s="15">
        <v>40.0</v>
      </c>
      <c r="D2" s="15">
        <f t="shared" ref="D2:D16" si="1">B2*C2</f>
        <v>1000</v>
      </c>
      <c r="E2" s="15">
        <f t="shared" ref="E2:E16" si="2">F2/C2</f>
        <v>7.5</v>
      </c>
      <c r="F2" s="15">
        <v>300.0</v>
      </c>
      <c r="G2" s="16">
        <v>45658.0</v>
      </c>
    </row>
    <row r="3" ht="22.5" customHeight="1">
      <c r="A3" s="14" t="s">
        <v>54</v>
      </c>
      <c r="B3" s="15">
        <v>15.0</v>
      </c>
      <c r="C3" s="15">
        <v>60.0</v>
      </c>
      <c r="D3" s="15">
        <f t="shared" si="1"/>
        <v>900</v>
      </c>
      <c r="E3" s="15">
        <f t="shared" si="2"/>
        <v>4.166666667</v>
      </c>
      <c r="F3" s="15">
        <v>250.0</v>
      </c>
      <c r="G3" s="16">
        <v>45689.0</v>
      </c>
    </row>
    <row r="4" ht="22.5" customHeight="1">
      <c r="A4" s="14" t="s">
        <v>55</v>
      </c>
      <c r="B4" s="15">
        <v>40.0</v>
      </c>
      <c r="C4" s="15">
        <v>30.0</v>
      </c>
      <c r="D4" s="15">
        <f t="shared" si="1"/>
        <v>1200</v>
      </c>
      <c r="E4" s="15">
        <f t="shared" si="2"/>
        <v>14</v>
      </c>
      <c r="F4" s="15">
        <v>420.0</v>
      </c>
      <c r="G4" s="16">
        <v>45717.0</v>
      </c>
    </row>
    <row r="5" ht="22.5" customHeight="1">
      <c r="A5" s="14" t="s">
        <v>56</v>
      </c>
      <c r="B5" s="15">
        <v>10.0</v>
      </c>
      <c r="C5" s="15">
        <v>80.0</v>
      </c>
      <c r="D5" s="15">
        <f t="shared" si="1"/>
        <v>800</v>
      </c>
      <c r="E5" s="15">
        <f t="shared" si="2"/>
        <v>2.5</v>
      </c>
      <c r="F5" s="15">
        <v>200.0</v>
      </c>
      <c r="G5" s="16">
        <v>45748.0</v>
      </c>
    </row>
    <row r="6" ht="22.5" customHeight="1">
      <c r="A6" s="14" t="s">
        <v>57</v>
      </c>
      <c r="B6" s="15">
        <v>55.0</v>
      </c>
      <c r="C6" s="15">
        <v>20.0</v>
      </c>
      <c r="D6" s="15">
        <f t="shared" si="1"/>
        <v>1100</v>
      </c>
      <c r="E6" s="15">
        <f t="shared" si="2"/>
        <v>19</v>
      </c>
      <c r="F6" s="15">
        <v>380.0</v>
      </c>
      <c r="G6" s="16">
        <v>45778.0</v>
      </c>
    </row>
    <row r="7" ht="22.5" customHeight="1">
      <c r="A7" s="14" t="s">
        <v>58</v>
      </c>
      <c r="B7" s="15">
        <v>18.0</v>
      </c>
      <c r="C7" s="15">
        <v>70.0</v>
      </c>
      <c r="D7" s="15">
        <f t="shared" si="1"/>
        <v>1260</v>
      </c>
      <c r="E7" s="15">
        <f t="shared" si="2"/>
        <v>5</v>
      </c>
      <c r="F7" s="15">
        <v>350.0</v>
      </c>
      <c r="G7" s="16">
        <v>45809.0</v>
      </c>
    </row>
    <row r="8" ht="22.5" customHeight="1">
      <c r="A8" s="14" t="s">
        <v>59</v>
      </c>
      <c r="B8" s="15">
        <v>22.0</v>
      </c>
      <c r="C8" s="15">
        <v>50.0</v>
      </c>
      <c r="D8" s="15">
        <f t="shared" si="1"/>
        <v>1100</v>
      </c>
      <c r="E8" s="15">
        <f t="shared" si="2"/>
        <v>6.2</v>
      </c>
      <c r="F8" s="15">
        <v>310.0</v>
      </c>
      <c r="G8" s="16">
        <v>45839.0</v>
      </c>
    </row>
    <row r="9" ht="22.5" customHeight="1">
      <c r="A9" s="14" t="s">
        <v>60</v>
      </c>
      <c r="B9" s="15">
        <v>35.0</v>
      </c>
      <c r="C9" s="15">
        <v>25.0</v>
      </c>
      <c r="D9" s="15">
        <f t="shared" si="1"/>
        <v>875</v>
      </c>
      <c r="E9" s="15">
        <f t="shared" si="2"/>
        <v>11.6</v>
      </c>
      <c r="F9" s="15">
        <v>290.0</v>
      </c>
      <c r="G9" s="16">
        <v>45870.0</v>
      </c>
    </row>
    <row r="10" ht="22.5" customHeight="1">
      <c r="A10" s="14" t="s">
        <v>61</v>
      </c>
      <c r="B10" s="15">
        <v>12.0</v>
      </c>
      <c r="C10" s="15">
        <v>90.0</v>
      </c>
      <c r="D10" s="15">
        <f t="shared" si="1"/>
        <v>1080</v>
      </c>
      <c r="E10" s="15">
        <f t="shared" si="2"/>
        <v>3</v>
      </c>
      <c r="F10" s="15">
        <v>270.0</v>
      </c>
      <c r="G10" s="16">
        <v>45901.0</v>
      </c>
    </row>
    <row r="11" ht="22.5" customHeight="1">
      <c r="A11" s="14" t="s">
        <v>62</v>
      </c>
      <c r="B11" s="15">
        <v>60.0</v>
      </c>
      <c r="C11" s="15">
        <v>15.0</v>
      </c>
      <c r="D11" s="15">
        <f t="shared" si="1"/>
        <v>900</v>
      </c>
      <c r="E11" s="15">
        <f t="shared" si="2"/>
        <v>22</v>
      </c>
      <c r="F11" s="15">
        <v>330.0</v>
      </c>
      <c r="G11" s="16">
        <v>45931.0</v>
      </c>
    </row>
    <row r="12" ht="22.5" customHeight="1">
      <c r="A12" s="14" t="s">
        <v>63</v>
      </c>
      <c r="B12" s="15">
        <v>28.0</v>
      </c>
      <c r="C12" s="15">
        <v>45.0</v>
      </c>
      <c r="D12" s="15">
        <f t="shared" si="1"/>
        <v>1260</v>
      </c>
      <c r="E12" s="15">
        <f t="shared" si="2"/>
        <v>8.888888889</v>
      </c>
      <c r="F12" s="15">
        <v>400.0</v>
      </c>
      <c r="G12" s="16">
        <v>45962.0</v>
      </c>
    </row>
    <row r="13" ht="22.5" customHeight="1">
      <c r="A13" s="14" t="s">
        <v>64</v>
      </c>
      <c r="B13" s="15">
        <v>20.0</v>
      </c>
      <c r="C13" s="15">
        <v>65.0</v>
      </c>
      <c r="D13" s="15">
        <f t="shared" si="1"/>
        <v>1300</v>
      </c>
      <c r="E13" s="15">
        <f t="shared" si="2"/>
        <v>5.538461538</v>
      </c>
      <c r="F13" s="15">
        <v>360.0</v>
      </c>
      <c r="G13" s="16">
        <v>45992.0</v>
      </c>
    </row>
    <row r="14" ht="22.5" customHeight="1">
      <c r="A14" s="14" t="s">
        <v>65</v>
      </c>
      <c r="B14" s="15">
        <v>45.0</v>
      </c>
      <c r="C14" s="15">
        <v>22.0</v>
      </c>
      <c r="D14" s="15">
        <f t="shared" si="1"/>
        <v>990</v>
      </c>
      <c r="E14" s="15">
        <f t="shared" si="2"/>
        <v>15.45454545</v>
      </c>
      <c r="F14" s="15">
        <v>340.0</v>
      </c>
      <c r="G14" s="14" t="s">
        <v>66</v>
      </c>
    </row>
    <row r="15" ht="22.5" customHeight="1">
      <c r="A15" s="14" t="s">
        <v>67</v>
      </c>
      <c r="B15" s="15">
        <v>30.0</v>
      </c>
      <c r="C15" s="15">
        <v>38.0</v>
      </c>
      <c r="D15" s="15">
        <f t="shared" si="1"/>
        <v>1140</v>
      </c>
      <c r="E15" s="15">
        <f t="shared" si="2"/>
        <v>9.736842105</v>
      </c>
      <c r="F15" s="15">
        <v>370.0</v>
      </c>
      <c r="G15" s="14" t="s">
        <v>68</v>
      </c>
    </row>
    <row r="16" ht="22.5" customHeight="1">
      <c r="A16" s="14" t="s">
        <v>69</v>
      </c>
      <c r="B16" s="15">
        <v>16.0</v>
      </c>
      <c r="C16" s="15">
        <v>75.0</v>
      </c>
      <c r="D16" s="15">
        <f t="shared" si="1"/>
        <v>1200</v>
      </c>
      <c r="E16" s="15">
        <f t="shared" si="2"/>
        <v>3.866666667</v>
      </c>
      <c r="F16" s="15">
        <v>290.0</v>
      </c>
      <c r="G16" s="14" t="s">
        <v>70</v>
      </c>
    </row>
    <row r="17" ht="22.5" customHeight="1">
      <c r="A17" s="17"/>
      <c r="B17" s="18"/>
      <c r="C17" s="18"/>
      <c r="D17" s="18">
        <f>SUM(Table1[Sales for the Product])</f>
        <v>16105</v>
      </c>
      <c r="E17" s="18"/>
      <c r="F17" s="18"/>
      <c r="G17" s="19"/>
    </row>
  </sheetData>
  <dataValidations>
    <dataValidation type="custom" allowBlank="1" showDropDown="1" sqref="G2:G16">
      <formula1>OR(NOT(ISERROR(DATEVALUE(G2))), AND(ISNUMBER(G2), LEFT(CELL("format", G2))="D"))</formula1>
    </dataValidation>
    <dataValidation type="custom" allowBlank="1" showDropDown="1" sqref="B2:F1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</cols>
  <sheetData>
    <row r="1">
      <c r="A1" s="20" t="s">
        <v>47</v>
      </c>
      <c r="B1" s="20" t="s">
        <v>71</v>
      </c>
      <c r="C1" s="20" t="s">
        <v>18</v>
      </c>
      <c r="D1" s="20" t="s">
        <v>72</v>
      </c>
      <c r="E1" s="20" t="s">
        <v>73</v>
      </c>
      <c r="F1" s="20" t="s">
        <v>74</v>
      </c>
      <c r="G1" s="20" t="s">
        <v>52</v>
      </c>
    </row>
    <row r="2">
      <c r="A2" s="21" t="s">
        <v>75</v>
      </c>
      <c r="B2" s="22">
        <v>1200.0</v>
      </c>
      <c r="C2" s="21">
        <v>10.0</v>
      </c>
      <c r="D2" s="21" t="s">
        <v>76</v>
      </c>
      <c r="E2" s="21">
        <v>12000.0</v>
      </c>
      <c r="F2" s="23">
        <v>2500.0</v>
      </c>
      <c r="G2" s="24">
        <v>45303.0</v>
      </c>
    </row>
    <row r="3">
      <c r="A3" s="21" t="s">
        <v>77</v>
      </c>
      <c r="B3" s="22">
        <v>800.0</v>
      </c>
      <c r="C3" s="21" t="s">
        <v>78</v>
      </c>
      <c r="D3" s="21" t="s">
        <v>79</v>
      </c>
      <c r="E3" s="21">
        <v>4000.0</v>
      </c>
      <c r="F3" s="23">
        <v>1200.0</v>
      </c>
      <c r="G3" s="24">
        <v>45628.0</v>
      </c>
    </row>
    <row r="4">
      <c r="A4" s="21" t="s">
        <v>80</v>
      </c>
      <c r="B4" s="21">
        <v>150.0</v>
      </c>
      <c r="C4" s="21">
        <v>20.0</v>
      </c>
      <c r="D4" s="21" t="s">
        <v>81</v>
      </c>
      <c r="E4" s="25"/>
      <c r="F4" s="21">
        <v>600.0</v>
      </c>
      <c r="G4" s="21" t="s">
        <v>82</v>
      </c>
    </row>
    <row r="5">
      <c r="A5" s="21" t="s">
        <v>83</v>
      </c>
      <c r="B5" s="21" t="s">
        <v>84</v>
      </c>
      <c r="C5" s="21">
        <v>15.0</v>
      </c>
      <c r="D5" s="21" t="s">
        <v>85</v>
      </c>
      <c r="E5" s="21">
        <v>1200.0</v>
      </c>
      <c r="F5" s="21">
        <v>-200.0</v>
      </c>
      <c r="G5" s="26">
        <v>45356.0</v>
      </c>
    </row>
    <row r="6">
      <c r="A6" s="21" t="s">
        <v>86</v>
      </c>
      <c r="B6" s="21">
        <v>25.0</v>
      </c>
      <c r="C6" s="25"/>
      <c r="D6" s="21" t="s">
        <v>87</v>
      </c>
      <c r="E6" s="23">
        <v>500.0</v>
      </c>
      <c r="F6" s="21">
        <v>100.0</v>
      </c>
      <c r="G6" s="27">
        <v>45415.0</v>
      </c>
    </row>
    <row r="7">
      <c r="A7" s="21" t="s">
        <v>88</v>
      </c>
      <c r="B7" s="21">
        <v>300.0</v>
      </c>
      <c r="C7" s="21">
        <v>8.0</v>
      </c>
      <c r="D7" s="21" t="s">
        <v>89</v>
      </c>
      <c r="E7" s="23">
        <v>2400.0</v>
      </c>
      <c r="F7" s="21">
        <v>450.0</v>
      </c>
      <c r="G7" s="28">
        <v>45357.0</v>
      </c>
    </row>
    <row r="8">
      <c r="A8" s="21" t="s">
        <v>90</v>
      </c>
      <c r="B8" s="21">
        <v>200.0</v>
      </c>
      <c r="C8" s="21">
        <v>4.0</v>
      </c>
      <c r="D8" s="21" t="s">
        <v>91</v>
      </c>
      <c r="E8" s="21" t="s">
        <v>92</v>
      </c>
      <c r="F8" s="21">
        <v>150.0</v>
      </c>
      <c r="G8" s="29">
        <v>45476.0</v>
      </c>
    </row>
    <row r="9">
      <c r="A9" s="21" t="s">
        <v>93</v>
      </c>
      <c r="B9" s="22">
        <v>450.0</v>
      </c>
      <c r="C9" s="21" t="s">
        <v>94</v>
      </c>
      <c r="D9" s="21" t="s">
        <v>95</v>
      </c>
      <c r="E9" s="21">
        <v>2700.0</v>
      </c>
      <c r="F9" s="21">
        <v>900.0</v>
      </c>
      <c r="G9" s="21" t="s">
        <v>96</v>
      </c>
    </row>
    <row r="10">
      <c r="A10" s="21" t="s">
        <v>97</v>
      </c>
      <c r="B10" s="22">
        <v>1000.0</v>
      </c>
      <c r="C10" s="21">
        <v>2.0</v>
      </c>
      <c r="D10" s="21" t="s">
        <v>98</v>
      </c>
      <c r="E10" s="21">
        <v>2000.0</v>
      </c>
      <c r="F10" s="21" t="s">
        <v>99</v>
      </c>
      <c r="G10" s="21" t="s">
        <v>100</v>
      </c>
    </row>
    <row r="11">
      <c r="A11" s="21" t="s">
        <v>101</v>
      </c>
      <c r="B11" s="21">
        <v>180.0</v>
      </c>
      <c r="C11" s="21">
        <v>5.0</v>
      </c>
      <c r="D11" s="21" t="s">
        <v>102</v>
      </c>
      <c r="E11" s="21">
        <v>900.0</v>
      </c>
      <c r="F11" s="21">
        <v>250.0</v>
      </c>
      <c r="G11" s="26">
        <v>45568.0</v>
      </c>
    </row>
    <row r="12">
      <c r="A12" s="21" t="s">
        <v>103</v>
      </c>
      <c r="B12" s="21">
        <v>75.0</v>
      </c>
      <c r="C12" s="21" t="s">
        <v>104</v>
      </c>
      <c r="D12" s="21" t="s">
        <v>85</v>
      </c>
      <c r="E12" s="21">
        <v>750.0</v>
      </c>
      <c r="F12" s="21">
        <v>200.0</v>
      </c>
      <c r="G12" s="30">
        <v>45599.0</v>
      </c>
    </row>
    <row r="13">
      <c r="A13" s="21" t="s">
        <v>105</v>
      </c>
      <c r="B13" s="21">
        <v>90.0</v>
      </c>
      <c r="C13" s="21">
        <v>7.0</v>
      </c>
      <c r="D13" s="21" t="s">
        <v>106</v>
      </c>
      <c r="E13" s="21">
        <v>630.0</v>
      </c>
      <c r="F13" s="21">
        <v>180.0</v>
      </c>
      <c r="G13" s="21" t="s">
        <v>107</v>
      </c>
    </row>
    <row r="14">
      <c r="A14" s="21" t="s">
        <v>108</v>
      </c>
      <c r="B14" s="22">
        <v>150.0</v>
      </c>
      <c r="C14" s="21">
        <v>6.0</v>
      </c>
      <c r="D14" s="21" t="s">
        <v>109</v>
      </c>
      <c r="E14" s="21">
        <v>900.0</v>
      </c>
      <c r="F14" s="21">
        <v>300.0</v>
      </c>
      <c r="G14" s="21" t="s">
        <v>110</v>
      </c>
    </row>
    <row r="15">
      <c r="A15" s="21" t="s">
        <v>111</v>
      </c>
      <c r="B15" s="21">
        <v>120.0</v>
      </c>
      <c r="C15" s="21">
        <v>5.0</v>
      </c>
      <c r="D15" s="21" t="s">
        <v>112</v>
      </c>
      <c r="E15" s="21">
        <v>600.0</v>
      </c>
      <c r="F15" s="21">
        <v>220.0</v>
      </c>
      <c r="G15" s="24">
        <v>45367.0</v>
      </c>
    </row>
    <row r="16">
      <c r="A16" s="21" t="s">
        <v>113</v>
      </c>
      <c r="B16" s="21">
        <v>40.0</v>
      </c>
      <c r="C16" s="21">
        <v>12.0</v>
      </c>
      <c r="D16" s="21" t="s">
        <v>114</v>
      </c>
      <c r="E16" s="21">
        <v>480.0</v>
      </c>
      <c r="F16" s="21">
        <v>160.0</v>
      </c>
      <c r="G16" s="21" t="s">
        <v>115</v>
      </c>
    </row>
    <row r="17">
      <c r="B17" s="21">
        <v>1000.0</v>
      </c>
      <c r="C17" s="21">
        <v>2.0</v>
      </c>
      <c r="D17" s="21" t="s">
        <v>98</v>
      </c>
      <c r="E17" s="21">
        <v>2000.0</v>
      </c>
      <c r="F17" s="21">
        <v>300.0</v>
      </c>
      <c r="G17" s="21" t="s">
        <v>116</v>
      </c>
    </row>
  </sheetData>
  <autoFilter ref="$A$1:$Z$2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4.88"/>
    <col customWidth="1" min="3" max="3" width="14.13"/>
    <col customWidth="1" min="4" max="4" width="14.63"/>
    <col customWidth="1" min="5" max="5" width="14.13"/>
    <col customWidth="1" min="6" max="6" width="16.0"/>
  </cols>
  <sheetData>
    <row r="1">
      <c r="A1" s="20" t="s">
        <v>47</v>
      </c>
      <c r="B1" s="20" t="s">
        <v>117</v>
      </c>
      <c r="C1" s="20" t="s">
        <v>18</v>
      </c>
      <c r="D1" s="20" t="s">
        <v>72</v>
      </c>
      <c r="E1" s="20" t="s">
        <v>118</v>
      </c>
      <c r="F1" s="20" t="s">
        <v>119</v>
      </c>
      <c r="G1" s="20" t="s">
        <v>120</v>
      </c>
      <c r="H1" s="31" t="s">
        <v>121</v>
      </c>
    </row>
    <row r="2">
      <c r="A2" s="32" t="s">
        <v>75</v>
      </c>
      <c r="B2" s="32">
        <v>800.0</v>
      </c>
      <c r="C2" s="32">
        <v>2.0</v>
      </c>
      <c r="D2" s="32" t="s">
        <v>76</v>
      </c>
      <c r="E2" s="32">
        <v>1600.0</v>
      </c>
      <c r="F2" s="32">
        <v>240.0</v>
      </c>
      <c r="G2" s="33">
        <v>45413.0</v>
      </c>
    </row>
    <row r="3">
      <c r="A3" s="32" t="s">
        <v>77</v>
      </c>
      <c r="B3" s="32">
        <v>500.0</v>
      </c>
      <c r="C3" s="32">
        <v>3.0</v>
      </c>
      <c r="D3" s="32" t="s">
        <v>79</v>
      </c>
      <c r="E3" s="32">
        <v>1500.0</v>
      </c>
      <c r="F3" s="32">
        <v>300.0</v>
      </c>
      <c r="G3" s="33">
        <v>45474.0</v>
      </c>
    </row>
    <row r="4">
      <c r="A4" s="32" t="s">
        <v>80</v>
      </c>
      <c r="B4" s="32">
        <v>120.0</v>
      </c>
      <c r="C4" s="32">
        <v>5.0</v>
      </c>
      <c r="D4" s="32" t="s">
        <v>81</v>
      </c>
      <c r="E4" s="32">
        <v>600.0</v>
      </c>
      <c r="F4" s="32">
        <v>180.0</v>
      </c>
      <c r="G4" s="33">
        <v>45566.0</v>
      </c>
    </row>
    <row r="5">
      <c r="A5" s="32" t="s">
        <v>88</v>
      </c>
      <c r="B5" s="32">
        <v>300.0</v>
      </c>
      <c r="C5" s="32">
        <v>2.0</v>
      </c>
      <c r="D5" s="32" t="s">
        <v>89</v>
      </c>
      <c r="E5" s="32">
        <v>600.0</v>
      </c>
      <c r="F5" s="32">
        <v>120.0</v>
      </c>
      <c r="G5" s="33">
        <v>45627.0</v>
      </c>
    </row>
    <row r="6">
      <c r="A6" s="32" t="s">
        <v>83</v>
      </c>
      <c r="B6" s="32">
        <v>50.0</v>
      </c>
      <c r="C6" s="32">
        <v>6.0</v>
      </c>
      <c r="D6" s="32" t="s">
        <v>85</v>
      </c>
      <c r="E6" s="32">
        <v>300.0</v>
      </c>
      <c r="F6" s="32">
        <v>90.0</v>
      </c>
      <c r="G6" s="32" t="s">
        <v>122</v>
      </c>
    </row>
    <row r="7">
      <c r="A7" s="32" t="s">
        <v>86</v>
      </c>
      <c r="B7" s="32">
        <v>30.0</v>
      </c>
      <c r="C7" s="32">
        <v>10.0</v>
      </c>
      <c r="D7" s="32" t="s">
        <v>85</v>
      </c>
      <c r="E7" s="32">
        <v>300.0</v>
      </c>
      <c r="F7" s="32">
        <v>100.0</v>
      </c>
      <c r="G7" s="32" t="s">
        <v>123</v>
      </c>
    </row>
    <row r="8">
      <c r="A8" s="32" t="s">
        <v>93</v>
      </c>
      <c r="B8" s="32">
        <v>400.0</v>
      </c>
      <c r="C8" s="32">
        <v>2.0</v>
      </c>
      <c r="D8" s="32" t="s">
        <v>95</v>
      </c>
      <c r="E8" s="32">
        <v>800.0</v>
      </c>
      <c r="F8" s="32">
        <v>160.0</v>
      </c>
      <c r="G8" s="32" t="s">
        <v>124</v>
      </c>
    </row>
    <row r="9">
      <c r="A9" s="32" t="s">
        <v>75</v>
      </c>
      <c r="B9" s="32">
        <v>900.0</v>
      </c>
      <c r="C9" s="32">
        <v>1.0</v>
      </c>
      <c r="D9" s="32" t="s">
        <v>87</v>
      </c>
      <c r="E9" s="32">
        <v>900.0</v>
      </c>
      <c r="F9" s="32">
        <v>150.0</v>
      </c>
      <c r="G9" s="32" t="s">
        <v>125</v>
      </c>
    </row>
    <row r="10">
      <c r="A10" s="32" t="s">
        <v>77</v>
      </c>
      <c r="B10" s="32">
        <v>700.0</v>
      </c>
      <c r="C10" s="32">
        <v>2.0</v>
      </c>
      <c r="D10" s="32" t="s">
        <v>95</v>
      </c>
      <c r="E10" s="32">
        <v>1400.0</v>
      </c>
      <c r="F10" s="32">
        <v>280.0</v>
      </c>
      <c r="G10" s="32" t="s">
        <v>126</v>
      </c>
    </row>
    <row r="11">
      <c r="A11" s="32" t="s">
        <v>88</v>
      </c>
      <c r="B11" s="32">
        <v>280.0</v>
      </c>
      <c r="C11" s="32">
        <v>3.0</v>
      </c>
      <c r="D11" s="32" t="s">
        <v>79</v>
      </c>
      <c r="E11" s="32">
        <v>840.0</v>
      </c>
      <c r="F11" s="32">
        <v>200.0</v>
      </c>
      <c r="G11" s="32" t="s">
        <v>127</v>
      </c>
    </row>
    <row r="12">
      <c r="A12" s="32" t="s">
        <v>90</v>
      </c>
      <c r="B12" s="32">
        <v>200.0</v>
      </c>
      <c r="C12" s="32">
        <v>2.0</v>
      </c>
      <c r="D12" s="32" t="s">
        <v>91</v>
      </c>
      <c r="E12" s="32">
        <v>400.0</v>
      </c>
      <c r="F12" s="32">
        <v>80.0</v>
      </c>
      <c r="G12" s="33">
        <v>45324.0</v>
      </c>
    </row>
    <row r="13">
      <c r="A13" s="32" t="s">
        <v>80</v>
      </c>
      <c r="B13" s="32">
        <v>100.0</v>
      </c>
      <c r="C13" s="32">
        <v>4.0</v>
      </c>
      <c r="D13" s="32" t="s">
        <v>102</v>
      </c>
      <c r="E13" s="32">
        <v>400.0</v>
      </c>
      <c r="F13" s="32">
        <v>120.0</v>
      </c>
      <c r="G13" s="33">
        <v>45414.0</v>
      </c>
    </row>
    <row r="14">
      <c r="A14" s="32" t="s">
        <v>75</v>
      </c>
      <c r="B14" s="32">
        <v>850.0</v>
      </c>
      <c r="C14" s="32">
        <v>2.0</v>
      </c>
      <c r="D14" s="32" t="s">
        <v>76</v>
      </c>
      <c r="E14" s="32">
        <v>1700.0</v>
      </c>
      <c r="F14" s="32">
        <v>260.0</v>
      </c>
      <c r="G14" s="33">
        <v>45506.0</v>
      </c>
    </row>
    <row r="15">
      <c r="A15" s="32" t="s">
        <v>77</v>
      </c>
      <c r="B15" s="32">
        <v>450.0</v>
      </c>
      <c r="C15" s="32">
        <v>5.0</v>
      </c>
      <c r="D15" s="32" t="s">
        <v>128</v>
      </c>
      <c r="E15" s="32">
        <v>2250.0</v>
      </c>
      <c r="F15" s="32">
        <v>450.0</v>
      </c>
      <c r="G15" s="33">
        <v>45567.0</v>
      </c>
    </row>
    <row r="16">
      <c r="A16" s="32" t="s">
        <v>83</v>
      </c>
      <c r="B16" s="32">
        <v>60.0</v>
      </c>
      <c r="C16" s="32">
        <v>4.0</v>
      </c>
      <c r="D16" s="32" t="s">
        <v>87</v>
      </c>
      <c r="E16" s="32">
        <v>240.0</v>
      </c>
      <c r="F16" s="32">
        <v>70.0</v>
      </c>
      <c r="G16" s="33">
        <v>45628.0</v>
      </c>
    </row>
    <row r="17">
      <c r="A17" s="32" t="s">
        <v>86</v>
      </c>
      <c r="B17" s="32">
        <v>25.0</v>
      </c>
      <c r="C17" s="32">
        <v>12.0</v>
      </c>
      <c r="D17" s="32" t="s">
        <v>76</v>
      </c>
      <c r="E17" s="32">
        <v>300.0</v>
      </c>
      <c r="F17" s="32">
        <v>95.0</v>
      </c>
      <c r="G17" s="32" t="s">
        <v>129</v>
      </c>
    </row>
    <row r="18">
      <c r="A18" s="32" t="s">
        <v>93</v>
      </c>
      <c r="B18" s="32">
        <v>380.0</v>
      </c>
      <c r="C18" s="32">
        <v>3.0</v>
      </c>
      <c r="D18" s="32" t="s">
        <v>79</v>
      </c>
      <c r="E18" s="32">
        <v>1140.0</v>
      </c>
      <c r="F18" s="32">
        <v>220.0</v>
      </c>
      <c r="G18" s="32" t="s">
        <v>130</v>
      </c>
    </row>
    <row r="19">
      <c r="A19" s="32" t="s">
        <v>88</v>
      </c>
      <c r="B19" s="32">
        <v>320.0</v>
      </c>
      <c r="C19" s="32">
        <v>2.0</v>
      </c>
      <c r="D19" s="32" t="s">
        <v>89</v>
      </c>
      <c r="E19" s="32">
        <v>640.0</v>
      </c>
      <c r="F19" s="32">
        <v>130.0</v>
      </c>
      <c r="G19" s="32" t="s">
        <v>131</v>
      </c>
    </row>
    <row r="20">
      <c r="A20" s="32" t="s">
        <v>90</v>
      </c>
      <c r="B20" s="32">
        <v>220.0</v>
      </c>
      <c r="C20" s="32">
        <v>1.0</v>
      </c>
      <c r="D20" s="32" t="s">
        <v>87</v>
      </c>
      <c r="E20" s="32">
        <v>220.0</v>
      </c>
      <c r="F20" s="32">
        <v>40.0</v>
      </c>
      <c r="G20" s="32" t="s">
        <v>132</v>
      </c>
    </row>
    <row r="21">
      <c r="A21" s="32" t="s">
        <v>75</v>
      </c>
      <c r="B21" s="32">
        <v>780.0</v>
      </c>
      <c r="C21" s="32">
        <v>3.0</v>
      </c>
      <c r="D21" s="32" t="s">
        <v>133</v>
      </c>
      <c r="E21" s="32">
        <v>2340.0</v>
      </c>
      <c r="F21" s="32">
        <v>350.0</v>
      </c>
      <c r="G21" s="32" t="s">
        <v>134</v>
      </c>
    </row>
    <row r="22">
      <c r="A22" s="32" t="s">
        <v>77</v>
      </c>
      <c r="B22" s="32">
        <v>600.0</v>
      </c>
      <c r="C22" s="32">
        <v>4.0</v>
      </c>
      <c r="D22" s="32" t="s">
        <v>135</v>
      </c>
      <c r="E22" s="32">
        <v>2400.0</v>
      </c>
      <c r="F22" s="32">
        <v>480.0</v>
      </c>
      <c r="G22" s="32" t="s">
        <v>136</v>
      </c>
    </row>
    <row r="23">
      <c r="A23" s="32" t="s">
        <v>80</v>
      </c>
      <c r="B23" s="32">
        <v>150.0</v>
      </c>
      <c r="C23" s="32">
        <v>2.0</v>
      </c>
      <c r="D23" s="32" t="s">
        <v>137</v>
      </c>
      <c r="E23" s="32">
        <v>300.0</v>
      </c>
      <c r="F23" s="32">
        <v>90.0</v>
      </c>
      <c r="G23" s="33">
        <v>45294.0</v>
      </c>
    </row>
    <row r="24">
      <c r="A24" s="32" t="s">
        <v>83</v>
      </c>
      <c r="B24" s="32">
        <v>55.0</v>
      </c>
      <c r="C24" s="32">
        <v>7.0</v>
      </c>
      <c r="D24" s="32" t="s">
        <v>85</v>
      </c>
      <c r="E24" s="32">
        <v>385.0</v>
      </c>
      <c r="F24" s="32">
        <v>110.0</v>
      </c>
      <c r="G24" s="33">
        <v>45385.0</v>
      </c>
    </row>
    <row r="25">
      <c r="A25" s="32" t="s">
        <v>86</v>
      </c>
      <c r="B25" s="32">
        <v>35.0</v>
      </c>
      <c r="C25" s="32">
        <v>8.0</v>
      </c>
      <c r="D25" s="32" t="s">
        <v>87</v>
      </c>
      <c r="E25" s="32">
        <v>280.0</v>
      </c>
      <c r="F25" s="32">
        <v>85.0</v>
      </c>
      <c r="G25" s="33">
        <v>45476.0</v>
      </c>
    </row>
    <row r="26">
      <c r="A26" s="32" t="s">
        <v>93</v>
      </c>
      <c r="B26" s="32">
        <v>420.0</v>
      </c>
      <c r="C26" s="32">
        <v>2.0</v>
      </c>
      <c r="D26" s="32" t="s">
        <v>95</v>
      </c>
      <c r="E26" s="32">
        <v>840.0</v>
      </c>
      <c r="F26" s="32">
        <v>170.0</v>
      </c>
      <c r="G26" s="33">
        <v>45568.0</v>
      </c>
    </row>
    <row r="27">
      <c r="A27" s="32" t="s">
        <v>88</v>
      </c>
      <c r="B27" s="32">
        <v>310.0</v>
      </c>
      <c r="C27" s="32">
        <v>3.0</v>
      </c>
      <c r="D27" s="32" t="s">
        <v>76</v>
      </c>
      <c r="E27" s="32">
        <v>930.0</v>
      </c>
      <c r="F27" s="32">
        <v>210.0</v>
      </c>
      <c r="G27" s="33">
        <v>45629.0</v>
      </c>
    </row>
    <row r="28">
      <c r="A28" s="32" t="s">
        <v>90</v>
      </c>
      <c r="B28" s="32">
        <v>210.0</v>
      </c>
      <c r="C28" s="32">
        <v>2.0</v>
      </c>
      <c r="D28" s="32" t="s">
        <v>138</v>
      </c>
      <c r="E28" s="32">
        <v>420.0</v>
      </c>
      <c r="F28" s="32">
        <v>75.0</v>
      </c>
      <c r="G28" s="32" t="s">
        <v>139</v>
      </c>
    </row>
    <row r="29">
      <c r="A29" s="32" t="s">
        <v>75</v>
      </c>
      <c r="B29" s="32">
        <v>950.0</v>
      </c>
      <c r="C29" s="32">
        <v>1.0</v>
      </c>
      <c r="D29" s="32" t="s">
        <v>95</v>
      </c>
      <c r="E29" s="32">
        <v>950.0</v>
      </c>
      <c r="F29" s="32">
        <v>190.0</v>
      </c>
      <c r="G29" s="32" t="s">
        <v>140</v>
      </c>
    </row>
    <row r="30">
      <c r="A30" s="32" t="s">
        <v>77</v>
      </c>
      <c r="B30" s="32">
        <v>520.0</v>
      </c>
      <c r="C30" s="32">
        <v>3.0</v>
      </c>
      <c r="D30" s="32" t="s">
        <v>79</v>
      </c>
      <c r="E30" s="32">
        <v>1560.0</v>
      </c>
      <c r="F30" s="32">
        <v>300.0</v>
      </c>
      <c r="G30" s="32" t="s">
        <v>141</v>
      </c>
    </row>
    <row r="31">
      <c r="A31" s="32" t="s">
        <v>80</v>
      </c>
      <c r="B31" s="32">
        <v>130.0</v>
      </c>
      <c r="C31" s="32">
        <v>4.0</v>
      </c>
      <c r="D31" s="32" t="s">
        <v>81</v>
      </c>
      <c r="E31" s="32">
        <v>520.0</v>
      </c>
      <c r="F31" s="32">
        <v>150.0</v>
      </c>
      <c r="G31" s="32" t="s">
        <v>142</v>
      </c>
    </row>
    <row r="32">
      <c r="C32" s="7">
        <v>9.0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13"/>
    <col customWidth="1" min="3" max="3" width="15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4.88"/>
    <col customWidth="1" min="3" max="3" width="14.13"/>
    <col customWidth="1" min="4" max="4" width="14.63"/>
    <col customWidth="1" min="5" max="5" width="14.13"/>
    <col customWidth="1" min="6" max="6" width="16.0"/>
  </cols>
  <sheetData>
    <row r="1">
      <c r="A1" s="20" t="s">
        <v>47</v>
      </c>
      <c r="B1" s="20" t="s">
        <v>18</v>
      </c>
      <c r="C1" s="20" t="s">
        <v>117</v>
      </c>
      <c r="D1" s="20" t="s">
        <v>18</v>
      </c>
      <c r="E1" s="20" t="s">
        <v>72</v>
      </c>
      <c r="F1" s="20" t="s">
        <v>118</v>
      </c>
      <c r="G1" s="20" t="s">
        <v>119</v>
      </c>
      <c r="H1" s="20" t="s">
        <v>120</v>
      </c>
    </row>
    <row r="2">
      <c r="A2" s="7" t="s">
        <v>97</v>
      </c>
      <c r="B2" s="7">
        <v>5.0</v>
      </c>
      <c r="C2" s="32">
        <v>800.0</v>
      </c>
      <c r="D2" s="32">
        <v>2.0</v>
      </c>
      <c r="E2" s="32" t="s">
        <v>76</v>
      </c>
      <c r="F2" s="32">
        <v>1600.0</v>
      </c>
      <c r="G2" s="32">
        <v>240.0</v>
      </c>
      <c r="H2" s="33">
        <v>45413.0</v>
      </c>
    </row>
    <row r="3">
      <c r="A3" s="7" t="s">
        <v>97</v>
      </c>
      <c r="B3" s="7">
        <v>6.0</v>
      </c>
      <c r="C3" s="32">
        <v>500.0</v>
      </c>
      <c r="D3" s="32">
        <v>3.0</v>
      </c>
      <c r="E3" s="32" t="s">
        <v>79</v>
      </c>
      <c r="F3" s="32">
        <v>1500.0</v>
      </c>
      <c r="G3" s="32">
        <v>300.0</v>
      </c>
      <c r="H3" s="33">
        <v>45474.0</v>
      </c>
    </row>
    <row r="4">
      <c r="A4" s="7" t="s">
        <v>148</v>
      </c>
      <c r="B4" s="7">
        <v>30.0</v>
      </c>
      <c r="C4" s="32">
        <v>120.0</v>
      </c>
      <c r="D4" s="32">
        <v>5.0</v>
      </c>
      <c r="E4" s="32" t="s">
        <v>81</v>
      </c>
      <c r="F4" s="32">
        <v>600.0</v>
      </c>
      <c r="G4" s="32">
        <v>180.0</v>
      </c>
      <c r="H4" s="33">
        <v>45566.0</v>
      </c>
    </row>
    <row r="5">
      <c r="A5" s="7" t="s">
        <v>148</v>
      </c>
      <c r="B5" s="7">
        <v>44.0</v>
      </c>
      <c r="C5" s="32">
        <v>300.0</v>
      </c>
      <c r="D5" s="32">
        <v>2.0</v>
      </c>
      <c r="E5" s="32" t="s">
        <v>89</v>
      </c>
      <c r="F5" s="32">
        <v>600.0</v>
      </c>
      <c r="G5" s="32">
        <v>120.0</v>
      </c>
      <c r="H5" s="33">
        <v>45627.0</v>
      </c>
    </row>
    <row r="6">
      <c r="A6" s="7" t="s">
        <v>149</v>
      </c>
      <c r="B6" s="7">
        <v>3.0</v>
      </c>
      <c r="C6" s="32">
        <v>50.0</v>
      </c>
      <c r="D6" s="32">
        <v>6.0</v>
      </c>
      <c r="E6" s="32" t="s">
        <v>85</v>
      </c>
      <c r="F6" s="32">
        <v>300.0</v>
      </c>
      <c r="G6" s="32">
        <v>90.0</v>
      </c>
      <c r="H6" s="32" t="s">
        <v>122</v>
      </c>
    </row>
    <row r="7">
      <c r="A7" s="7" t="s">
        <v>149</v>
      </c>
      <c r="B7" s="7">
        <v>5.0</v>
      </c>
      <c r="C7" s="32">
        <v>30.0</v>
      </c>
      <c r="D7" s="32">
        <v>10.0</v>
      </c>
      <c r="E7" s="32" t="s">
        <v>85</v>
      </c>
      <c r="F7" s="32">
        <v>300.0</v>
      </c>
      <c r="G7" s="32">
        <v>100.0</v>
      </c>
      <c r="H7" s="32" t="s">
        <v>123</v>
      </c>
    </row>
    <row r="8">
      <c r="A8" s="7" t="s">
        <v>150</v>
      </c>
      <c r="B8" s="7">
        <v>10.0</v>
      </c>
      <c r="C8" s="32">
        <v>400.0</v>
      </c>
      <c r="D8" s="32">
        <v>2.0</v>
      </c>
      <c r="E8" s="32" t="s">
        <v>95</v>
      </c>
      <c r="F8" s="32">
        <v>800.0</v>
      </c>
      <c r="G8" s="32">
        <v>160.0</v>
      </c>
      <c r="H8" s="32" t="s">
        <v>124</v>
      </c>
    </row>
    <row r="9">
      <c r="A9" s="7" t="s">
        <v>151</v>
      </c>
      <c r="B9" s="7">
        <v>11.0</v>
      </c>
      <c r="C9" s="32">
        <v>900.0</v>
      </c>
      <c r="D9" s="32">
        <v>1.0</v>
      </c>
      <c r="E9" s="32" t="s">
        <v>87</v>
      </c>
      <c r="F9" s="32">
        <v>900.0</v>
      </c>
      <c r="G9" s="32">
        <v>150.0</v>
      </c>
      <c r="H9" s="32" t="s">
        <v>125</v>
      </c>
    </row>
    <row r="10">
      <c r="A10" s="7" t="s">
        <v>152</v>
      </c>
      <c r="B10" s="7">
        <v>20.0</v>
      </c>
      <c r="C10" s="32">
        <v>700.0</v>
      </c>
      <c r="D10" s="32">
        <v>2.0</v>
      </c>
      <c r="E10" s="32" t="s">
        <v>95</v>
      </c>
      <c r="F10" s="32">
        <v>1400.0</v>
      </c>
      <c r="G10" s="32">
        <v>280.0</v>
      </c>
      <c r="H10" s="32" t="s">
        <v>126</v>
      </c>
    </row>
    <row r="11">
      <c r="A11" s="7" t="s">
        <v>152</v>
      </c>
      <c r="B11" s="7">
        <v>16.0</v>
      </c>
      <c r="C11" s="32">
        <v>280.0</v>
      </c>
      <c r="D11" s="32">
        <v>3.0</v>
      </c>
      <c r="E11" s="32" t="s">
        <v>79</v>
      </c>
      <c r="F11" s="32">
        <v>840.0</v>
      </c>
      <c r="G11" s="32">
        <v>200.0</v>
      </c>
      <c r="H11" s="32" t="s">
        <v>127</v>
      </c>
    </row>
    <row r="12">
      <c r="A12" s="7" t="s">
        <v>153</v>
      </c>
      <c r="B12" s="7">
        <v>4.0</v>
      </c>
      <c r="C12" s="32">
        <v>200.0</v>
      </c>
      <c r="D12" s="32">
        <v>2.0</v>
      </c>
      <c r="E12" s="32" t="s">
        <v>91</v>
      </c>
      <c r="F12" s="32">
        <v>400.0</v>
      </c>
      <c r="G12" s="32">
        <v>80.0</v>
      </c>
      <c r="H12" s="33">
        <v>45324.0</v>
      </c>
    </row>
    <row r="13">
      <c r="A13" s="7" t="s">
        <v>153</v>
      </c>
      <c r="B13" s="7">
        <v>5.0</v>
      </c>
      <c r="C13" s="32">
        <v>100.0</v>
      </c>
      <c r="D13" s="32">
        <v>4.0</v>
      </c>
      <c r="E13" s="32" t="s">
        <v>102</v>
      </c>
      <c r="F13" s="32">
        <v>400.0</v>
      </c>
      <c r="G13" s="32">
        <v>120.0</v>
      </c>
      <c r="H13" s="33">
        <v>45414.0</v>
      </c>
    </row>
    <row r="14">
      <c r="A14" s="7" t="s">
        <v>80</v>
      </c>
      <c r="B14" s="7">
        <v>18.0</v>
      </c>
      <c r="C14" s="32">
        <v>850.0</v>
      </c>
      <c r="D14" s="32">
        <v>2.0</v>
      </c>
      <c r="E14" s="32" t="s">
        <v>76</v>
      </c>
      <c r="F14" s="32">
        <v>1700.0</v>
      </c>
      <c r="G14" s="32">
        <v>260.0</v>
      </c>
      <c r="H14" s="33">
        <v>45506.0</v>
      </c>
    </row>
    <row r="15">
      <c r="A15" s="7" t="s">
        <v>80</v>
      </c>
      <c r="B15" s="7">
        <v>22.0</v>
      </c>
      <c r="C15" s="32">
        <v>450.0</v>
      </c>
      <c r="D15" s="32">
        <v>5.0</v>
      </c>
      <c r="E15" s="32" t="s">
        <v>128</v>
      </c>
      <c r="F15" s="32">
        <v>2250.0</v>
      </c>
      <c r="G15" s="32">
        <v>450.0</v>
      </c>
      <c r="H15" s="33">
        <v>45567.0</v>
      </c>
    </row>
    <row r="16">
      <c r="A16" s="7" t="s">
        <v>83</v>
      </c>
      <c r="B16" s="7">
        <v>20.0</v>
      </c>
      <c r="C16" s="32">
        <v>60.0</v>
      </c>
      <c r="D16" s="32">
        <v>4.0</v>
      </c>
      <c r="E16" s="32" t="s">
        <v>87</v>
      </c>
      <c r="F16" s="32">
        <v>240.0</v>
      </c>
      <c r="G16" s="32">
        <v>70.0</v>
      </c>
      <c r="H16" s="33">
        <v>45628.0</v>
      </c>
    </row>
    <row r="17">
      <c r="A17" s="7" t="s">
        <v>83</v>
      </c>
      <c r="B17" s="7">
        <v>23.0</v>
      </c>
      <c r="C17" s="32">
        <v>25.0</v>
      </c>
      <c r="D17" s="32">
        <v>12.0</v>
      </c>
      <c r="E17" s="32" t="s">
        <v>76</v>
      </c>
      <c r="F17" s="32">
        <v>300.0</v>
      </c>
      <c r="G17" s="32">
        <v>95.0</v>
      </c>
      <c r="H17" s="32" t="s">
        <v>129</v>
      </c>
    </row>
    <row r="18">
      <c r="A18" s="7" t="s">
        <v>75</v>
      </c>
      <c r="B18" s="7">
        <v>3.0</v>
      </c>
      <c r="C18" s="32">
        <v>380.0</v>
      </c>
      <c r="D18" s="32">
        <v>3.0</v>
      </c>
      <c r="E18" s="32" t="s">
        <v>79</v>
      </c>
      <c r="F18" s="32">
        <v>1140.0</v>
      </c>
      <c r="G18" s="32">
        <v>220.0</v>
      </c>
      <c r="H18" s="32" t="s">
        <v>130</v>
      </c>
    </row>
    <row r="19">
      <c r="A19" s="7" t="s">
        <v>75</v>
      </c>
      <c r="B19" s="7">
        <v>5.0</v>
      </c>
      <c r="C19" s="32">
        <v>320.0</v>
      </c>
      <c r="D19" s="32">
        <v>2.0</v>
      </c>
      <c r="E19" s="32" t="s">
        <v>89</v>
      </c>
      <c r="F19" s="32">
        <v>640.0</v>
      </c>
      <c r="G19" s="32">
        <v>130.0</v>
      </c>
      <c r="H19" s="32" t="s">
        <v>131</v>
      </c>
    </row>
    <row r="20">
      <c r="A20" s="7" t="s">
        <v>154</v>
      </c>
      <c r="B20" s="7">
        <v>20.0</v>
      </c>
      <c r="C20" s="32">
        <v>220.0</v>
      </c>
      <c r="D20" s="32">
        <v>1.0</v>
      </c>
      <c r="E20" s="32" t="s">
        <v>87</v>
      </c>
      <c r="F20" s="32">
        <v>220.0</v>
      </c>
      <c r="G20" s="32">
        <v>40.0</v>
      </c>
      <c r="H20" s="32" t="s">
        <v>132</v>
      </c>
    </row>
    <row r="21">
      <c r="A21" s="7" t="s">
        <v>154</v>
      </c>
      <c r="B21" s="7">
        <v>25.0</v>
      </c>
      <c r="C21" s="32">
        <v>780.0</v>
      </c>
      <c r="D21" s="32">
        <v>3.0</v>
      </c>
      <c r="E21" s="32" t="s">
        <v>133</v>
      </c>
      <c r="F21" s="32">
        <v>2340.0</v>
      </c>
      <c r="G21" s="32">
        <v>350.0</v>
      </c>
      <c r="H21" s="32" t="s">
        <v>134</v>
      </c>
    </row>
    <row r="22">
      <c r="A22" s="7" t="s">
        <v>88</v>
      </c>
      <c r="B22" s="7">
        <v>12.0</v>
      </c>
      <c r="C22" s="32">
        <v>600.0</v>
      </c>
      <c r="D22" s="32">
        <v>4.0</v>
      </c>
      <c r="E22" s="32" t="s">
        <v>135</v>
      </c>
      <c r="F22" s="32">
        <v>2400.0</v>
      </c>
      <c r="G22" s="32">
        <v>480.0</v>
      </c>
      <c r="H22" s="32" t="s">
        <v>136</v>
      </c>
    </row>
    <row r="23">
      <c r="A23" s="7" t="s">
        <v>88</v>
      </c>
      <c r="B23" s="7">
        <v>12.0</v>
      </c>
      <c r="C23" s="32">
        <v>150.0</v>
      </c>
      <c r="D23" s="32">
        <v>2.0</v>
      </c>
      <c r="E23" s="32" t="s">
        <v>137</v>
      </c>
      <c r="F23" s="32">
        <v>300.0</v>
      </c>
      <c r="G23" s="32">
        <v>90.0</v>
      </c>
      <c r="H23" s="33">
        <v>45294.0</v>
      </c>
    </row>
    <row r="24">
      <c r="A24" s="7" t="s">
        <v>86</v>
      </c>
      <c r="B24" s="7">
        <v>18.0</v>
      </c>
      <c r="C24" s="32">
        <v>55.0</v>
      </c>
      <c r="D24" s="32">
        <v>7.0</v>
      </c>
      <c r="E24" s="32" t="s">
        <v>85</v>
      </c>
      <c r="F24" s="32">
        <v>385.0</v>
      </c>
      <c r="G24" s="32">
        <v>110.0</v>
      </c>
      <c r="H24" s="33">
        <v>45385.0</v>
      </c>
    </row>
    <row r="25">
      <c r="A25" s="7" t="s">
        <v>86</v>
      </c>
      <c r="B25" s="7">
        <v>21.0</v>
      </c>
      <c r="C25" s="32">
        <v>35.0</v>
      </c>
      <c r="D25" s="32">
        <v>8.0</v>
      </c>
      <c r="E25" s="32" t="s">
        <v>87</v>
      </c>
      <c r="F25" s="32">
        <v>280.0</v>
      </c>
      <c r="G25" s="32">
        <v>85.0</v>
      </c>
      <c r="H25" s="33">
        <v>45476.0</v>
      </c>
    </row>
    <row r="26">
      <c r="A26" s="7" t="s">
        <v>155</v>
      </c>
      <c r="B26" s="7">
        <v>40.0</v>
      </c>
      <c r="C26" s="32">
        <v>420.0</v>
      </c>
      <c r="D26" s="32">
        <v>2.0</v>
      </c>
      <c r="E26" s="32" t="s">
        <v>95</v>
      </c>
      <c r="F26" s="32">
        <v>840.0</v>
      </c>
      <c r="G26" s="32">
        <v>170.0</v>
      </c>
      <c r="H26" s="33">
        <v>45568.0</v>
      </c>
    </row>
    <row r="27">
      <c r="A27" s="7" t="s">
        <v>155</v>
      </c>
      <c r="B27" s="7">
        <v>43.0</v>
      </c>
      <c r="C27" s="32">
        <v>310.0</v>
      </c>
      <c r="D27" s="32">
        <v>3.0</v>
      </c>
      <c r="E27" s="32" t="s">
        <v>76</v>
      </c>
      <c r="F27" s="32">
        <v>930.0</v>
      </c>
      <c r="G27" s="32">
        <v>210.0</v>
      </c>
      <c r="H27" s="33">
        <v>45629.0</v>
      </c>
    </row>
    <row r="28">
      <c r="A28" s="7" t="s">
        <v>156</v>
      </c>
      <c r="B28" s="7">
        <v>30.0</v>
      </c>
      <c r="C28" s="32">
        <v>210.0</v>
      </c>
      <c r="D28" s="32">
        <v>2.0</v>
      </c>
      <c r="E28" s="32" t="s">
        <v>138</v>
      </c>
      <c r="F28" s="32">
        <v>420.0</v>
      </c>
      <c r="G28" s="32">
        <v>75.0</v>
      </c>
      <c r="H28" s="32" t="s">
        <v>139</v>
      </c>
    </row>
    <row r="29">
      <c r="A29" s="7" t="s">
        <v>113</v>
      </c>
      <c r="B29" s="7">
        <v>34.0</v>
      </c>
      <c r="C29" s="32">
        <v>950.0</v>
      </c>
      <c r="D29" s="32">
        <v>1.0</v>
      </c>
      <c r="E29" s="32" t="s">
        <v>95</v>
      </c>
      <c r="F29" s="32">
        <v>950.0</v>
      </c>
      <c r="G29" s="32">
        <v>190.0</v>
      </c>
      <c r="H29" s="32" t="s">
        <v>140</v>
      </c>
    </row>
    <row r="30">
      <c r="A30" s="7" t="s">
        <v>157</v>
      </c>
      <c r="B30" s="7">
        <v>10.0</v>
      </c>
      <c r="C30" s="32">
        <v>520.0</v>
      </c>
      <c r="D30" s="32">
        <v>3.0</v>
      </c>
      <c r="E30" s="32" t="s">
        <v>79</v>
      </c>
      <c r="F30" s="32">
        <v>1560.0</v>
      </c>
      <c r="G30" s="32">
        <v>300.0</v>
      </c>
      <c r="H30" s="32" t="s">
        <v>141</v>
      </c>
    </row>
    <row r="31">
      <c r="A31" s="7" t="s">
        <v>156</v>
      </c>
      <c r="B31" s="7">
        <v>8.0</v>
      </c>
      <c r="C31" s="32">
        <v>130.0</v>
      </c>
      <c r="D31" s="32">
        <v>4.0</v>
      </c>
      <c r="E31" s="32" t="s">
        <v>81</v>
      </c>
      <c r="F31" s="32">
        <v>520.0</v>
      </c>
      <c r="G31" s="32">
        <v>150.0</v>
      </c>
      <c r="H31" s="32" t="s">
        <v>142</v>
      </c>
    </row>
    <row r="32">
      <c r="A32" s="7" t="s">
        <v>158</v>
      </c>
      <c r="B32" s="7">
        <v>12.0</v>
      </c>
      <c r="C32" s="32">
        <v>189.0</v>
      </c>
      <c r="D32" s="32">
        <v>5.0</v>
      </c>
      <c r="E32" s="32" t="s">
        <v>133</v>
      </c>
      <c r="F32" s="32">
        <v>600.0</v>
      </c>
      <c r="G32" s="32">
        <v>150.0</v>
      </c>
      <c r="H32" s="32" t="s">
        <v>159</v>
      </c>
    </row>
    <row r="33">
      <c r="A33" s="7"/>
    </row>
    <row r="34">
      <c r="A34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31" t="s">
        <v>72</v>
      </c>
      <c r="B1" s="31" t="s">
        <v>144</v>
      </c>
    </row>
    <row r="2">
      <c r="A2" s="31" t="s">
        <v>95</v>
      </c>
      <c r="B2" s="31">
        <v>7.0</v>
      </c>
    </row>
    <row r="3">
      <c r="A3" s="31" t="s">
        <v>137</v>
      </c>
      <c r="B3" s="31">
        <v>2.0</v>
      </c>
    </row>
    <row r="4">
      <c r="A4" s="31" t="s">
        <v>91</v>
      </c>
      <c r="B4" s="31">
        <v>2.0</v>
      </c>
    </row>
    <row r="5">
      <c r="A5" s="31" t="s">
        <v>76</v>
      </c>
      <c r="B5" s="31">
        <v>7.0</v>
      </c>
    </row>
    <row r="6">
      <c r="A6" s="31" t="s">
        <v>138</v>
      </c>
      <c r="B6" s="31">
        <v>2.0</v>
      </c>
    </row>
    <row r="7">
      <c r="A7" s="31" t="s">
        <v>87</v>
      </c>
      <c r="B7" s="31">
        <v>2.0</v>
      </c>
    </row>
    <row r="8">
      <c r="A8" s="31" t="s">
        <v>102</v>
      </c>
      <c r="B8" s="31">
        <v>4.0</v>
      </c>
    </row>
    <row r="9">
      <c r="A9" s="31" t="s">
        <v>133</v>
      </c>
      <c r="B9" s="31">
        <v>8.0</v>
      </c>
    </row>
    <row r="10">
      <c r="A10" s="31" t="s">
        <v>89</v>
      </c>
      <c r="B10" s="31">
        <v>4.0</v>
      </c>
    </row>
    <row r="11">
      <c r="A11" s="31" t="s">
        <v>135</v>
      </c>
      <c r="B11" s="31">
        <v>4.0</v>
      </c>
    </row>
    <row r="12">
      <c r="A12" s="31" t="s">
        <v>79</v>
      </c>
      <c r="B12" s="31">
        <v>12.0</v>
      </c>
    </row>
    <row r="13">
      <c r="A13" s="31" t="s">
        <v>81</v>
      </c>
      <c r="B13" s="31">
        <v>9.0</v>
      </c>
    </row>
    <row r="14">
      <c r="A14" s="31" t="s">
        <v>128</v>
      </c>
      <c r="B14" s="31">
        <v>5.0</v>
      </c>
    </row>
    <row r="15">
      <c r="A15" s="7" t="s">
        <v>147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4" t="s">
        <v>47</v>
      </c>
      <c r="B1" s="35" t="s">
        <v>117</v>
      </c>
      <c r="C1" s="35" t="s">
        <v>18</v>
      </c>
      <c r="D1" s="35" t="s">
        <v>72</v>
      </c>
      <c r="E1" s="35" t="s">
        <v>118</v>
      </c>
      <c r="F1" s="35" t="s">
        <v>119</v>
      </c>
      <c r="G1" s="35" t="s">
        <v>120</v>
      </c>
      <c r="H1" s="36"/>
    </row>
    <row r="2">
      <c r="A2" s="37" t="s">
        <v>77</v>
      </c>
      <c r="B2" s="38">
        <v>500.0</v>
      </c>
      <c r="C2" s="38">
        <v>3.0</v>
      </c>
      <c r="D2" s="38" t="s">
        <v>79</v>
      </c>
      <c r="E2" s="38">
        <v>1500.0</v>
      </c>
      <c r="F2" s="38">
        <v>300.0</v>
      </c>
      <c r="G2" s="39">
        <v>45474.0</v>
      </c>
      <c r="H2" s="40"/>
    </row>
    <row r="3">
      <c r="A3" s="37" t="s">
        <v>88</v>
      </c>
      <c r="B3" s="38">
        <v>280.0</v>
      </c>
      <c r="C3" s="38">
        <v>3.0</v>
      </c>
      <c r="D3" s="38" t="s">
        <v>79</v>
      </c>
      <c r="E3" s="38">
        <v>840.0</v>
      </c>
      <c r="F3" s="38">
        <v>200.0</v>
      </c>
      <c r="G3" s="38" t="s">
        <v>127</v>
      </c>
      <c r="H3" s="40"/>
    </row>
    <row r="4">
      <c r="A4" s="37" t="s">
        <v>93</v>
      </c>
      <c r="B4" s="38">
        <v>380.0</v>
      </c>
      <c r="C4" s="38">
        <v>3.0</v>
      </c>
      <c r="D4" s="38" t="s">
        <v>79</v>
      </c>
      <c r="E4" s="38">
        <v>1140.0</v>
      </c>
      <c r="F4" s="38">
        <v>220.0</v>
      </c>
      <c r="G4" s="38" t="s">
        <v>130</v>
      </c>
      <c r="H4" s="40"/>
    </row>
    <row r="5">
      <c r="A5" s="37" t="s">
        <v>77</v>
      </c>
      <c r="B5" s="38">
        <v>520.0</v>
      </c>
      <c r="C5" s="38">
        <v>3.0</v>
      </c>
      <c r="D5" s="38" t="s">
        <v>79</v>
      </c>
      <c r="E5" s="38">
        <v>1560.0</v>
      </c>
      <c r="F5" s="38">
        <v>300.0</v>
      </c>
      <c r="G5" s="38" t="s">
        <v>141</v>
      </c>
      <c r="H5" s="40"/>
    </row>
  </sheetData>
  <drawing r:id="rId1"/>
  <tableParts count="1">
    <tablePart r:id="rId3"/>
  </tableParts>
</worksheet>
</file>