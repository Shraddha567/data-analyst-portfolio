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Sales" sheetId="2" r:id="rId6"/>
    <sheet state="visible" name="Customer" sheetId="3" r:id="rId7"/>
  </sheets>
  <definedNames/>
  <calcPr/>
</workbook>
</file>

<file path=xl/sharedStrings.xml><?xml version="1.0" encoding="utf-8"?>
<sst xmlns="http://schemas.openxmlformats.org/spreadsheetml/2006/main" count="196" uniqueCount="115">
  <si>
    <t>Department</t>
  </si>
  <si>
    <t>Employee ID</t>
  </si>
  <si>
    <t>First Name</t>
  </si>
  <si>
    <t>Last Name</t>
  </si>
  <si>
    <t>Location</t>
  </si>
  <si>
    <t>Marketing</t>
  </si>
  <si>
    <t>E001</t>
  </si>
  <si>
    <t>John</t>
  </si>
  <si>
    <t>Doe</t>
  </si>
  <si>
    <t>New York</t>
  </si>
  <si>
    <t>Sales</t>
  </si>
  <si>
    <t>E002</t>
  </si>
  <si>
    <t>Jane</t>
  </si>
  <si>
    <t>Smith</t>
  </si>
  <si>
    <t>Los Angeles</t>
  </si>
  <si>
    <t>HR</t>
  </si>
  <si>
    <t>E003</t>
  </si>
  <si>
    <t>Sarah</t>
  </si>
  <si>
    <t>Connor</t>
  </si>
  <si>
    <t>San Francisco</t>
  </si>
  <si>
    <t>IT</t>
  </si>
  <si>
    <t>E004</t>
  </si>
  <si>
    <t>Mike</t>
  </si>
  <si>
    <t>Jordan</t>
  </si>
  <si>
    <t>Chicago</t>
  </si>
  <si>
    <t>Finance</t>
  </si>
  <si>
    <t>E005</t>
  </si>
  <si>
    <t>Emily</t>
  </si>
  <si>
    <t>Clarke</t>
  </si>
  <si>
    <t>Boston</t>
  </si>
  <si>
    <t>E006</t>
  </si>
  <si>
    <t>Paul</t>
  </si>
  <si>
    <t>Allen</t>
  </si>
  <si>
    <t>E007</t>
  </si>
  <si>
    <t>Linda</t>
  </si>
  <si>
    <t>Lee</t>
  </si>
  <si>
    <t>E008</t>
  </si>
  <si>
    <t>Steve</t>
  </si>
  <si>
    <t>Rogers</t>
  </si>
  <si>
    <t>E009</t>
  </si>
  <si>
    <t>Natasha</t>
  </si>
  <si>
    <t>Romanoff</t>
  </si>
  <si>
    <t>E010</t>
  </si>
  <si>
    <t>Peter</t>
  </si>
  <si>
    <t>Parker</t>
  </si>
  <si>
    <t>E011</t>
  </si>
  <si>
    <t>Tony</t>
  </si>
  <si>
    <t>Stark</t>
  </si>
  <si>
    <t>E012</t>
  </si>
  <si>
    <t>Bruce</t>
  </si>
  <si>
    <t>Banner</t>
  </si>
  <si>
    <t>E013</t>
  </si>
  <si>
    <t>Wanda</t>
  </si>
  <si>
    <t>Maximoff</t>
  </si>
  <si>
    <t>E014</t>
  </si>
  <si>
    <t>Clint</t>
  </si>
  <si>
    <t>Barton</t>
  </si>
  <si>
    <t>E015</t>
  </si>
  <si>
    <t>Thor</t>
  </si>
  <si>
    <t>Odinson</t>
  </si>
  <si>
    <t>E016</t>
  </si>
  <si>
    <t>Diana</t>
  </si>
  <si>
    <t>Prince</t>
  </si>
  <si>
    <t>E017</t>
  </si>
  <si>
    <t>Clark</t>
  </si>
  <si>
    <t>Kent</t>
  </si>
  <si>
    <t>E018</t>
  </si>
  <si>
    <t>Barry</t>
  </si>
  <si>
    <t>E019</t>
  </si>
  <si>
    <t>Arthur</t>
  </si>
  <si>
    <t>Curry</t>
  </si>
  <si>
    <t>E020</t>
  </si>
  <si>
    <t>Carol</t>
  </si>
  <si>
    <t>Danvers</t>
  </si>
  <si>
    <t>E021</t>
  </si>
  <si>
    <t>Scott</t>
  </si>
  <si>
    <t>Lang</t>
  </si>
  <si>
    <t>E022</t>
  </si>
  <si>
    <t>Stephen</t>
  </si>
  <si>
    <t>Strange</t>
  </si>
  <si>
    <t>E023</t>
  </si>
  <si>
    <t>T’Challa</t>
  </si>
  <si>
    <t>King</t>
  </si>
  <si>
    <t>E024</t>
  </si>
  <si>
    <t>Vision</t>
  </si>
  <si>
    <t>Synth</t>
  </si>
  <si>
    <t>E025</t>
  </si>
  <si>
    <t>Sam</t>
  </si>
  <si>
    <t>Wilson</t>
  </si>
  <si>
    <t>Q1 Sales</t>
  </si>
  <si>
    <t>Q2 Sales</t>
  </si>
  <si>
    <t>Q3 Sales</t>
  </si>
  <si>
    <t>Q4 Sales</t>
  </si>
  <si>
    <t>Segment</t>
  </si>
  <si>
    <t>Customer ID</t>
  </si>
  <si>
    <t>Retail</t>
  </si>
  <si>
    <t>C001</t>
  </si>
  <si>
    <t>Olivia</t>
  </si>
  <si>
    <t>Brown</t>
  </si>
  <si>
    <t>Corporate</t>
  </si>
  <si>
    <t>C002</t>
  </si>
  <si>
    <t>Liam</t>
  </si>
  <si>
    <t>Johnson</t>
  </si>
  <si>
    <t>Wholesale</t>
  </si>
  <si>
    <t>C003</t>
  </si>
  <si>
    <t>Emma</t>
  </si>
  <si>
    <t>Davis</t>
  </si>
  <si>
    <t>C004</t>
  </si>
  <si>
    <t>Noah</t>
  </si>
  <si>
    <t>C005</t>
  </si>
  <si>
    <t>Ava</t>
  </si>
  <si>
    <t>Martinez</t>
  </si>
  <si>
    <t>C006</t>
  </si>
  <si>
    <t>Ethan</t>
  </si>
  <si>
    <t>Taylor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</si>
</sst>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>
      <c r="A7" s="2" t="s">
        <v>5</v>
      </c>
      <c r="B7" s="2" t="s">
        <v>30</v>
      </c>
      <c r="C7" s="2" t="s">
        <v>31</v>
      </c>
      <c r="D7" s="2" t="s">
        <v>32</v>
      </c>
      <c r="E7" s="2" t="s">
        <v>9</v>
      </c>
    </row>
    <row r="8">
      <c r="A8" s="2" t="s">
        <v>10</v>
      </c>
      <c r="B8" s="2" t="s">
        <v>33</v>
      </c>
      <c r="C8" s="2" t="s">
        <v>34</v>
      </c>
      <c r="D8" s="2" t="s">
        <v>35</v>
      </c>
      <c r="E8" s="2" t="s">
        <v>14</v>
      </c>
    </row>
    <row r="9">
      <c r="A9" s="2" t="s">
        <v>20</v>
      </c>
      <c r="B9" s="2" t="s">
        <v>36</v>
      </c>
      <c r="C9" s="2" t="s">
        <v>37</v>
      </c>
      <c r="D9" s="2" t="s">
        <v>38</v>
      </c>
      <c r="E9" s="2" t="s">
        <v>24</v>
      </c>
    </row>
    <row r="10">
      <c r="A10" s="2" t="s">
        <v>15</v>
      </c>
      <c r="B10" s="2" t="s">
        <v>39</v>
      </c>
      <c r="C10" s="2" t="s">
        <v>40</v>
      </c>
      <c r="D10" s="2" t="s">
        <v>41</v>
      </c>
      <c r="E10" s="2" t="s">
        <v>19</v>
      </c>
    </row>
    <row r="11">
      <c r="A11" s="2" t="s">
        <v>5</v>
      </c>
      <c r="B11" s="2" t="s">
        <v>42</v>
      </c>
      <c r="C11" s="2" t="s">
        <v>43</v>
      </c>
      <c r="D11" s="2" t="s">
        <v>44</v>
      </c>
      <c r="E11" s="2" t="s">
        <v>9</v>
      </c>
    </row>
    <row r="12">
      <c r="A12" s="2" t="s">
        <v>25</v>
      </c>
      <c r="B12" s="2" t="s">
        <v>45</v>
      </c>
      <c r="C12" s="2" t="s">
        <v>46</v>
      </c>
      <c r="D12" s="2" t="s">
        <v>47</v>
      </c>
      <c r="E12" s="2" t="s">
        <v>29</v>
      </c>
    </row>
    <row r="13">
      <c r="A13" s="2" t="s">
        <v>20</v>
      </c>
      <c r="B13" s="2" t="s">
        <v>48</v>
      </c>
      <c r="C13" s="2" t="s">
        <v>49</v>
      </c>
      <c r="D13" s="2" t="s">
        <v>50</v>
      </c>
      <c r="E13" s="2" t="s">
        <v>24</v>
      </c>
    </row>
    <row r="14">
      <c r="A14" s="2" t="s">
        <v>10</v>
      </c>
      <c r="B14" s="2" t="s">
        <v>51</v>
      </c>
      <c r="C14" s="2" t="s">
        <v>52</v>
      </c>
      <c r="D14" s="2" t="s">
        <v>53</v>
      </c>
      <c r="E14" s="2" t="s">
        <v>14</v>
      </c>
    </row>
    <row r="15">
      <c r="A15" s="2" t="s">
        <v>15</v>
      </c>
      <c r="B15" s="2" t="s">
        <v>54</v>
      </c>
      <c r="C15" s="2" t="s">
        <v>55</v>
      </c>
      <c r="D15" s="2" t="s">
        <v>56</v>
      </c>
      <c r="E15" s="2" t="s">
        <v>19</v>
      </c>
    </row>
    <row r="16">
      <c r="A16" s="2" t="s">
        <v>5</v>
      </c>
      <c r="B16" s="2" t="s">
        <v>57</v>
      </c>
      <c r="C16" s="2" t="s">
        <v>58</v>
      </c>
      <c r="D16" s="2" t="s">
        <v>59</v>
      </c>
      <c r="E16" s="2" t="s">
        <v>9</v>
      </c>
    </row>
    <row r="17">
      <c r="A17" s="2" t="s">
        <v>25</v>
      </c>
      <c r="B17" s="2" t="s">
        <v>60</v>
      </c>
      <c r="C17" s="2" t="s">
        <v>61</v>
      </c>
      <c r="D17" s="2" t="s">
        <v>62</v>
      </c>
      <c r="E17" s="2" t="s">
        <v>29</v>
      </c>
    </row>
    <row r="18">
      <c r="A18" s="2" t="s">
        <v>20</v>
      </c>
      <c r="B18" s="2" t="s">
        <v>63</v>
      </c>
      <c r="C18" s="2" t="s">
        <v>64</v>
      </c>
      <c r="D18" s="2" t="s">
        <v>65</v>
      </c>
      <c r="E18" s="2" t="s">
        <v>24</v>
      </c>
    </row>
    <row r="19">
      <c r="A19" s="2" t="s">
        <v>10</v>
      </c>
      <c r="B19" s="2" t="s">
        <v>66</v>
      </c>
      <c r="C19" s="2" t="s">
        <v>67</v>
      </c>
      <c r="D19" s="2" t="s">
        <v>32</v>
      </c>
      <c r="E19" s="2" t="s">
        <v>14</v>
      </c>
    </row>
    <row r="20">
      <c r="A20" s="2" t="s">
        <v>15</v>
      </c>
      <c r="B20" s="2" t="s">
        <v>68</v>
      </c>
      <c r="C20" s="2" t="s">
        <v>69</v>
      </c>
      <c r="D20" s="2" t="s">
        <v>70</v>
      </c>
      <c r="E20" s="2" t="s">
        <v>19</v>
      </c>
    </row>
    <row r="21">
      <c r="A21" s="2" t="s">
        <v>5</v>
      </c>
      <c r="B21" s="2" t="s">
        <v>71</v>
      </c>
      <c r="C21" s="2" t="s">
        <v>72</v>
      </c>
      <c r="D21" s="2" t="s">
        <v>73</v>
      </c>
      <c r="E21" s="2" t="s">
        <v>9</v>
      </c>
    </row>
    <row r="22">
      <c r="A22" s="2" t="s">
        <v>20</v>
      </c>
      <c r="B22" s="2" t="s">
        <v>74</v>
      </c>
      <c r="C22" s="2" t="s">
        <v>75</v>
      </c>
      <c r="D22" s="2" t="s">
        <v>76</v>
      </c>
      <c r="E22" s="2" t="s">
        <v>24</v>
      </c>
    </row>
    <row r="23">
      <c r="A23" s="2" t="s">
        <v>25</v>
      </c>
      <c r="B23" s="2" t="s">
        <v>77</v>
      </c>
      <c r="C23" s="2" t="s">
        <v>78</v>
      </c>
      <c r="D23" s="2" t="s">
        <v>79</v>
      </c>
      <c r="E23" s="2" t="s">
        <v>29</v>
      </c>
    </row>
    <row r="24">
      <c r="A24" s="2" t="s">
        <v>10</v>
      </c>
      <c r="B24" s="2" t="s">
        <v>80</v>
      </c>
      <c r="C24" s="2" t="s">
        <v>81</v>
      </c>
      <c r="D24" s="2" t="s">
        <v>82</v>
      </c>
      <c r="E24" s="2" t="s">
        <v>14</v>
      </c>
    </row>
    <row r="25">
      <c r="A25" s="2" t="s">
        <v>15</v>
      </c>
      <c r="B25" s="2" t="s">
        <v>83</v>
      </c>
      <c r="C25" s="2" t="s">
        <v>84</v>
      </c>
      <c r="D25" s="2" t="s">
        <v>85</v>
      </c>
      <c r="E25" s="2" t="s">
        <v>19</v>
      </c>
    </row>
    <row r="26">
      <c r="A26" s="2" t="s">
        <v>5</v>
      </c>
      <c r="B26" s="2" t="s">
        <v>86</v>
      </c>
      <c r="C26" s="2" t="s">
        <v>87</v>
      </c>
      <c r="D26" s="2" t="s">
        <v>88</v>
      </c>
      <c r="E26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2</v>
      </c>
      <c r="G1" s="1" t="s">
        <v>3</v>
      </c>
    </row>
    <row r="2">
      <c r="A2" s="2" t="s">
        <v>30</v>
      </c>
      <c r="B2" s="2">
        <v>5000.0</v>
      </c>
      <c r="C2" s="2">
        <v>6500.0</v>
      </c>
      <c r="D2" s="2">
        <v>7200.0</v>
      </c>
      <c r="E2" s="2">
        <v>5500.0</v>
      </c>
      <c r="F2" s="3" t="str">
        <f>VLOOKUP(A2,Employees!$B$1:$E$26,2, FALSE)</f>
        <v>Paul</v>
      </c>
      <c r="G2" s="3" t="str">
        <f>VLOOKUP(A2,Employees!$B$1:$E$26,3,FALSE)</f>
        <v>Allen</v>
      </c>
    </row>
    <row r="3">
      <c r="A3" s="2" t="s">
        <v>74</v>
      </c>
      <c r="B3" s="2">
        <v>8300.0</v>
      </c>
      <c r="C3" s="2">
        <v>9200.0</v>
      </c>
      <c r="D3" s="2">
        <v>8000.0</v>
      </c>
      <c r="E3" s="2">
        <v>7700.0</v>
      </c>
      <c r="F3" s="3" t="str">
        <f>VLOOKUP(A3,Employees!$B$1:$E$26,2, FALSE)</f>
        <v>Scott</v>
      </c>
      <c r="G3" s="3" t="str">
        <f>VLOOKUP(A3,Employees!$B$1:$E$26,3,FALSE)</f>
        <v>Lang</v>
      </c>
    </row>
    <row r="4">
      <c r="A4" s="2" t="s">
        <v>60</v>
      </c>
      <c r="B4" s="2">
        <v>4500.0</v>
      </c>
      <c r="C4" s="2">
        <v>4800.0</v>
      </c>
      <c r="D4" s="2">
        <v>5000.0</v>
      </c>
      <c r="E4" s="2">
        <v>4700.0</v>
      </c>
      <c r="F4" s="3" t="str">
        <f>VLOOKUP(A4,Employees!$B$1:$E$26,2, FALSE)</f>
        <v>Diana</v>
      </c>
      <c r="G4" s="3" t="str">
        <f>VLOOKUP(A4,Employees!$B$1:$E$26,3,FALSE)</f>
        <v>Prince</v>
      </c>
    </row>
    <row r="5">
      <c r="A5" s="2" t="s">
        <v>45</v>
      </c>
      <c r="B5" s="2">
        <v>10000.0</v>
      </c>
      <c r="C5" s="2">
        <v>11500.0</v>
      </c>
      <c r="D5" s="2">
        <v>12300.0</v>
      </c>
      <c r="E5" s="2">
        <v>10800.0</v>
      </c>
      <c r="F5" s="3" t="str">
        <f>VLOOKUP(A5,Employees!$B$1:$E$26,2, FALSE)</f>
        <v>Tony</v>
      </c>
      <c r="G5" s="3" t="str">
        <f>VLOOKUP(A5,Employees!$B$1:$E$26,3,FALSE)</f>
        <v>Stark</v>
      </c>
    </row>
    <row r="6">
      <c r="A6" s="2" t="s">
        <v>6</v>
      </c>
      <c r="B6" s="2">
        <v>6200.0</v>
      </c>
      <c r="C6" s="2">
        <v>5900.0</v>
      </c>
      <c r="D6" s="2">
        <v>6800.0</v>
      </c>
      <c r="E6" s="2">
        <v>6400.0</v>
      </c>
      <c r="F6" s="3" t="str">
        <f>VLOOKUP(A6,Employees!$B$1:$E$26,2, FALSE)</f>
        <v>John</v>
      </c>
      <c r="G6" s="3" t="str">
        <f>VLOOKUP(A6,Employees!$B$1:$E$26,3,FALSE)</f>
        <v>Doe</v>
      </c>
    </row>
    <row r="7">
      <c r="A7" s="2" t="s">
        <v>63</v>
      </c>
      <c r="B7" s="2">
        <v>7200.0</v>
      </c>
      <c r="C7" s="2">
        <v>7300.0</v>
      </c>
      <c r="D7" s="2">
        <v>7500.0</v>
      </c>
      <c r="E7" s="2">
        <v>7600.0</v>
      </c>
      <c r="F7" s="3" t="str">
        <f>VLOOKUP(A7,Employees!$B$1:$E$26,2, FALSE)</f>
        <v>Clark</v>
      </c>
      <c r="G7" s="3" t="str">
        <f>VLOOKUP(A7,Employees!$B$1:$E$26,3,FALSE)</f>
        <v>Kent</v>
      </c>
    </row>
    <row r="8">
      <c r="A8" s="2" t="s">
        <v>71</v>
      </c>
      <c r="B8" s="2">
        <v>5500.0</v>
      </c>
      <c r="C8" s="2">
        <v>5700.0</v>
      </c>
      <c r="D8" s="2">
        <v>6200.0</v>
      </c>
      <c r="E8" s="2">
        <v>5900.0</v>
      </c>
      <c r="F8" s="3" t="str">
        <f>VLOOKUP(A8,Employees!$B$1:$E$26,2, FALSE)</f>
        <v>Carol</v>
      </c>
      <c r="G8" s="3" t="str">
        <f>VLOOKUP(A8,Employees!$B$1:$E$26,3,FALSE)</f>
        <v>Danvers</v>
      </c>
    </row>
    <row r="9">
      <c r="A9" s="2" t="s">
        <v>66</v>
      </c>
      <c r="B9" s="2">
        <v>9100.0</v>
      </c>
      <c r="C9" s="2">
        <v>9600.0</v>
      </c>
      <c r="D9" s="2">
        <v>10300.0</v>
      </c>
      <c r="E9" s="2">
        <v>9800.0</v>
      </c>
      <c r="F9" s="3" t="str">
        <f>VLOOKUP(A9,Employees!$B$1:$E$26,2, FALSE)</f>
        <v>Barry</v>
      </c>
      <c r="G9" s="3" t="str">
        <f>VLOOKUP(A9,Employees!$B$1:$E$26,3,FALSE)</f>
        <v>Allen</v>
      </c>
    </row>
    <row r="10">
      <c r="A10" s="2" t="s">
        <v>11</v>
      </c>
      <c r="B10" s="2">
        <v>6800.0</v>
      </c>
      <c r="C10" s="2">
        <v>6400.0</v>
      </c>
      <c r="D10" s="2">
        <v>7000.0</v>
      </c>
      <c r="E10" s="2">
        <v>7200.0</v>
      </c>
      <c r="F10" s="3" t="str">
        <f>VLOOKUP(A10,Employees!$B$1:$E$26,2, FALSE)</f>
        <v>Jane</v>
      </c>
      <c r="G10" s="3" t="str">
        <f>VLOOKUP(A10,Employees!$B$1:$E$26,3,FALSE)</f>
        <v>Smith</v>
      </c>
    </row>
    <row r="11">
      <c r="A11" s="2" t="s">
        <v>36</v>
      </c>
      <c r="B11" s="2">
        <v>5400.0</v>
      </c>
      <c r="C11" s="2">
        <v>6100.0</v>
      </c>
      <c r="D11" s="2">
        <v>5900.0</v>
      </c>
      <c r="E11" s="2">
        <v>5600.0</v>
      </c>
      <c r="F11" s="3" t="str">
        <f>VLOOKUP(A11,Employees!$B$1:$E$26,2, FALSE)</f>
        <v>Steve</v>
      </c>
      <c r="G11" s="3" t="str">
        <f>VLOOKUP(A11,Employees!$B$1:$E$26,3,FALSE)</f>
        <v>Rogers</v>
      </c>
    </row>
    <row r="12">
      <c r="A12" s="2" t="s">
        <v>51</v>
      </c>
      <c r="B12" s="2">
        <v>8700.0</v>
      </c>
      <c r="C12" s="2">
        <v>9200.0</v>
      </c>
      <c r="D12" s="2">
        <v>9400.0</v>
      </c>
      <c r="E12" s="2">
        <v>8800.0</v>
      </c>
      <c r="F12" s="3" t="str">
        <f>VLOOKUP(A12,Employees!$B$1:$E$26,2, FALSE)</f>
        <v>Wanda</v>
      </c>
      <c r="G12" s="3" t="str">
        <f>VLOOKUP(A12,Employees!$B$1:$E$26,3,FALSE)</f>
        <v>Maximoff</v>
      </c>
    </row>
    <row r="13">
      <c r="A13" s="2" t="s">
        <v>48</v>
      </c>
      <c r="B13" s="2">
        <v>11300.0</v>
      </c>
      <c r="C13" s="2">
        <v>12000.0</v>
      </c>
      <c r="D13" s="2">
        <v>11500.0</v>
      </c>
      <c r="E13" s="2">
        <v>11800.0</v>
      </c>
      <c r="F13" s="3" t="str">
        <f>VLOOKUP(A13,Employees!$B$1:$E$26,2, FALSE)</f>
        <v>Bruce</v>
      </c>
      <c r="G13" s="3" t="str">
        <f>VLOOKUP(A13,Employees!$B$1:$E$26,3,FALSE)</f>
        <v>Banner</v>
      </c>
    </row>
    <row r="14">
      <c r="A14" s="2" t="s">
        <v>26</v>
      </c>
      <c r="B14" s="2">
        <v>7500.0</v>
      </c>
      <c r="C14" s="2">
        <v>8200.0</v>
      </c>
      <c r="D14" s="2">
        <v>7800.0</v>
      </c>
      <c r="E14" s="2">
        <v>8100.0</v>
      </c>
      <c r="F14" s="3" t="str">
        <f>VLOOKUP(A14,Employees!$B$1:$E$26,2, FALSE)</f>
        <v>Emily</v>
      </c>
      <c r="G14" s="3" t="str">
        <f>VLOOKUP(A14,Employees!$B$1:$E$26,3,FALSE)</f>
        <v>Clarke</v>
      </c>
    </row>
    <row r="15">
      <c r="A15" s="2" t="s">
        <v>16</v>
      </c>
      <c r="B15" s="2">
        <v>8800.0</v>
      </c>
      <c r="C15" s="2">
        <v>9400.0</v>
      </c>
      <c r="D15" s="2">
        <v>9000.0</v>
      </c>
      <c r="E15" s="2">
        <v>8600.0</v>
      </c>
      <c r="F15" s="3" t="str">
        <f>VLOOKUP(A15,Employees!$B$1:$E$26,2, FALSE)</f>
        <v>Sarah</v>
      </c>
      <c r="G15" s="3" t="str">
        <f>VLOOKUP(A15,Employees!$B$1:$E$26,3,FALSE)</f>
        <v>Connor</v>
      </c>
    </row>
    <row r="16">
      <c r="A16" s="2" t="s">
        <v>83</v>
      </c>
      <c r="B16" s="2">
        <v>7100.0</v>
      </c>
      <c r="C16" s="2">
        <v>7600.0</v>
      </c>
      <c r="D16" s="2">
        <v>7800.0</v>
      </c>
      <c r="E16" s="2">
        <v>7400.0</v>
      </c>
      <c r="F16" s="3" t="str">
        <f>VLOOKUP(A16,Employees!$B$1:$E$26,2, FALSE)</f>
        <v>Vision</v>
      </c>
      <c r="G16" s="3" t="str">
        <f>VLOOKUP(A16,Employees!$B$1:$E$26,3,FALSE)</f>
        <v>Synth</v>
      </c>
    </row>
    <row r="17">
      <c r="A17" s="2" t="s">
        <v>57</v>
      </c>
      <c r="B17" s="2">
        <v>6900.0</v>
      </c>
      <c r="C17" s="2">
        <v>7200.0</v>
      </c>
      <c r="D17" s="2">
        <v>7500.0</v>
      </c>
      <c r="E17" s="2">
        <v>7300.0</v>
      </c>
      <c r="F17" s="3" t="str">
        <f>VLOOKUP(A17,Employees!$B$1:$E$26,2, FALSE)</f>
        <v>Thor</v>
      </c>
      <c r="G17" s="3" t="str">
        <f>VLOOKUP(A17,Employees!$B$1:$E$26,3,FALSE)</f>
        <v>Odinson</v>
      </c>
    </row>
    <row r="18">
      <c r="A18" s="2" t="s">
        <v>68</v>
      </c>
      <c r="B18" s="2">
        <v>8400.0</v>
      </c>
      <c r="C18" s="2">
        <v>8800.0</v>
      </c>
      <c r="D18" s="2">
        <v>9100.0</v>
      </c>
      <c r="E18" s="2">
        <v>8900.0</v>
      </c>
      <c r="F18" s="3" t="str">
        <f>VLOOKUP(A18,Employees!$B$1:$E$26,2, FALSE)</f>
        <v>Arthur</v>
      </c>
      <c r="G18" s="3" t="str">
        <f>VLOOKUP(A18,Employees!$B$1:$E$26,3,FALSE)</f>
        <v>Curry</v>
      </c>
    </row>
    <row r="19">
      <c r="A19" s="2" t="s">
        <v>42</v>
      </c>
      <c r="B19" s="2">
        <v>9300.0</v>
      </c>
      <c r="C19" s="2">
        <v>9700.0</v>
      </c>
      <c r="D19" s="2">
        <v>9900.0</v>
      </c>
      <c r="E19" s="2">
        <v>9500.0</v>
      </c>
      <c r="F19" s="3" t="str">
        <f>VLOOKUP(A19,Employees!$B$1:$E$26,2, FALSE)</f>
        <v>Peter</v>
      </c>
      <c r="G19" s="3" t="str">
        <f>VLOOKUP(A19,Employees!$B$1:$E$26,3,FALSE)</f>
        <v>Parker</v>
      </c>
    </row>
    <row r="20">
      <c r="A20" s="2" t="s">
        <v>54</v>
      </c>
      <c r="B20" s="2">
        <v>6100.0</v>
      </c>
      <c r="C20" s="2">
        <v>6400.0</v>
      </c>
      <c r="D20" s="2">
        <v>6600.0</v>
      </c>
      <c r="E20" s="2">
        <v>6300.0</v>
      </c>
      <c r="F20" s="3" t="str">
        <f>VLOOKUP(A20,Employees!$B$1:$E$26,2, FALSE)</f>
        <v>Clint</v>
      </c>
      <c r="G20" s="3" t="str">
        <f>VLOOKUP(A20,Employees!$B$1:$E$26,3,FALSE)</f>
        <v>Barton</v>
      </c>
    </row>
    <row r="21">
      <c r="A21" s="2" t="s">
        <v>80</v>
      </c>
      <c r="B21" s="2">
        <v>7600.0</v>
      </c>
      <c r="C21" s="2">
        <v>8000.0</v>
      </c>
      <c r="D21" s="2">
        <v>8300.0</v>
      </c>
      <c r="E21" s="2">
        <v>7900.0</v>
      </c>
      <c r="F21" s="3" t="str">
        <f>VLOOKUP(A21,Employees!$B$1:$E$26,2, FALSE)</f>
        <v>T’Challa</v>
      </c>
      <c r="G21" s="3" t="str">
        <f>VLOOKUP(A21,Employees!$B$1:$E$26,3,FALSE)</f>
        <v>King</v>
      </c>
    </row>
    <row r="22">
      <c r="A22" s="2" t="s">
        <v>21</v>
      </c>
      <c r="B22" s="2">
        <v>8200.0</v>
      </c>
      <c r="C22" s="2">
        <v>8700.0</v>
      </c>
      <c r="D22" s="2">
        <v>8900.0</v>
      </c>
      <c r="E22" s="2">
        <v>8500.0</v>
      </c>
      <c r="F22" s="3" t="str">
        <f>VLOOKUP(A22,Employees!$B$1:$E$26,2, FALSE)</f>
        <v>Mike</v>
      </c>
      <c r="G22" s="3" t="str">
        <f>VLOOKUP(A22,Employees!$B$1:$E$26,3,FALSE)</f>
        <v>Jordan</v>
      </c>
    </row>
    <row r="23">
      <c r="A23" s="2" t="s">
        <v>86</v>
      </c>
      <c r="B23" s="2">
        <v>7000.0</v>
      </c>
      <c r="C23" s="2">
        <v>7400.0</v>
      </c>
      <c r="D23" s="2">
        <v>7700.0</v>
      </c>
      <c r="E23" s="2">
        <v>7200.0</v>
      </c>
      <c r="F23" s="3" t="str">
        <f>VLOOKUP(A23,Employees!$B$1:$E$26,2, FALSE)</f>
        <v>Sam</v>
      </c>
      <c r="G23" s="3" t="str">
        <f>VLOOKUP(A23,Employees!$B$1:$E$26,3,FALSE)</f>
        <v>Wilson</v>
      </c>
    </row>
    <row r="24">
      <c r="A24" s="2" t="s">
        <v>33</v>
      </c>
      <c r="B24" s="2">
        <v>5900.0</v>
      </c>
      <c r="C24" s="2">
        <v>6200.0</v>
      </c>
      <c r="D24" s="2">
        <v>6500.0</v>
      </c>
      <c r="E24" s="2">
        <v>6100.0</v>
      </c>
      <c r="F24" s="3" t="str">
        <f>VLOOKUP(A24,Employees!$B$1:$E$26,2, FALSE)</f>
        <v>Linda</v>
      </c>
      <c r="G24" s="3" t="str">
        <f>VLOOKUP(A24,Employees!$B$1:$E$26,3,FALSE)</f>
        <v>Lee</v>
      </c>
    </row>
    <row r="25">
      <c r="A25" s="2" t="s">
        <v>77</v>
      </c>
      <c r="B25" s="2">
        <v>10500.0</v>
      </c>
      <c r="C25" s="2">
        <v>11000.0</v>
      </c>
      <c r="D25" s="2">
        <v>10800.0</v>
      </c>
      <c r="E25" s="2">
        <v>11200.0</v>
      </c>
      <c r="F25" s="3" t="str">
        <f>VLOOKUP(A25,Employees!$B$1:$E$26,2, FALSE)</f>
        <v>Stephen</v>
      </c>
      <c r="G25" s="3" t="str">
        <f>VLOOKUP(A25,Employees!$B$1:$E$26,3,FALSE)</f>
        <v>Strange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93</v>
      </c>
      <c r="B1" s="4" t="s">
        <v>94</v>
      </c>
      <c r="C1" s="4" t="s">
        <v>2</v>
      </c>
      <c r="D1" s="4" t="s">
        <v>3</v>
      </c>
      <c r="E1" s="4" t="s">
        <v>4</v>
      </c>
    </row>
    <row r="2">
      <c r="A2" s="5" t="s">
        <v>95</v>
      </c>
      <c r="B2" s="5" t="s">
        <v>96</v>
      </c>
      <c r="C2" s="5" t="s">
        <v>97</v>
      </c>
      <c r="D2" s="5" t="s">
        <v>98</v>
      </c>
      <c r="E2" s="5" t="s">
        <v>9</v>
      </c>
    </row>
    <row r="3">
      <c r="A3" s="5" t="s">
        <v>99</v>
      </c>
      <c r="B3" s="5" t="s">
        <v>100</v>
      </c>
      <c r="C3" s="5" t="s">
        <v>101</v>
      </c>
      <c r="D3" s="5" t="s">
        <v>102</v>
      </c>
      <c r="E3" s="5" t="s">
        <v>14</v>
      </c>
    </row>
    <row r="4">
      <c r="A4" s="5" t="s">
        <v>103</v>
      </c>
      <c r="B4" s="5" t="s">
        <v>104</v>
      </c>
      <c r="C4" s="5" t="s">
        <v>105</v>
      </c>
      <c r="D4" s="5" t="s">
        <v>106</v>
      </c>
      <c r="E4" s="5" t="s">
        <v>19</v>
      </c>
    </row>
    <row r="5">
      <c r="A5" s="5" t="s">
        <v>95</v>
      </c>
      <c r="B5" s="5" t="s">
        <v>107</v>
      </c>
      <c r="C5" s="5" t="s">
        <v>108</v>
      </c>
      <c r="D5" s="5" t="s">
        <v>88</v>
      </c>
      <c r="E5" s="5" t="s">
        <v>24</v>
      </c>
    </row>
    <row r="6">
      <c r="A6" s="5" t="s">
        <v>99</v>
      </c>
      <c r="B6" s="5" t="s">
        <v>109</v>
      </c>
      <c r="C6" s="5" t="s">
        <v>110</v>
      </c>
      <c r="D6" s="5" t="s">
        <v>111</v>
      </c>
      <c r="E6" s="5" t="s">
        <v>29</v>
      </c>
    </row>
    <row r="7">
      <c r="A7" s="5" t="s">
        <v>95</v>
      </c>
      <c r="B7" s="5" t="s">
        <v>112</v>
      </c>
      <c r="C7" s="5" t="s">
        <v>113</v>
      </c>
      <c r="D7" s="5" t="s">
        <v>114</v>
      </c>
      <c r="E7" s="5" t="s">
        <v>9</v>
      </c>
    </row>
    <row r="8">
      <c r="A8" s="2"/>
      <c r="B8" s="2"/>
      <c r="C8" s="2"/>
      <c r="D8" s="2"/>
      <c r="E8" s="2"/>
    </row>
    <row r="9">
      <c r="A9" s="2"/>
      <c r="B9" s="2"/>
      <c r="C9" s="2" t="str">
        <f>HLOOKUP("First Name", 1:7, 4, FALSE)</f>
        <v>Emma</v>
      </c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</sheetData>
  <drawing r:id="rId1"/>
</worksheet>
</file>