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Importance Of $ sign" sheetId="2" r:id="rId6"/>
    <sheet state="visible" name="String-UseCases-By formulae" sheetId="3" r:id="rId7"/>
    <sheet state="visible" name="Regex Function" sheetId="4" r:id="rId8"/>
    <sheet state="visible" name="ConditionalFormulae" sheetId="5" r:id="rId9"/>
    <sheet state="visible" name="Sheet7" sheetId="6" r:id="rId10"/>
    <sheet state="visible" name="Logical IFIFSAND, OR" sheetId="7" r:id="rId11"/>
    <sheet state="visible" name="IFIFS" sheetId="8" r:id="rId12"/>
    <sheet state="visible" name="Conditional Formating" sheetId="9" r:id="rId13"/>
    <sheet state="visible" name="RandomSampling" sheetId="10" r:id="rId14"/>
  </sheets>
  <definedNames/>
  <calcPr/>
</workbook>
</file>

<file path=xl/sharedStrings.xml><?xml version="1.0" encoding="utf-8"?>
<sst xmlns="http://schemas.openxmlformats.org/spreadsheetml/2006/main" count="333" uniqueCount="191">
  <si>
    <t>Employee ID</t>
  </si>
  <si>
    <t>Hours Worked</t>
  </si>
  <si>
    <t>Hourly Rate ($)</t>
  </si>
  <si>
    <t>Total Earnings ($)</t>
  </si>
  <si>
    <t>Bonus ($)</t>
  </si>
  <si>
    <t>Department</t>
  </si>
  <si>
    <t>Experience (Years)</t>
  </si>
  <si>
    <t>Full-Time</t>
  </si>
  <si>
    <t>E101</t>
  </si>
  <si>
    <t>Sales</t>
  </si>
  <si>
    <t>E102</t>
  </si>
  <si>
    <t>Marketing</t>
  </si>
  <si>
    <t>E103</t>
  </si>
  <si>
    <t>IT</t>
  </si>
  <si>
    <t>E104</t>
  </si>
  <si>
    <t>E105</t>
  </si>
  <si>
    <t>E106</t>
  </si>
  <si>
    <t>E107</t>
  </si>
  <si>
    <t>HR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</si>
  <si>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</si>
  <si>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</si>
  <si>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</si>
  <si>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</si>
  <si>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</si>
  <si>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</si>
  <si>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</si>
  <si>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</si>
  <si>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</si>
  <si>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</si>
  <si>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</si>
  <si>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</si>
  <si>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</si>
  <si>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</si>
  <si>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</si>
  <si>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</si>
  <si>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</si>
  <si>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</si>
  <si>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</si>
  <si>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</si>
  <si>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</si>
  <si>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</si>
  <si>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</si>
  <si>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</si>
  <si>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</si>
  <si>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</si>
  <si>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</si>
  <si>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</si>
  <si>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</si>
  <si>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</si>
  <si>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</si>
  <si>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</si>
  <si>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</si>
  <si>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</si>
  <si>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</si>
  <si>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</si>
  <si>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</si>
  <si>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</si>
  <si>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</si>
  <si>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</si>
  <si>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</si>
  <si>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</si>
  <si>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</si>
  <si>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</si>
  <si>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</si>
  <si>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</si>
  <si>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</si>
  <si>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</si>
  <si>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</si>
  <si>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</si>
  <si>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</si>
  <si>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</si>
  <si>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</si>
  <si>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For marketing = 1690</t>
  </si>
  <si>
    <t>For IT = 2180</t>
  </si>
  <si>
    <t>COUNT → numbers only</t>
  </si>
  <si>
    <t>COUNTA → numbers + text</t>
  </si>
  <si>
    <t>COUNTUNIQUE → unique values</t>
  </si>
  <si>
    <t>Food</t>
  </si>
  <si>
    <t>Sugar(gms)</t>
  </si>
  <si>
    <t>Healthy Quantity</t>
  </si>
  <si>
    <t>How Unhealthy</t>
  </si>
  <si>
    <t>Biscuits</t>
  </si>
  <si>
    <t>Chocolates</t>
  </si>
  <si>
    <t>Jems</t>
  </si>
  <si>
    <t>Jellies</t>
  </si>
  <si>
    <t>$A$1</t>
  </si>
  <si>
    <t>Column A locked</t>
  </si>
  <si>
    <t>➡️ Never changes</t>
  </si>
  <si>
    <t>Row 1 locked</t>
  </si>
  <si>
    <t>B2/C$2</t>
  </si>
  <si>
    <t xml:space="preserve">Row 2 is locked </t>
  </si>
  <si>
    <t>$ freezes position, not money</t>
  </si>
  <si>
    <t xml:space="preserve">Column C is NOT locked </t>
  </si>
  <si>
    <t>$ is before A</t>
  </si>
  <si>
    <t>👉 Column A is locked</t>
  </si>
  <si>
    <t>$ is before 1</t>
  </si>
  <si>
    <t>👉 Row 1 is locked</t>
  </si>
  <si>
    <t>First Name</t>
  </si>
  <si>
    <t>Last Name</t>
  </si>
  <si>
    <t>Full Name</t>
  </si>
  <si>
    <t>Email</t>
  </si>
  <si>
    <t>Email Address</t>
  </si>
  <si>
    <t>Domain</t>
  </si>
  <si>
    <t>City</t>
  </si>
  <si>
    <t>Use of FIND/SEARCH</t>
  </si>
  <si>
    <t>John</t>
  </si>
  <si>
    <t>Doe</t>
  </si>
  <si>
    <r>
      <rPr>
        <color rgb="FF1155CC"/>
        <u/>
      </rPr>
      <t>john.doe@gmail.com</t>
    </r>
  </si>
  <si>
    <t>New York</t>
  </si>
  <si>
    <t>Jane</t>
  </si>
  <si>
    <t>Smith</t>
  </si>
  <si>
    <r>
      <rPr>
        <color rgb="FF1155CC"/>
        <u/>
      </rPr>
      <t>jane.smith@outlook.com</t>
    </r>
  </si>
  <si>
    <t>Sarah</t>
  </si>
  <si>
    <t>Connor</t>
  </si>
  <si>
    <r>
      <rPr>
        <color rgb="FF1155CC"/>
        <u/>
      </rPr>
      <t>sarah.connor@apple.com</t>
    </r>
  </si>
  <si>
    <t>New Delhi</t>
  </si>
  <si>
    <t>Mike</t>
  </si>
  <si>
    <t>Jordan</t>
  </si>
  <si>
    <r>
      <rPr>
        <color rgb="FF1155CC"/>
        <u/>
      </rPr>
      <t>mike.jordan@yahoo.com</t>
    </r>
  </si>
  <si>
    <t>Chris</t>
  </si>
  <si>
    <t>Lee</t>
  </si>
  <si>
    <r>
      <rPr>
        <color rgb="FF1155CC"/>
        <u/>
      </rPr>
      <t>chris.lee@amazon.com</t>
    </r>
  </si>
  <si>
    <t>Emily</t>
  </si>
  <si>
    <t>Clarke</t>
  </si>
  <si>
    <r>
      <rPr>
        <color rgb="FF1155CC"/>
        <u/>
      </rPr>
      <t>emily.clarke@gmail.com</t>
    </r>
  </si>
  <si>
    <t>NewDelhi</t>
  </si>
  <si>
    <t>For Character Use of =LEFT</t>
  </si>
  <si>
    <t>Sharpner</t>
  </si>
  <si>
    <t>Fat Lady</t>
  </si>
  <si>
    <t>For Character Use of =RIGHT</t>
  </si>
  <si>
    <t>For Character Use of =MID</t>
  </si>
  <si>
    <t>Priya</t>
  </si>
  <si>
    <t>Khare</t>
  </si>
  <si>
    <t>Use of =UPPER</t>
  </si>
  <si>
    <t>shradDHa</t>
  </si>
  <si>
    <t>Use of =LOWER</t>
  </si>
  <si>
    <t>Use of =PROPER</t>
  </si>
  <si>
    <t>john doe</t>
  </si>
  <si>
    <t>Use of =TRIM</t>
  </si>
  <si>
    <t xml:space="preserve">         dhanush</t>
  </si>
  <si>
    <t xml:space="preserve">        Ram      Jain</t>
  </si>
  <si>
    <t>Use of =SUBSTITUTE</t>
  </si>
  <si>
    <t xml:space="preserve">         Prompt ing</t>
  </si>
  <si>
    <t>Use of = TRIM(SUBSTITUTE)</t>
  </si>
  <si>
    <t xml:space="preserve"> Shraddha </t>
  </si>
  <si>
    <t>Use of = TRIM(CLEAN)</t>
  </si>
  <si>
    <t xml:space="preserve">    First    Name</t>
  </si>
  <si>
    <t>Use of SUBSTITUTE to replace existing string to new</t>
  </si>
  <si>
    <t>Priya Sharma</t>
  </si>
  <si>
    <t>Shraddha</t>
  </si>
  <si>
    <t>shraddha</t>
  </si>
  <si>
    <t>Function</t>
  </si>
  <si>
    <t>Use</t>
  </si>
  <si>
    <t>REGEXEXTRACT()</t>
  </si>
  <si>
    <t>Extract pattern</t>
  </si>
  <si>
    <t>REGEXREPLACE()</t>
  </si>
  <si>
    <t>Replace pattern</t>
  </si>
  <si>
    <t>REGEXMATCH()</t>
  </si>
  <si>
    <t>Validate pattern</t>
  </si>
  <si>
    <t>Numbers</t>
  </si>
  <si>
    <t>Output using CEILING</t>
  </si>
  <si>
    <t>Output using FLOOR</t>
  </si>
  <si>
    <t>Output using INT</t>
  </si>
  <si>
    <t>Output using ABS Absolute Value</t>
  </si>
  <si>
    <t>Square Root</t>
  </si>
  <si>
    <t>Raised Power Of B7, B8 and B9 power is 4 of 2</t>
  </si>
  <si>
    <t>EXP</t>
  </si>
  <si>
    <t>PIE pi() gives pi value</t>
  </si>
  <si>
    <t>Senior / Junior</t>
  </si>
  <si>
    <t>IFS</t>
  </si>
  <si>
    <t>Parameters are the different inputs in a formula that control how the formula works.Parameters = number of inputs separated by commas. Parameters = defined inputs
Arguments = values we give</t>
  </si>
  <si>
    <t>Parameters</t>
  </si>
  <si>
    <t>name → parameter</t>
  </si>
  <si>
    <t>defined in function</t>
  </si>
  <si>
    <t>"Shraddha" → argument</t>
  </si>
  <si>
    <t>Arguments</t>
  </si>
  <si>
    <t>Parameter = variable</t>
  </si>
  <si>
    <t>Argument = real value</t>
  </si>
  <si>
    <t>If(D2&gt;=3,"Senior","Junior")</t>
  </si>
  <si>
    <t>If(AND(B2&gt;100, D2&gt;3),"Senior","Junior")</t>
  </si>
  <si>
    <t>If(OR(B3&gt;=100, D3&gt;=5),"Senior","Junior")</t>
  </si>
  <si>
    <t xml:space="preserve">0 is already handled first
Then 1–3 → Junior
Then &gt;3 → Senior        
</t>
  </si>
  <si>
    <t>Order of conditions matters in IFS.More specific conditions should come first.</t>
  </si>
  <si>
    <t>IFS(D3=0,"InExperienced",
AND(D3&gt;0,D3&lt;=3),"Junior",
D3&gt;3,"Senior"
) Because IFS checks conditions from left to right
It stops at the first TRUE condition.</t>
  </si>
  <si>
    <t>IF(D2=5,IF(C2="Sales","Sales Exp","Other Exp"),"Junior Guy")</t>
  </si>
  <si>
    <t>Nested IF = Decision tree.It checks conditions one by one until it finds TRUE.</t>
  </si>
  <si>
    <t>Marks</t>
  </si>
  <si>
    <t>Result</t>
  </si>
  <si>
    <t>Nested IF</t>
  </si>
  <si>
    <t>Both nested if and IFS can do the job.
Nested If
=IF(Marks&lt;40,"Fail", IF(Marks&gt;80,"Excellent","Average"))
IFS
=IFS("Marks&lt;40,"Fail",Marks&gt;80,"Excellent","Average")")</t>
  </si>
  <si>
    <t>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</si>
</sst>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2.0"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u/>
      <color rgb="FF0000FF"/>
    </font>
    <font>
      <sz val="11.0"/>
      <color rgb="FF525252"/>
      <name val="&quot;Plus Jakarta Sans&quot;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2" numFmtId="0" xfId="0" applyFont="1"/>
    <xf borderId="0" fillId="0" fontId="7" numFmtId="0" xfId="0" applyFont="1"/>
    <xf borderId="0" fillId="0" fontId="2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 readingOrder="0"/>
    </xf>
    <xf borderId="0" fillId="0" fontId="2" numFmtId="2" xfId="0" applyAlignment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emily.clarke@gmail.com" TargetMode="External"/><Relationship Id="rId10" Type="http://schemas.openxmlformats.org/officeDocument/2006/relationships/hyperlink" Target="http://amazon.com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://gmail.com" TargetMode="External"/><Relationship Id="rId1" Type="http://schemas.openxmlformats.org/officeDocument/2006/relationships/hyperlink" Target="mailto:john.doe@gmail.com" TargetMode="External"/><Relationship Id="rId2" Type="http://schemas.openxmlformats.org/officeDocument/2006/relationships/hyperlink" Target="http://gmail.com" TargetMode="External"/><Relationship Id="rId3" Type="http://schemas.openxmlformats.org/officeDocument/2006/relationships/hyperlink" Target="mailto:jane.smith@outlook.com" TargetMode="External"/><Relationship Id="rId4" Type="http://schemas.openxmlformats.org/officeDocument/2006/relationships/hyperlink" Target="http://outlook.com" TargetMode="External"/><Relationship Id="rId9" Type="http://schemas.openxmlformats.org/officeDocument/2006/relationships/hyperlink" Target="mailto:chris.lee@amazon.com" TargetMode="External"/><Relationship Id="rId5" Type="http://schemas.openxmlformats.org/officeDocument/2006/relationships/hyperlink" Target="mailto:sarah.connor@apple.com" TargetMode="External"/><Relationship Id="rId6" Type="http://schemas.openxmlformats.org/officeDocument/2006/relationships/hyperlink" Target="http://apple.com" TargetMode="External"/><Relationship Id="rId7" Type="http://schemas.openxmlformats.org/officeDocument/2006/relationships/hyperlink" Target="mailto:mike.jordan@yahoo.com" TargetMode="External"/><Relationship Id="rId8" Type="http://schemas.openxmlformats.org/officeDocument/2006/relationships/hyperlink" Target="http://yahoo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9.38"/>
    <col customWidth="1" min="3" max="3" width="24.0"/>
    <col customWidth="1" min="4" max="4" width="22.0"/>
    <col customWidth="1" min="5" max="5" width="16.0"/>
    <col customWidth="1" min="6" max="6" width="17.63"/>
    <col customWidth="1" min="7" max="7" width="22.88"/>
    <col customWidth="1" min="8" max="8" width="15.88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40.0</v>
      </c>
      <c r="C2" s="4">
        <v>25.0</v>
      </c>
      <c r="D2" s="4">
        <v>1000.0</v>
      </c>
      <c r="E2" s="4">
        <v>100.0</v>
      </c>
      <c r="F2" s="3" t="s">
        <v>9</v>
      </c>
      <c r="G2" s="4">
        <v>5.0</v>
      </c>
      <c r="H2" s="3" t="b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4">
        <v>35.0</v>
      </c>
      <c r="C3" s="4">
        <v>20.0</v>
      </c>
      <c r="D3" s="4">
        <v>700.0</v>
      </c>
      <c r="E3" s="4">
        <v>50.0</v>
      </c>
      <c r="F3" s="3" t="s">
        <v>11</v>
      </c>
      <c r="G3" s="4">
        <v>3.0</v>
      </c>
      <c r="H3" s="3" t="b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4">
        <v>45.0</v>
      </c>
      <c r="C4" s="4">
        <v>30.0</v>
      </c>
      <c r="D4" s="4">
        <v>1350.0</v>
      </c>
      <c r="E4" s="4">
        <v>150.0</v>
      </c>
      <c r="F4" s="3" t="s">
        <v>13</v>
      </c>
      <c r="G4" s="4">
        <v>7.0</v>
      </c>
      <c r="H4" s="3" t="b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4">
        <v>38.0</v>
      </c>
      <c r="C5" s="4">
        <v>22.0</v>
      </c>
      <c r="D5" s="4">
        <v>836.0</v>
      </c>
      <c r="E5" s="4">
        <v>80.0</v>
      </c>
      <c r="F5" s="3" t="s">
        <v>9</v>
      </c>
      <c r="G5" s="4">
        <v>4.0</v>
      </c>
      <c r="H5" s="3" t="b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4">
        <v>50.0</v>
      </c>
      <c r="C6" s="4">
        <v>28.0</v>
      </c>
      <c r="D6" s="4">
        <v>1400.0</v>
      </c>
      <c r="E6" s="4">
        <v>200.0</v>
      </c>
      <c r="F6" s="3" t="s">
        <v>11</v>
      </c>
      <c r="G6" s="4">
        <v>6.0</v>
      </c>
      <c r="H6" s="3" t="b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16</v>
      </c>
      <c r="B7" s="4">
        <v>42.0</v>
      </c>
      <c r="C7" s="4">
        <v>26.0</v>
      </c>
      <c r="D7" s="4">
        <v>1092.0</v>
      </c>
      <c r="E7" s="4">
        <v>110.0</v>
      </c>
      <c r="F7" s="3" t="s">
        <v>13</v>
      </c>
      <c r="G7" s="4">
        <v>5.0</v>
      </c>
      <c r="H7" s="3" t="b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17</v>
      </c>
      <c r="B8" s="4">
        <v>37.0</v>
      </c>
      <c r="C8" s="4">
        <v>23.0</v>
      </c>
      <c r="D8" s="4">
        <v>851.0</v>
      </c>
      <c r="E8" s="4">
        <v>90.0</v>
      </c>
      <c r="F8" s="3" t="s">
        <v>18</v>
      </c>
      <c r="G8" s="4">
        <v>2.0</v>
      </c>
      <c r="H8" s="3" t="b"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19</v>
      </c>
      <c r="B9" s="4">
        <v>41.0</v>
      </c>
      <c r="C9" s="4">
        <v>24.0</v>
      </c>
      <c r="D9" s="4">
        <v>984.0</v>
      </c>
      <c r="E9" s="4">
        <v>120.0</v>
      </c>
      <c r="F9" s="3" t="s">
        <v>13</v>
      </c>
      <c r="G9" s="4">
        <v>6.0</v>
      </c>
      <c r="H9" s="3" t="b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20</v>
      </c>
      <c r="B10" s="4">
        <v>39.0</v>
      </c>
      <c r="C10" s="4">
        <v>21.0</v>
      </c>
      <c r="D10" s="4">
        <v>819.0</v>
      </c>
      <c r="E10" s="4">
        <v>70.0</v>
      </c>
      <c r="F10" s="3" t="s">
        <v>9</v>
      </c>
      <c r="G10" s="4">
        <v>3.0</v>
      </c>
      <c r="H10" s="3" t="b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21</v>
      </c>
      <c r="B11" s="4">
        <v>36.0</v>
      </c>
      <c r="C11" s="4">
        <v>20.0</v>
      </c>
      <c r="D11" s="4">
        <v>720.0</v>
      </c>
      <c r="E11" s="4">
        <v>60.0</v>
      </c>
      <c r="F11" s="3" t="s">
        <v>11</v>
      </c>
      <c r="G11" s="4">
        <v>4.0</v>
      </c>
      <c r="H11" s="3" t="b"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22</v>
      </c>
      <c r="B12" s="4">
        <v>44.0</v>
      </c>
      <c r="C12" s="4">
        <v>32.0</v>
      </c>
      <c r="D12" s="4">
        <v>1408.0</v>
      </c>
      <c r="E12" s="4">
        <v>160.0</v>
      </c>
      <c r="F12" s="3" t="s">
        <v>13</v>
      </c>
      <c r="G12" s="4">
        <v>8.0</v>
      </c>
      <c r="H12" s="3" t="b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23</v>
      </c>
      <c r="B13" s="4">
        <v>30.0</v>
      </c>
      <c r="C13" s="4">
        <v>22.0</v>
      </c>
      <c r="D13" s="4">
        <v>660.0</v>
      </c>
      <c r="E13" s="4">
        <v>40.0</v>
      </c>
      <c r="F13" s="3" t="s">
        <v>18</v>
      </c>
      <c r="G13" s="4">
        <v>2.0</v>
      </c>
      <c r="H13" s="3" t="b"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24</v>
      </c>
      <c r="B14" s="4">
        <v>50.0</v>
      </c>
      <c r="C14" s="4">
        <v>27.0</v>
      </c>
      <c r="D14" s="4">
        <v>1350.0</v>
      </c>
      <c r="E14" s="4">
        <v>190.0</v>
      </c>
      <c r="F14" s="3" t="s">
        <v>9</v>
      </c>
      <c r="G14" s="4">
        <v>7.0</v>
      </c>
      <c r="H14" s="3" t="b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25</v>
      </c>
      <c r="B15" s="4">
        <v>42.0</v>
      </c>
      <c r="C15" s="4">
        <v>25.0</v>
      </c>
      <c r="D15" s="4">
        <v>1050.0</v>
      </c>
      <c r="E15" s="4">
        <v>120.0</v>
      </c>
      <c r="F15" s="3" t="s">
        <v>11</v>
      </c>
      <c r="G15" s="4">
        <v>5.0</v>
      </c>
      <c r="H15" s="3" t="b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26</v>
      </c>
      <c r="B16" s="4">
        <v>34.0</v>
      </c>
      <c r="C16" s="4">
        <v>19.0</v>
      </c>
      <c r="D16" s="4">
        <v>646.0</v>
      </c>
      <c r="E16" s="4">
        <v>50.0</v>
      </c>
      <c r="F16" s="3" t="s">
        <v>13</v>
      </c>
      <c r="G16" s="4">
        <v>4.0</v>
      </c>
      <c r="H16" s="3" t="b"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27</v>
      </c>
      <c r="B17" s="4">
        <v>45.0</v>
      </c>
      <c r="C17" s="4">
        <v>29.0</v>
      </c>
      <c r="D17" s="4">
        <v>1305.0</v>
      </c>
      <c r="E17" s="4">
        <v>140.0</v>
      </c>
      <c r="F17" s="3" t="s">
        <v>9</v>
      </c>
      <c r="G17" s="4">
        <v>6.0</v>
      </c>
      <c r="H17" s="3" t="b"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28</v>
      </c>
      <c r="B18" s="4">
        <v>39.0</v>
      </c>
      <c r="C18" s="4">
        <v>23.0</v>
      </c>
      <c r="D18" s="4">
        <v>897.0</v>
      </c>
      <c r="E18" s="4">
        <v>100.0</v>
      </c>
      <c r="F18" s="3" t="s">
        <v>11</v>
      </c>
      <c r="G18" s="4">
        <v>3.0</v>
      </c>
      <c r="H18" s="3" t="b"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29</v>
      </c>
      <c r="B19" s="4">
        <v>50.0</v>
      </c>
      <c r="C19" s="4">
        <v>30.0</v>
      </c>
      <c r="D19" s="4">
        <v>1500.0</v>
      </c>
      <c r="E19" s="4">
        <v>200.0</v>
      </c>
      <c r="F19" s="3" t="s">
        <v>13</v>
      </c>
      <c r="G19" s="4">
        <v>8.0</v>
      </c>
      <c r="H19" s="3" t="b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30</v>
      </c>
      <c r="B20" s="4">
        <v>33.0</v>
      </c>
      <c r="C20" s="4">
        <v>20.0</v>
      </c>
      <c r="D20" s="4">
        <v>660.0</v>
      </c>
      <c r="E20" s="4">
        <v>60.0</v>
      </c>
      <c r="F20" s="3" t="s">
        <v>9</v>
      </c>
      <c r="G20" s="4">
        <v>4.0</v>
      </c>
      <c r="H20" s="3" t="b">
        <v>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31</v>
      </c>
      <c r="B21" s="4">
        <v>40.0</v>
      </c>
      <c r="C21" s="4">
        <v>25.0</v>
      </c>
      <c r="D21" s="4">
        <v>1000.0</v>
      </c>
      <c r="E21" s="4">
        <v>100.0</v>
      </c>
      <c r="F21" s="3" t="s">
        <v>18</v>
      </c>
      <c r="G21" s="4">
        <v>5.0</v>
      </c>
      <c r="H21" s="3" t="b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32</v>
      </c>
      <c r="B22" s="4">
        <v>48.0</v>
      </c>
      <c r="C22" s="4">
        <v>26.0</v>
      </c>
      <c r="D22" s="4">
        <v>1248.0</v>
      </c>
      <c r="E22" s="4">
        <v>180.0</v>
      </c>
      <c r="F22" s="3" t="s">
        <v>13</v>
      </c>
      <c r="G22" s="4">
        <v>9.0</v>
      </c>
      <c r="H22" s="3" t="b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33</v>
      </c>
      <c r="B23" s="4">
        <v>38.0</v>
      </c>
      <c r="C23" s="4">
        <v>22.0</v>
      </c>
      <c r="D23" s="4">
        <v>836.0</v>
      </c>
      <c r="E23" s="4">
        <v>70.0</v>
      </c>
      <c r="F23" s="3" t="s">
        <v>9</v>
      </c>
      <c r="G23" s="4">
        <v>4.0</v>
      </c>
      <c r="H23" s="3" t="b"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34</v>
      </c>
      <c r="B24" s="4">
        <v>37.0</v>
      </c>
      <c r="C24" s="4">
        <v>20.0</v>
      </c>
      <c r="D24" s="4">
        <v>740.0</v>
      </c>
      <c r="E24" s="4">
        <v>60.0</v>
      </c>
      <c r="F24" s="3" t="s">
        <v>11</v>
      </c>
      <c r="G24" s="4">
        <v>3.0</v>
      </c>
      <c r="H24" s="3" t="b"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35</v>
      </c>
      <c r="B25" s="4">
        <v>46.0</v>
      </c>
      <c r="C25" s="4">
        <v>29.0</v>
      </c>
      <c r="D25" s="4">
        <v>1334.0</v>
      </c>
      <c r="E25" s="4">
        <v>150.0</v>
      </c>
      <c r="F25" s="3" t="s">
        <v>13</v>
      </c>
      <c r="G25" s="4">
        <v>7.0</v>
      </c>
      <c r="H25" s="3" t="b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36</v>
      </c>
      <c r="B26" s="4">
        <v>50.0</v>
      </c>
      <c r="C26" s="4">
        <v>32.0</v>
      </c>
      <c r="D26" s="4">
        <v>1600.0</v>
      </c>
      <c r="E26" s="4">
        <v>210.0</v>
      </c>
      <c r="F26" s="3" t="s">
        <v>18</v>
      </c>
      <c r="G26" s="4">
        <v>10.0</v>
      </c>
      <c r="H26" s="3" t="b">
        <v>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37</v>
      </c>
      <c r="B27" s="4">
        <v>41.0</v>
      </c>
      <c r="C27" s="4">
        <v>24.0</v>
      </c>
      <c r="D27" s="4">
        <v>984.0</v>
      </c>
      <c r="E27" s="4">
        <v>90.0</v>
      </c>
      <c r="F27" s="3" t="s">
        <v>9</v>
      </c>
      <c r="G27" s="4">
        <v>5.0</v>
      </c>
      <c r="H27" s="3" t="b">
        <v>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38</v>
      </c>
      <c r="B28" s="4">
        <v>36.0</v>
      </c>
      <c r="C28" s="4">
        <v>21.0</v>
      </c>
      <c r="D28" s="4">
        <v>756.0</v>
      </c>
      <c r="E28" s="4">
        <v>80.0</v>
      </c>
      <c r="F28" s="3" t="s">
        <v>11</v>
      </c>
      <c r="G28" s="4">
        <v>4.0</v>
      </c>
      <c r="H28" s="3" t="b">
        <v>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39</v>
      </c>
      <c r="B29" s="4">
        <v>44.0</v>
      </c>
      <c r="C29" s="4">
        <v>27.0</v>
      </c>
      <c r="D29" s="4">
        <v>1188.0</v>
      </c>
      <c r="E29" s="4">
        <v>130.0</v>
      </c>
      <c r="F29" s="3" t="s">
        <v>13</v>
      </c>
      <c r="G29" s="4">
        <v>6.0</v>
      </c>
      <c r="H29" s="3" t="b">
        <v>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40</v>
      </c>
      <c r="B30" s="4">
        <v>35.0</v>
      </c>
      <c r="C30" s="4">
        <v>22.0</v>
      </c>
      <c r="D30" s="4">
        <v>770.0</v>
      </c>
      <c r="E30" s="4">
        <v>60.0</v>
      </c>
      <c r="F30" s="3" t="s">
        <v>18</v>
      </c>
      <c r="G30" s="4">
        <v>3.0</v>
      </c>
      <c r="H30" s="3" t="b"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41</v>
      </c>
      <c r="B31" s="4">
        <v>48.0</v>
      </c>
      <c r="C31" s="4">
        <v>28.0</v>
      </c>
      <c r="D31" s="4">
        <v>1344.0</v>
      </c>
      <c r="E31" s="4">
        <v>170.0</v>
      </c>
      <c r="F31" s="3" t="s">
        <v>9</v>
      </c>
      <c r="G31" s="4">
        <v>8.0</v>
      </c>
      <c r="H31" s="3" t="b"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42</v>
      </c>
      <c r="B32" s="4">
        <v>42.0</v>
      </c>
      <c r="C32" s="4">
        <v>26.0</v>
      </c>
      <c r="D32" s="4">
        <v>1092.0</v>
      </c>
      <c r="E32" s="4">
        <v>110.0</v>
      </c>
      <c r="F32" s="3" t="s">
        <v>11</v>
      </c>
      <c r="G32" s="4">
        <v>5.0</v>
      </c>
      <c r="H32" s="3" t="b">
        <v>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43</v>
      </c>
      <c r="B33" s="4">
        <v>39.0</v>
      </c>
      <c r="C33" s="4">
        <v>23.0</v>
      </c>
      <c r="D33" s="4">
        <v>897.0</v>
      </c>
      <c r="E33" s="4">
        <v>90.0</v>
      </c>
      <c r="F33" s="3" t="s">
        <v>13</v>
      </c>
      <c r="G33" s="4">
        <v>4.0</v>
      </c>
      <c r="H33" s="3" t="b">
        <v>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44</v>
      </c>
      <c r="B34" s="4">
        <v>45.0</v>
      </c>
      <c r="C34" s="4">
        <v>30.0</v>
      </c>
      <c r="D34" s="4">
        <v>1350.0</v>
      </c>
      <c r="E34" s="4">
        <v>160.0</v>
      </c>
      <c r="F34" s="3" t="s">
        <v>9</v>
      </c>
      <c r="G34" s="4">
        <v>7.0</v>
      </c>
      <c r="H34" s="3" t="b">
        <v>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45</v>
      </c>
      <c r="B35" s="4">
        <v>34.0</v>
      </c>
      <c r="C35" s="4">
        <v>19.0</v>
      </c>
      <c r="D35" s="4">
        <v>646.0</v>
      </c>
      <c r="E35" s="4">
        <v>50.0</v>
      </c>
      <c r="F35" s="3" t="s">
        <v>18</v>
      </c>
      <c r="G35" s="4">
        <v>2.0</v>
      </c>
      <c r="H35" s="3" t="b"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46</v>
      </c>
      <c r="B36" s="4">
        <v>50.0</v>
      </c>
      <c r="C36" s="4">
        <v>31.0</v>
      </c>
      <c r="D36" s="4">
        <v>1550.0</v>
      </c>
      <c r="E36" s="4">
        <v>200.0</v>
      </c>
      <c r="F36" s="3" t="s">
        <v>11</v>
      </c>
      <c r="G36" s="4">
        <v>9.0</v>
      </c>
      <c r="H36" s="3" t="b">
        <v>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47</v>
      </c>
      <c r="B37" s="4">
        <v>40.0</v>
      </c>
      <c r="C37" s="4">
        <v>25.0</v>
      </c>
      <c r="D37" s="4">
        <v>1000.0</v>
      </c>
      <c r="E37" s="4">
        <v>100.0</v>
      </c>
      <c r="F37" s="3" t="s">
        <v>13</v>
      </c>
      <c r="G37" s="4">
        <v>5.0</v>
      </c>
      <c r="H37" s="3" t="b">
        <v>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48</v>
      </c>
      <c r="B38" s="4">
        <v>37.0</v>
      </c>
      <c r="C38" s="4">
        <v>21.0</v>
      </c>
      <c r="D38" s="4">
        <v>777.0</v>
      </c>
      <c r="E38" s="4">
        <v>70.0</v>
      </c>
      <c r="F38" s="3" t="s">
        <v>9</v>
      </c>
      <c r="G38" s="4">
        <v>3.0</v>
      </c>
      <c r="H38" s="3" t="b"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49</v>
      </c>
      <c r="B39" s="4">
        <v>46.0</v>
      </c>
      <c r="C39" s="4">
        <v>28.0</v>
      </c>
      <c r="D39" s="4">
        <v>1288.0</v>
      </c>
      <c r="E39" s="4">
        <v>150.0</v>
      </c>
      <c r="F39" s="3" t="s">
        <v>11</v>
      </c>
      <c r="G39" s="4">
        <v>6.0</v>
      </c>
      <c r="H39" s="3" t="b">
        <v>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50</v>
      </c>
      <c r="B40" s="4">
        <v>42.0</v>
      </c>
      <c r="C40" s="4">
        <v>24.0</v>
      </c>
      <c r="D40" s="4">
        <v>1008.0</v>
      </c>
      <c r="E40" s="4">
        <v>110.0</v>
      </c>
      <c r="F40" s="3" t="s">
        <v>13</v>
      </c>
      <c r="G40" s="4">
        <v>5.0</v>
      </c>
      <c r="H40" s="3" t="b">
        <v>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51</v>
      </c>
      <c r="B41" s="4">
        <v>38.0</v>
      </c>
      <c r="C41" s="4">
        <v>22.0</v>
      </c>
      <c r="D41" s="4">
        <v>836.0</v>
      </c>
      <c r="E41" s="4">
        <v>60.0</v>
      </c>
      <c r="F41" s="3" t="s">
        <v>18</v>
      </c>
      <c r="G41" s="4">
        <v>4.0</v>
      </c>
      <c r="H41" s="3" t="b"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52</v>
      </c>
      <c r="B42" s="4">
        <v>49.0</v>
      </c>
      <c r="C42" s="4">
        <v>30.0</v>
      </c>
      <c r="D42" s="4">
        <v>1470.0</v>
      </c>
      <c r="E42" s="4">
        <v>190.0</v>
      </c>
      <c r="F42" s="3" t="s">
        <v>9</v>
      </c>
      <c r="G42" s="4">
        <v>8.0</v>
      </c>
      <c r="H42" s="3" t="b"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53</v>
      </c>
      <c r="B43" s="4">
        <v>35.0</v>
      </c>
      <c r="C43" s="4">
        <v>20.0</v>
      </c>
      <c r="D43" s="4">
        <v>700.0</v>
      </c>
      <c r="E43" s="4">
        <v>50.0</v>
      </c>
      <c r="F43" s="3" t="s">
        <v>11</v>
      </c>
      <c r="G43" s="4">
        <v>3.0</v>
      </c>
      <c r="H43" s="3" t="b">
        <v>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54</v>
      </c>
      <c r="B44" s="4">
        <v>44.0</v>
      </c>
      <c r="C44" s="4">
        <v>29.0</v>
      </c>
      <c r="D44" s="4">
        <v>1276.0</v>
      </c>
      <c r="E44" s="4">
        <v>140.0</v>
      </c>
      <c r="F44" s="3" t="s">
        <v>13</v>
      </c>
      <c r="G44" s="4">
        <v>6.0</v>
      </c>
      <c r="H44" s="3" t="b">
        <v>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55</v>
      </c>
      <c r="B45" s="4">
        <v>41.0</v>
      </c>
      <c r="C45" s="4">
        <v>26.0</v>
      </c>
      <c r="D45" s="4">
        <v>1066.0</v>
      </c>
      <c r="E45" s="4">
        <v>120.0</v>
      </c>
      <c r="F45" s="3" t="s">
        <v>9</v>
      </c>
      <c r="G45" s="4">
        <v>5.0</v>
      </c>
      <c r="H45" s="3" t="b">
        <v>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56</v>
      </c>
      <c r="B46" s="4">
        <v>36.0</v>
      </c>
      <c r="C46" s="4">
        <v>21.0</v>
      </c>
      <c r="D46" s="4">
        <v>756.0</v>
      </c>
      <c r="E46" s="4">
        <v>60.0</v>
      </c>
      <c r="F46" s="3" t="s">
        <v>18</v>
      </c>
      <c r="G46" s="4">
        <v>3.0</v>
      </c>
      <c r="H46" s="3" t="b"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57</v>
      </c>
      <c r="B47" s="4">
        <v>50.0</v>
      </c>
      <c r="C47" s="4">
        <v>33.0</v>
      </c>
      <c r="D47" s="4">
        <v>1650.0</v>
      </c>
      <c r="E47" s="4">
        <v>220.0</v>
      </c>
      <c r="F47" s="3" t="s">
        <v>11</v>
      </c>
      <c r="G47" s="4">
        <v>10.0</v>
      </c>
      <c r="H47" s="3" t="b">
        <v>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58</v>
      </c>
      <c r="B48" s="4">
        <v>39.0</v>
      </c>
      <c r="C48" s="4">
        <v>23.0</v>
      </c>
      <c r="D48" s="4">
        <v>897.0</v>
      </c>
      <c r="E48" s="4">
        <v>90.0</v>
      </c>
      <c r="F48" s="3" t="s">
        <v>13</v>
      </c>
      <c r="G48" s="4">
        <v>4.0</v>
      </c>
      <c r="H48" s="3" t="b">
        <v>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59</v>
      </c>
      <c r="B49" s="4">
        <v>45.0</v>
      </c>
      <c r="C49" s="4">
        <v>28.0</v>
      </c>
      <c r="D49" s="4">
        <v>1260.0</v>
      </c>
      <c r="E49" s="4">
        <v>150.0</v>
      </c>
      <c r="F49" s="3" t="s">
        <v>9</v>
      </c>
      <c r="G49" s="4">
        <v>7.0</v>
      </c>
      <c r="H49" s="3" t="b">
        <v>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60</v>
      </c>
      <c r="B50" s="4">
        <v>34.0</v>
      </c>
      <c r="C50" s="4">
        <v>20.0</v>
      </c>
      <c r="D50" s="4">
        <v>680.0</v>
      </c>
      <c r="E50" s="4">
        <v>50.0</v>
      </c>
      <c r="F50" s="3" t="s">
        <v>11</v>
      </c>
      <c r="G50" s="4">
        <v>2.0</v>
      </c>
      <c r="H50" s="3" t="b">
        <v>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61</v>
      </c>
      <c r="B51" s="4">
        <v>48.0</v>
      </c>
      <c r="C51" s="4">
        <v>27.0</v>
      </c>
      <c r="D51" s="4">
        <v>1296.0</v>
      </c>
      <c r="E51" s="4">
        <v>180.0</v>
      </c>
      <c r="F51" s="3" t="s">
        <v>13</v>
      </c>
      <c r="G51" s="4">
        <v>8.0</v>
      </c>
      <c r="H51" s="3" t="b">
        <v>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62</v>
      </c>
      <c r="B52" s="4">
        <v>40.0</v>
      </c>
      <c r="C52" s="4">
        <v>25.0</v>
      </c>
      <c r="D52" s="4">
        <v>1000.0</v>
      </c>
      <c r="E52" s="4">
        <v>100.0</v>
      </c>
      <c r="F52" s="3" t="s">
        <v>18</v>
      </c>
      <c r="G52" s="4">
        <v>5.0</v>
      </c>
      <c r="H52" s="3" t="b">
        <v>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63</v>
      </c>
      <c r="B53" s="4">
        <v>37.0</v>
      </c>
      <c r="C53" s="4">
        <v>22.0</v>
      </c>
      <c r="D53" s="4">
        <v>814.0</v>
      </c>
      <c r="E53" s="4">
        <v>70.0</v>
      </c>
      <c r="F53" s="3" t="s">
        <v>9</v>
      </c>
      <c r="G53" s="4">
        <v>4.0</v>
      </c>
      <c r="H53" s="3" t="b"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64</v>
      </c>
      <c r="B54" s="4">
        <v>44.0</v>
      </c>
      <c r="C54" s="4">
        <v>31.0</v>
      </c>
      <c r="D54" s="4">
        <v>1364.0</v>
      </c>
      <c r="E54" s="4">
        <v>160.0</v>
      </c>
      <c r="F54" s="3" t="s">
        <v>11</v>
      </c>
      <c r="G54" s="4">
        <v>7.0</v>
      </c>
      <c r="H54" s="3" t="b">
        <v>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65</v>
      </c>
      <c r="B55" s="4">
        <v>35.0</v>
      </c>
      <c r="C55" s="4">
        <v>21.0</v>
      </c>
      <c r="D55" s="4">
        <v>735.0</v>
      </c>
      <c r="E55" s="4">
        <v>60.0</v>
      </c>
      <c r="F55" s="3" t="s">
        <v>13</v>
      </c>
      <c r="G55" s="4">
        <v>3.0</v>
      </c>
      <c r="H55" s="3" t="b"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66</v>
      </c>
      <c r="B56" s="4">
        <v>50.0</v>
      </c>
      <c r="C56" s="4">
        <v>34.0</v>
      </c>
      <c r="D56" s="4">
        <v>1700.0</v>
      </c>
      <c r="E56" s="4">
        <v>230.0</v>
      </c>
      <c r="F56" s="3" t="s">
        <v>18</v>
      </c>
      <c r="G56" s="4">
        <v>11.0</v>
      </c>
      <c r="H56" s="3" t="b">
        <v>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67</v>
      </c>
      <c r="B57" s="4">
        <v>42.0</v>
      </c>
      <c r="C57" s="4">
        <v>26.0</v>
      </c>
      <c r="D57" s="4">
        <v>1092.0</v>
      </c>
      <c r="E57" s="4">
        <v>110.0</v>
      </c>
      <c r="F57" s="3" t="s">
        <v>9</v>
      </c>
      <c r="G57" s="4">
        <v>6.0</v>
      </c>
      <c r="H57" s="3" t="b">
        <v>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68</v>
      </c>
      <c r="B58" s="4">
        <v>38.0</v>
      </c>
      <c r="C58" s="4">
        <v>23.0</v>
      </c>
      <c r="D58" s="4">
        <v>874.0</v>
      </c>
      <c r="E58" s="4">
        <v>80.0</v>
      </c>
      <c r="F58" s="3" t="s">
        <v>11</v>
      </c>
      <c r="G58" s="4">
        <v>4.0</v>
      </c>
      <c r="H58" s="3" t="b">
        <v>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69</v>
      </c>
      <c r="B59" s="4">
        <v>46.0</v>
      </c>
      <c r="C59" s="4">
        <v>30.0</v>
      </c>
      <c r="D59" s="4">
        <v>1380.0</v>
      </c>
      <c r="E59" s="4">
        <v>160.0</v>
      </c>
      <c r="F59" s="3" t="s">
        <v>13</v>
      </c>
      <c r="G59" s="4">
        <v>7.0</v>
      </c>
      <c r="H59" s="3" t="b">
        <v>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70</v>
      </c>
      <c r="B60" s="4">
        <v>39.0</v>
      </c>
      <c r="C60" s="4">
        <v>24.0</v>
      </c>
      <c r="D60" s="4">
        <v>936.0</v>
      </c>
      <c r="E60" s="4">
        <v>90.0</v>
      </c>
      <c r="F60" s="3" t="s">
        <v>9</v>
      </c>
      <c r="G60" s="4">
        <v>5.0</v>
      </c>
      <c r="H60" s="3" t="b">
        <v>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71</v>
      </c>
      <c r="B61" s="4">
        <v>41.0</v>
      </c>
      <c r="C61" s="4">
        <v>25.0</v>
      </c>
      <c r="D61" s="4">
        <v>1025.0</v>
      </c>
      <c r="E61" s="4">
        <v>100.0</v>
      </c>
      <c r="F61" s="3" t="s">
        <v>18</v>
      </c>
      <c r="G61" s="4">
        <v>6.0</v>
      </c>
      <c r="H61" s="3" t="b">
        <v>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f>COUNTA(A2:A61)</f>
        <v>60</v>
      </c>
      <c r="B62" s="5"/>
      <c r="C62" s="5"/>
      <c r="D62" s="6" t="s">
        <v>72</v>
      </c>
      <c r="E62" s="5">
        <f>SUMIF(F2:F61,"marketing",E2:E61)</f>
        <v>1690</v>
      </c>
      <c r="F62" s="5">
        <f>COUNTIF(F2:F61,"Marketing")</f>
        <v>15</v>
      </c>
      <c r="G62" s="5"/>
      <c r="H62" s="5">
        <f>COUNTIF(H2:H61,"True")</f>
        <v>40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3" t="s">
        <v>73</v>
      </c>
      <c r="E64" s="2">
        <f>SUMIF(F2:F61,"IT",E2:E61)</f>
        <v>2180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7" t="s">
        <v>74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7" t="s">
        <v>75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8"/>
      <c r="C70" s="9" t="s">
        <v>76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9.75"/>
    <col customWidth="1" min="3" max="3" width="26.13"/>
    <col customWidth="1" min="4" max="4" width="22.38"/>
  </cols>
  <sheetData>
    <row r="1">
      <c r="A1" s="1" t="s">
        <v>77</v>
      </c>
      <c r="B1" s="1" t="s">
        <v>78</v>
      </c>
      <c r="C1" s="1" t="s">
        <v>79</v>
      </c>
      <c r="D1" s="1" t="s">
        <v>80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81</v>
      </c>
      <c r="B2" s="3">
        <v>20.0</v>
      </c>
      <c r="C2" s="3">
        <v>8.0</v>
      </c>
      <c r="D2" s="2">
        <f t="shared" ref="D2:D5" si="1">B2/C$2</f>
        <v>2.5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82</v>
      </c>
      <c r="B3" s="3">
        <v>35.0</v>
      </c>
      <c r="C3" s="2"/>
      <c r="D3" s="2">
        <f t="shared" si="1"/>
        <v>4.375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83</v>
      </c>
      <c r="B4" s="3">
        <v>10.0</v>
      </c>
      <c r="C4" s="2"/>
      <c r="D4" s="2">
        <f t="shared" si="1"/>
        <v>1.25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84</v>
      </c>
      <c r="B5" s="3">
        <v>28.0</v>
      </c>
      <c r="C5" s="2"/>
      <c r="D5" s="2">
        <f t="shared" si="1"/>
        <v>3.5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7">
      <c r="A7" s="10" t="s">
        <v>85</v>
      </c>
      <c r="B7" s="1" t="s">
        <v>86</v>
      </c>
      <c r="C7" s="1" t="s">
        <v>87</v>
      </c>
    </row>
    <row r="8">
      <c r="A8" s="11"/>
      <c r="B8" s="1" t="s">
        <v>88</v>
      </c>
    </row>
    <row r="9">
      <c r="A9" s="11"/>
      <c r="B9" s="2"/>
      <c r="C9" s="2"/>
    </row>
    <row r="10">
      <c r="A10" s="10" t="s">
        <v>89</v>
      </c>
      <c r="B10" s="1" t="s">
        <v>90</v>
      </c>
      <c r="C10" s="12" t="s">
        <v>91</v>
      </c>
    </row>
    <row r="11">
      <c r="A11" s="11"/>
      <c r="B11" s="1" t="s">
        <v>92</v>
      </c>
    </row>
    <row r="12">
      <c r="A12" s="11"/>
      <c r="B12" s="2"/>
    </row>
    <row r="13">
      <c r="A13" s="10" t="s">
        <v>93</v>
      </c>
      <c r="B13" s="1" t="s">
        <v>94</v>
      </c>
    </row>
    <row r="14">
      <c r="A14" s="10" t="s">
        <v>95</v>
      </c>
      <c r="B14" s="13" t="s">
        <v>96</v>
      </c>
    </row>
    <row r="15">
      <c r="B15" s="14"/>
    </row>
    <row r="16">
      <c r="B16" s="15"/>
    </row>
    <row r="17">
      <c r="B17" s="14"/>
    </row>
  </sheetData>
  <mergeCells count="2">
    <mergeCell ref="C7:C8"/>
    <mergeCell ref="C10:C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6.13"/>
    <col customWidth="1" min="3" max="3" width="14.63"/>
    <col customWidth="1" min="4" max="4" width="21.0"/>
  </cols>
  <sheetData>
    <row r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9" t="s">
        <v>104</v>
      </c>
    </row>
    <row r="2">
      <c r="A2" s="3" t="s">
        <v>105</v>
      </c>
      <c r="B2" s="3" t="s">
        <v>106</v>
      </c>
      <c r="C2" s="2" t="str">
        <f t="shared" ref="C2:C7" si="1">CONCATENATE(A2," ",B2)</f>
        <v>John Doe</v>
      </c>
      <c r="D2" s="16" t="s">
        <v>107</v>
      </c>
      <c r="E2" s="17" t="str">
        <f>IFERROR(__xludf.DUMMYFUNCTION("SPLIT(D2,""@"")"),"john.doe")</f>
        <v>john.doe</v>
      </c>
      <c r="F2" s="18" t="str">
        <f>IFERROR(__xludf.DUMMYFUNCTION("""COMPUTED_VALUE"""),"gmail.com")</f>
        <v>gmail.com</v>
      </c>
      <c r="G2" s="3" t="s">
        <v>108</v>
      </c>
      <c r="H2" s="2">
        <f>FIND("Y",G2)</f>
        <v>5</v>
      </c>
    </row>
    <row r="3">
      <c r="A3" s="3" t="s">
        <v>109</v>
      </c>
      <c r="B3" s="3" t="s">
        <v>110</v>
      </c>
      <c r="C3" s="2" t="str">
        <f t="shared" si="1"/>
        <v>Jane Smith</v>
      </c>
      <c r="D3" s="16" t="s">
        <v>111</v>
      </c>
      <c r="E3" s="17" t="str">
        <f>IFERROR(__xludf.DUMMYFUNCTION("SPLIT(D3,""@"")"),"jane.smith")</f>
        <v>jane.smith</v>
      </c>
      <c r="F3" s="18" t="str">
        <f>IFERROR(__xludf.DUMMYFUNCTION("""COMPUTED_VALUE"""),"outlook.com")</f>
        <v>outlook.com</v>
      </c>
      <c r="G3" s="3" t="s">
        <v>108</v>
      </c>
      <c r="H3" s="2">
        <f>SEARCH("york",G3)</f>
        <v>5</v>
      </c>
    </row>
    <row r="4">
      <c r="A4" s="3" t="s">
        <v>112</v>
      </c>
      <c r="B4" s="3" t="s">
        <v>113</v>
      </c>
      <c r="C4" s="2" t="str">
        <f t="shared" si="1"/>
        <v>Sarah Connor</v>
      </c>
      <c r="D4" s="16" t="s">
        <v>114</v>
      </c>
      <c r="E4" s="17" t="str">
        <f>IFERROR(__xludf.DUMMYFUNCTION("SPLIT(D4,""@"")"),"sarah.connor")</f>
        <v>sarah.connor</v>
      </c>
      <c r="F4" s="18" t="str">
        <f>IFERROR(__xludf.DUMMYFUNCTION("""COMPUTED_VALUE"""),"apple.com")</f>
        <v>apple.com</v>
      </c>
      <c r="G4" s="3" t="s">
        <v>115</v>
      </c>
      <c r="H4" s="2">
        <f t="shared" ref="H4:H5" si="2">SEARCH("new",G4)</f>
        <v>1</v>
      </c>
    </row>
    <row r="5">
      <c r="A5" s="3" t="s">
        <v>116</v>
      </c>
      <c r="B5" s="3" t="s">
        <v>117</v>
      </c>
      <c r="C5" s="2" t="str">
        <f t="shared" si="1"/>
        <v>Mike Jordan</v>
      </c>
      <c r="D5" s="16" t="s">
        <v>118</v>
      </c>
      <c r="E5" s="17" t="str">
        <f>IFERROR(__xludf.DUMMYFUNCTION("SPLIT(D5,""@"")"),"mike.jordan")</f>
        <v>mike.jordan</v>
      </c>
      <c r="F5" s="18" t="str">
        <f>IFERROR(__xludf.DUMMYFUNCTION("""COMPUTED_VALUE"""),"yahoo.com")</f>
        <v>yahoo.com</v>
      </c>
      <c r="G5" s="3" t="s">
        <v>115</v>
      </c>
      <c r="H5" s="2">
        <f t="shared" si="2"/>
        <v>1</v>
      </c>
    </row>
    <row r="6">
      <c r="A6" s="3" t="s">
        <v>119</v>
      </c>
      <c r="B6" s="3" t="s">
        <v>120</v>
      </c>
      <c r="C6" s="2" t="str">
        <f t="shared" si="1"/>
        <v>Chris Lee</v>
      </c>
      <c r="D6" s="16" t="s">
        <v>121</v>
      </c>
      <c r="E6" s="17" t="str">
        <f>IFERROR(__xludf.DUMMYFUNCTION("SPLIT(D6,""@"")"),"chris.lee")</f>
        <v>chris.lee</v>
      </c>
      <c r="F6" s="18" t="str">
        <f>IFERROR(__xludf.DUMMYFUNCTION("""COMPUTED_VALUE"""),"amazon.com")</f>
        <v>amazon.com</v>
      </c>
      <c r="G6" s="3" t="s">
        <v>108</v>
      </c>
      <c r="H6" s="2">
        <f>SEARCH("york",G6)</f>
        <v>5</v>
      </c>
    </row>
    <row r="7">
      <c r="A7" s="3" t="s">
        <v>122</v>
      </c>
      <c r="B7" s="3" t="s">
        <v>123</v>
      </c>
      <c r="C7" s="2" t="str">
        <f t="shared" si="1"/>
        <v>Emily Clarke</v>
      </c>
      <c r="D7" s="16" t="s">
        <v>124</v>
      </c>
      <c r="E7" s="17" t="str">
        <f>IFERROR(__xludf.DUMMYFUNCTION("SPLIT(D7,""@"")"),"emily.clarke")</f>
        <v>emily.clarke</v>
      </c>
      <c r="F7" s="18" t="str">
        <f>IFERROR(__xludf.DUMMYFUNCTION("""COMPUTED_VALUE"""),"gmail.com")</f>
        <v>gmail.com</v>
      </c>
      <c r="G7" s="3" t="s">
        <v>125</v>
      </c>
      <c r="H7" s="2">
        <f>SEARCH("new",G7)</f>
        <v>1</v>
      </c>
    </row>
    <row r="8">
      <c r="A8" s="3" t="s">
        <v>126</v>
      </c>
      <c r="B8" s="3" t="s">
        <v>127</v>
      </c>
      <c r="C8" s="2" t="str">
        <f>LEFT(B8,3)</f>
        <v>Sha</v>
      </c>
      <c r="F8" s="19" t="s">
        <v>128</v>
      </c>
      <c r="G8" s="20">
        <f>FIND("ad","Fat Lady")</f>
        <v>6</v>
      </c>
    </row>
    <row r="9">
      <c r="A9" s="3" t="s">
        <v>129</v>
      </c>
      <c r="B9" s="2"/>
      <c r="C9" s="2" t="str">
        <f>RIGHT(B8,3)</f>
        <v>ner</v>
      </c>
    </row>
    <row r="10">
      <c r="A10" s="3" t="s">
        <v>130</v>
      </c>
      <c r="B10" s="2"/>
      <c r="C10" s="3" t="str">
        <f>MID(B8,4,2)</f>
        <v>rp</v>
      </c>
    </row>
    <row r="11">
      <c r="A11" s="19" t="s">
        <v>131</v>
      </c>
      <c r="B11" s="3" t="s">
        <v>132</v>
      </c>
      <c r="C11" s="2" t="str">
        <f>CONCAT(A11,B11)</f>
        <v>PriyaKhare</v>
      </c>
    </row>
    <row r="12">
      <c r="A12" s="19" t="s">
        <v>133</v>
      </c>
      <c r="B12" s="3" t="s">
        <v>134</v>
      </c>
      <c r="C12" s="2" t="str">
        <f>UPPER(B12)</f>
        <v>SHRADDHA</v>
      </c>
    </row>
    <row r="13">
      <c r="A13" s="19" t="s">
        <v>135</v>
      </c>
      <c r="B13" s="2"/>
      <c r="C13" s="2" t="str">
        <f>LOWER(B12)</f>
        <v>shraddha</v>
      </c>
    </row>
    <row r="14">
      <c r="A14" s="19" t="s">
        <v>136</v>
      </c>
      <c r="B14" s="3" t="s">
        <v>137</v>
      </c>
      <c r="C14" s="2" t="str">
        <f>PROPER(B14)</f>
        <v>John Doe</v>
      </c>
    </row>
    <row r="15">
      <c r="A15" s="19" t="s">
        <v>138</v>
      </c>
      <c r="B15" s="19" t="s">
        <v>139</v>
      </c>
      <c r="C15" s="17" t="str">
        <f t="shared" ref="C15:C16" si="3">TRIM(B15)</f>
        <v>dhanush</v>
      </c>
    </row>
    <row r="16">
      <c r="A16" s="19" t="s">
        <v>138</v>
      </c>
      <c r="B16" s="19" t="s">
        <v>140</v>
      </c>
      <c r="C16" s="17" t="str">
        <f t="shared" si="3"/>
        <v>Ram Jain</v>
      </c>
    </row>
    <row r="17">
      <c r="A17" s="19" t="s">
        <v>141</v>
      </c>
      <c r="B17" s="19" t="s">
        <v>142</v>
      </c>
      <c r="C17" s="17" t="str">
        <f>SUBSTITUTE(B17," ","")</f>
        <v>Prompting</v>
      </c>
    </row>
    <row r="18">
      <c r="A18" s="19" t="s">
        <v>143</v>
      </c>
      <c r="B18" s="19" t="s">
        <v>144</v>
      </c>
      <c r="C18" s="17" t="str">
        <f>TRIM(SUBSTITUTE(B18,CHAR(8)," "))
</f>
        <v>Shraddha</v>
      </c>
    </row>
    <row r="19">
      <c r="A19" s="19" t="s">
        <v>145</v>
      </c>
      <c r="B19" s="19" t="s">
        <v>146</v>
      </c>
      <c r="C19" s="17" t="str">
        <f>TRIM(CLEAN(B19))
</f>
        <v>First Name</v>
      </c>
    </row>
    <row r="20">
      <c r="A20" s="9" t="s">
        <v>147</v>
      </c>
      <c r="B20" s="19" t="s">
        <v>148</v>
      </c>
      <c r="C20" s="17" t="str">
        <f>SUBSTITUTE(B20,"Sharma", "Verma")</f>
        <v>Priya Verma</v>
      </c>
    </row>
    <row r="21">
      <c r="B21" s="3" t="s">
        <v>149</v>
      </c>
    </row>
    <row r="22">
      <c r="B22" s="3" t="s">
        <v>150</v>
      </c>
    </row>
    <row r="23">
      <c r="B23" s="17" t="b">
        <f>Eq(B21,B22)</f>
        <v>1</v>
      </c>
    </row>
    <row r="24">
      <c r="A24" s="19"/>
    </row>
  </sheetData>
  <hyperlinks>
    <hyperlink r:id="rId1" ref="D2"/>
    <hyperlink r:id="rId2" ref="F2"/>
    <hyperlink r:id="rId3" ref="D3"/>
    <hyperlink r:id="rId4" ref="F3"/>
    <hyperlink r:id="rId5" ref="D4"/>
    <hyperlink r:id="rId6" ref="F4"/>
    <hyperlink r:id="rId7" ref="D5"/>
    <hyperlink r:id="rId8" ref="F5"/>
    <hyperlink r:id="rId9" ref="D6"/>
    <hyperlink r:id="rId10" ref="F6"/>
    <hyperlink r:id="rId11" ref="D7"/>
    <hyperlink r:id="rId12" ref="F7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1.75"/>
  </cols>
  <sheetData>
    <row r="1">
      <c r="A1" s="1" t="s">
        <v>151</v>
      </c>
      <c r="B1" s="1" t="s">
        <v>152</v>
      </c>
    </row>
    <row r="2">
      <c r="A2" s="19" t="s">
        <v>153</v>
      </c>
      <c r="B2" s="19" t="s">
        <v>154</v>
      </c>
    </row>
    <row r="3">
      <c r="A3" s="19" t="s">
        <v>155</v>
      </c>
      <c r="B3" s="19" t="s">
        <v>156</v>
      </c>
    </row>
    <row r="4">
      <c r="A4" s="19" t="s">
        <v>157</v>
      </c>
      <c r="B4" s="19" t="s">
        <v>158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1.25"/>
    <col customWidth="1" min="3" max="3" width="15.13"/>
    <col customWidth="1" min="4" max="4" width="12.25"/>
    <col customWidth="1" min="5" max="5" width="13.25"/>
  </cols>
  <sheetData>
    <row r="1">
      <c r="A1" s="1" t="s">
        <v>159</v>
      </c>
      <c r="B1" s="9" t="s">
        <v>160</v>
      </c>
      <c r="C1" s="9" t="s">
        <v>161</v>
      </c>
      <c r="D1" s="9" t="s">
        <v>162</v>
      </c>
      <c r="E1" s="9" t="s">
        <v>163</v>
      </c>
    </row>
    <row r="2">
      <c r="A2" s="3">
        <v>24.5</v>
      </c>
      <c r="B2" s="2">
        <f t="shared" ref="B2:B4" si="1">CEILING(A2,1)</f>
        <v>25</v>
      </c>
      <c r="C2" s="2">
        <f t="shared" ref="C2:C4" si="2">FLOOR(A2,1)</f>
        <v>24</v>
      </c>
      <c r="D2" s="2">
        <f t="shared" ref="D2:D4" si="3">INT(A2)</f>
        <v>24</v>
      </c>
      <c r="E2" s="17">
        <f t="shared" ref="E2:E4" si="4">ABS(A2)</f>
        <v>24.5</v>
      </c>
    </row>
    <row r="3">
      <c r="A3" s="3">
        <v>-4.85</v>
      </c>
      <c r="B3" s="2">
        <f t="shared" si="1"/>
        <v>-4</v>
      </c>
      <c r="C3" s="2">
        <f t="shared" si="2"/>
        <v>-5</v>
      </c>
      <c r="D3" s="2">
        <f t="shared" si="3"/>
        <v>-5</v>
      </c>
      <c r="E3" s="17">
        <f t="shared" si="4"/>
        <v>4.85</v>
      </c>
    </row>
    <row r="4">
      <c r="A4" s="3">
        <v>37.771</v>
      </c>
      <c r="B4" s="2">
        <f t="shared" si="1"/>
        <v>38</v>
      </c>
      <c r="C4" s="2">
        <f t="shared" si="2"/>
        <v>37</v>
      </c>
      <c r="D4" s="2">
        <f t="shared" si="3"/>
        <v>37</v>
      </c>
      <c r="E4" s="17">
        <f t="shared" si="4"/>
        <v>37.771</v>
      </c>
    </row>
    <row r="5">
      <c r="A5" s="3"/>
      <c r="B5" s="2"/>
      <c r="C5" s="2"/>
      <c r="D5" s="2"/>
    </row>
    <row r="7">
      <c r="B7" s="7" t="s">
        <v>164</v>
      </c>
      <c r="C7" s="9" t="s">
        <v>165</v>
      </c>
    </row>
    <row r="8">
      <c r="A8" s="3">
        <v>4.0</v>
      </c>
      <c r="B8" s="2">
        <f t="shared" ref="B8:B10" si="5">SQRT(A8)</f>
        <v>2</v>
      </c>
      <c r="C8" s="2">
        <f>POWER(B8,4)</f>
        <v>16</v>
      </c>
    </row>
    <row r="9">
      <c r="A9" s="3">
        <v>9.0</v>
      </c>
      <c r="B9" s="2">
        <f t="shared" si="5"/>
        <v>3</v>
      </c>
      <c r="C9" s="2">
        <f t="shared" ref="C9:C10" si="6">POWER(B9,3)</f>
        <v>27</v>
      </c>
    </row>
    <row r="10">
      <c r="A10" s="3">
        <v>16.0</v>
      </c>
      <c r="B10" s="2">
        <f t="shared" si="5"/>
        <v>4</v>
      </c>
      <c r="C10" s="2">
        <f t="shared" si="6"/>
        <v>64</v>
      </c>
    </row>
    <row r="12">
      <c r="A12" s="19" t="s">
        <v>166</v>
      </c>
      <c r="B12" s="17">
        <f>EXP(2)</f>
        <v>7.389056099</v>
      </c>
    </row>
    <row r="13">
      <c r="A13" s="21" t="s">
        <v>167</v>
      </c>
      <c r="B13" s="17">
        <f>PI()</f>
        <v>3.141592654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7">
        <f>B2+C2</f>
        <v>5</v>
      </c>
      <c r="B2" s="19">
        <v>2.0</v>
      </c>
      <c r="C2" s="19">
        <v>3.0</v>
      </c>
    </row>
    <row r="7">
      <c r="A7" s="17">
        <f>B7+C7</f>
        <v>7</v>
      </c>
      <c r="B7" s="19">
        <v>3.0</v>
      </c>
      <c r="C7" s="19">
        <v>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21.63"/>
    <col customWidth="1" min="4" max="4" width="18.5"/>
  </cols>
  <sheetData>
    <row r="1" ht="41.2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168</v>
      </c>
      <c r="G1" s="7" t="s">
        <v>169</v>
      </c>
    </row>
    <row r="2">
      <c r="A2" s="3">
        <v>1000.0</v>
      </c>
      <c r="B2" s="3">
        <v>100.0</v>
      </c>
      <c r="C2" s="3" t="s">
        <v>9</v>
      </c>
      <c r="D2" s="3">
        <v>5.0</v>
      </c>
      <c r="E2" s="3" t="b">
        <v>1</v>
      </c>
      <c r="F2" s="2" t="str">
        <f t="shared" ref="F2:F20" si="1">IFS(D2=0,"InExperienced",D2&lt;=3,"Junior",D2&gt;3,"Senior")</f>
        <v>Senior</v>
      </c>
      <c r="G2" s="17" t="str">
        <f t="shared" ref="G2:G20" si="2">IF(D2=5,IF(C2="Sales","Sales Exp", "Other Exp"),"Junior Guy")</f>
        <v>Sales Exp</v>
      </c>
    </row>
    <row r="3">
      <c r="A3" s="3">
        <v>700.0</v>
      </c>
      <c r="B3" s="3">
        <v>50.0</v>
      </c>
      <c r="C3" s="3" t="s">
        <v>11</v>
      </c>
      <c r="D3" s="3">
        <v>3.0</v>
      </c>
      <c r="E3" s="3" t="b">
        <v>0</v>
      </c>
      <c r="F3" s="2" t="str">
        <f t="shared" si="1"/>
        <v>Junior</v>
      </c>
      <c r="G3" s="17" t="str">
        <f t="shared" si="2"/>
        <v>Junior Guy</v>
      </c>
    </row>
    <row r="4">
      <c r="A4" s="3">
        <v>1350.0</v>
      </c>
      <c r="B4" s="3">
        <v>150.0</v>
      </c>
      <c r="C4" s="3" t="s">
        <v>13</v>
      </c>
      <c r="D4" s="3">
        <v>7.0</v>
      </c>
      <c r="E4" s="3" t="b">
        <v>1</v>
      </c>
      <c r="F4" s="2" t="str">
        <f t="shared" si="1"/>
        <v>Senior</v>
      </c>
      <c r="G4" s="17" t="str">
        <f t="shared" si="2"/>
        <v>Junior Guy</v>
      </c>
    </row>
    <row r="5">
      <c r="A5" s="3">
        <v>836.0</v>
      </c>
      <c r="B5" s="3">
        <v>80.0</v>
      </c>
      <c r="C5" s="3" t="s">
        <v>9</v>
      </c>
      <c r="D5" s="3">
        <v>4.0</v>
      </c>
      <c r="E5" s="3" t="b">
        <v>0</v>
      </c>
      <c r="F5" s="2" t="str">
        <f t="shared" si="1"/>
        <v>Senior</v>
      </c>
      <c r="G5" s="17" t="str">
        <f t="shared" si="2"/>
        <v>Junior Guy</v>
      </c>
    </row>
    <row r="6">
      <c r="A6" s="3">
        <v>1400.0</v>
      </c>
      <c r="B6" s="3">
        <v>200.0</v>
      </c>
      <c r="C6" s="3" t="s">
        <v>11</v>
      </c>
      <c r="D6" s="3">
        <v>0.0</v>
      </c>
      <c r="E6" s="3" t="b">
        <v>1</v>
      </c>
      <c r="F6" s="2" t="str">
        <f t="shared" si="1"/>
        <v>InExperienced</v>
      </c>
      <c r="G6" s="17" t="str">
        <f t="shared" si="2"/>
        <v>Junior Guy</v>
      </c>
    </row>
    <row r="7">
      <c r="A7" s="3">
        <v>1092.0</v>
      </c>
      <c r="B7" s="3">
        <v>110.0</v>
      </c>
      <c r="C7" s="3" t="s">
        <v>13</v>
      </c>
      <c r="D7" s="3">
        <v>5.0</v>
      </c>
      <c r="E7" s="3" t="b">
        <v>1</v>
      </c>
      <c r="F7" s="2" t="str">
        <f t="shared" si="1"/>
        <v>Senior</v>
      </c>
      <c r="G7" s="17" t="str">
        <f t="shared" si="2"/>
        <v>Other Exp</v>
      </c>
    </row>
    <row r="8">
      <c r="A8" s="3">
        <v>851.0</v>
      </c>
      <c r="B8" s="3">
        <v>90.0</v>
      </c>
      <c r="C8" s="3" t="s">
        <v>18</v>
      </c>
      <c r="D8" s="3">
        <v>2.0</v>
      </c>
      <c r="E8" s="3" t="b">
        <v>0</v>
      </c>
      <c r="F8" s="2" t="str">
        <f t="shared" si="1"/>
        <v>Junior</v>
      </c>
      <c r="G8" s="17" t="str">
        <f t="shared" si="2"/>
        <v>Junior Guy</v>
      </c>
    </row>
    <row r="9">
      <c r="A9" s="3">
        <v>984.0</v>
      </c>
      <c r="B9" s="3">
        <v>120.0</v>
      </c>
      <c r="C9" s="3" t="s">
        <v>13</v>
      </c>
      <c r="D9" s="3">
        <v>6.0</v>
      </c>
      <c r="E9" s="3" t="b">
        <v>1</v>
      </c>
      <c r="F9" s="2" t="str">
        <f t="shared" si="1"/>
        <v>Senior</v>
      </c>
      <c r="G9" s="17" t="str">
        <f t="shared" si="2"/>
        <v>Junior Guy</v>
      </c>
    </row>
    <row r="10">
      <c r="A10" s="3">
        <v>819.0</v>
      </c>
      <c r="B10" s="3">
        <v>70.0</v>
      </c>
      <c r="C10" s="3" t="s">
        <v>9</v>
      </c>
      <c r="D10" s="3">
        <v>1.0</v>
      </c>
      <c r="E10" s="3" t="b">
        <v>1</v>
      </c>
      <c r="F10" s="2" t="str">
        <f t="shared" si="1"/>
        <v>Junior</v>
      </c>
      <c r="G10" s="17" t="str">
        <f t="shared" si="2"/>
        <v>Junior Guy</v>
      </c>
    </row>
    <row r="11">
      <c r="A11" s="3">
        <v>720.0</v>
      </c>
      <c r="B11" s="3">
        <v>60.0</v>
      </c>
      <c r="C11" s="3" t="s">
        <v>11</v>
      </c>
      <c r="D11" s="3">
        <v>4.0</v>
      </c>
      <c r="E11" s="3" t="b">
        <v>0</v>
      </c>
      <c r="F11" s="2" t="str">
        <f t="shared" si="1"/>
        <v>Senior</v>
      </c>
      <c r="G11" s="17" t="str">
        <f t="shared" si="2"/>
        <v>Junior Guy</v>
      </c>
    </row>
    <row r="12">
      <c r="A12" s="3">
        <v>1408.0</v>
      </c>
      <c r="B12" s="3">
        <v>160.0</v>
      </c>
      <c r="C12" s="3" t="s">
        <v>13</v>
      </c>
      <c r="D12" s="3">
        <v>8.0</v>
      </c>
      <c r="E12" s="3" t="b">
        <v>1</v>
      </c>
      <c r="F12" s="2" t="str">
        <f t="shared" si="1"/>
        <v>Senior</v>
      </c>
      <c r="G12" s="17" t="str">
        <f t="shared" si="2"/>
        <v>Junior Guy</v>
      </c>
    </row>
    <row r="13">
      <c r="A13" s="3">
        <v>660.0</v>
      </c>
      <c r="B13" s="3">
        <v>40.0</v>
      </c>
      <c r="C13" s="3" t="s">
        <v>18</v>
      </c>
      <c r="D13" s="3">
        <v>2.0</v>
      </c>
      <c r="E13" s="3" t="b">
        <v>0</v>
      </c>
      <c r="F13" s="2" t="str">
        <f t="shared" si="1"/>
        <v>Junior</v>
      </c>
      <c r="G13" s="17" t="str">
        <f t="shared" si="2"/>
        <v>Junior Guy</v>
      </c>
    </row>
    <row r="14">
      <c r="A14" s="3">
        <v>1350.0</v>
      </c>
      <c r="B14" s="3">
        <v>190.0</v>
      </c>
      <c r="C14" s="3" t="s">
        <v>9</v>
      </c>
      <c r="D14" s="3">
        <v>7.0</v>
      </c>
      <c r="E14" s="3" t="b">
        <v>1</v>
      </c>
      <c r="F14" s="2" t="str">
        <f t="shared" si="1"/>
        <v>Senior</v>
      </c>
      <c r="G14" s="17" t="str">
        <f t="shared" si="2"/>
        <v>Junior Guy</v>
      </c>
    </row>
    <row r="15">
      <c r="A15" s="3">
        <v>1050.0</v>
      </c>
      <c r="B15" s="3">
        <v>120.0</v>
      </c>
      <c r="C15" s="3" t="s">
        <v>11</v>
      </c>
      <c r="D15" s="3">
        <v>5.0</v>
      </c>
      <c r="E15" s="3" t="b">
        <v>1</v>
      </c>
      <c r="F15" s="2" t="str">
        <f t="shared" si="1"/>
        <v>Senior</v>
      </c>
      <c r="G15" s="17" t="str">
        <f t="shared" si="2"/>
        <v>Other Exp</v>
      </c>
    </row>
    <row r="16">
      <c r="A16" s="3">
        <v>646.0</v>
      </c>
      <c r="B16" s="3">
        <v>50.0</v>
      </c>
      <c r="C16" s="3" t="s">
        <v>13</v>
      </c>
      <c r="D16" s="3">
        <v>4.0</v>
      </c>
      <c r="E16" s="3" t="b">
        <v>0</v>
      </c>
      <c r="F16" s="2" t="str">
        <f t="shared" si="1"/>
        <v>Senior</v>
      </c>
      <c r="G16" s="17" t="str">
        <f t="shared" si="2"/>
        <v>Junior Guy</v>
      </c>
    </row>
    <row r="17">
      <c r="A17" s="3">
        <v>1305.0</v>
      </c>
      <c r="B17" s="3">
        <v>140.0</v>
      </c>
      <c r="C17" s="3" t="s">
        <v>9</v>
      </c>
      <c r="D17" s="3">
        <v>6.0</v>
      </c>
      <c r="E17" s="3" t="b">
        <v>1</v>
      </c>
      <c r="F17" s="2" t="str">
        <f t="shared" si="1"/>
        <v>Senior</v>
      </c>
      <c r="G17" s="17" t="str">
        <f t="shared" si="2"/>
        <v>Junior Guy</v>
      </c>
    </row>
    <row r="18">
      <c r="A18" s="3">
        <v>897.0</v>
      </c>
      <c r="B18" s="3">
        <v>100.0</v>
      </c>
      <c r="C18" s="3" t="s">
        <v>11</v>
      </c>
      <c r="D18" s="3">
        <v>3.0</v>
      </c>
      <c r="E18" s="3" t="b">
        <v>1</v>
      </c>
      <c r="F18" s="2" t="str">
        <f t="shared" si="1"/>
        <v>Junior</v>
      </c>
      <c r="G18" s="17" t="str">
        <f t="shared" si="2"/>
        <v>Junior Guy</v>
      </c>
    </row>
    <row r="19">
      <c r="A19" s="3">
        <v>1500.0</v>
      </c>
      <c r="B19" s="3">
        <v>200.0</v>
      </c>
      <c r="C19" s="3" t="s">
        <v>13</v>
      </c>
      <c r="D19" s="3">
        <v>8.0</v>
      </c>
      <c r="E19" s="3" t="b">
        <v>1</v>
      </c>
      <c r="F19" s="2" t="str">
        <f t="shared" si="1"/>
        <v>Senior</v>
      </c>
      <c r="G19" s="17" t="str">
        <f t="shared" si="2"/>
        <v>Junior Guy</v>
      </c>
    </row>
    <row r="20">
      <c r="A20" s="3">
        <v>660.0</v>
      </c>
      <c r="B20" s="3">
        <v>60.0</v>
      </c>
      <c r="C20" s="3" t="s">
        <v>9</v>
      </c>
      <c r="D20" s="3">
        <v>4.0</v>
      </c>
      <c r="E20" s="3" t="b">
        <v>0</v>
      </c>
      <c r="F20" s="2" t="str">
        <f t="shared" si="1"/>
        <v>Senior</v>
      </c>
      <c r="G20" s="17" t="str">
        <f t="shared" si="2"/>
        <v>Junior Guy</v>
      </c>
    </row>
    <row r="22">
      <c r="A22" s="19" t="s">
        <v>170</v>
      </c>
    </row>
    <row r="24">
      <c r="A24" s="7"/>
    </row>
    <row r="25">
      <c r="A25" s="7" t="s">
        <v>171</v>
      </c>
      <c r="B25" s="19" t="s">
        <v>172</v>
      </c>
    </row>
    <row r="26">
      <c r="A26" s="19" t="s">
        <v>173</v>
      </c>
      <c r="B26" s="19" t="s">
        <v>174</v>
      </c>
    </row>
    <row r="28">
      <c r="A28" s="7" t="s">
        <v>175</v>
      </c>
      <c r="B28" s="19" t="s">
        <v>176</v>
      </c>
    </row>
    <row r="29">
      <c r="B29" s="19" t="s">
        <v>177</v>
      </c>
    </row>
    <row r="31" ht="39.0" customHeight="1">
      <c r="A31" s="21" t="s">
        <v>178</v>
      </c>
      <c r="B31" s="22" t="str">
        <f>If(D2&gt;=3,"Senior","Junior")</f>
        <v>Senior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1" t="s">
        <v>179</v>
      </c>
      <c r="B32" s="21" t="str">
        <f>If(AND(B2&gt;100, D2&gt;3),"Senior","Junior")</f>
        <v>Junior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1" t="s">
        <v>180</v>
      </c>
      <c r="B33" s="22" t="str">
        <f>If(OR(B3&gt;=100, D3&gt;=5),"Senior","Junior")</f>
        <v>Junior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51.75" customHeight="1">
      <c r="A34" s="19" t="s">
        <v>181</v>
      </c>
      <c r="B34" s="21" t="s">
        <v>182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1" t="s">
        <v>183</v>
      </c>
      <c r="B35" s="21" t="str">
        <f>IFS(D3=0,"InExperienced",
AND(D3&gt;0,D3&lt;=3),"Junior",
D3&gt;3,"Senior"
)</f>
        <v>Junior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1" t="s">
        <v>184</v>
      </c>
      <c r="B36" s="21" t="str">
        <f>IF(D2=5,IF(C2="Sales","Sales Exp", "Other Exp"),"Junior Guy")</f>
        <v>Sales Exp</v>
      </c>
    </row>
    <row r="38">
      <c r="A38" s="21" t="s">
        <v>185</v>
      </c>
      <c r="B38" s="17" t="str">
        <f>IF(D7=5,
    IF(C7="Sales",
        "Sales Exp",
        "Other Exp"),
    "Junior Guy")</f>
        <v>Other Exp</v>
      </c>
    </row>
  </sheetData>
  <mergeCells count="1">
    <mergeCell ref="A22:F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186</v>
      </c>
      <c r="B1" s="10" t="s">
        <v>187</v>
      </c>
      <c r="C1" s="11"/>
      <c r="D1" s="11"/>
      <c r="E1" s="11"/>
    </row>
    <row r="2">
      <c r="A2" s="10">
        <v>10.0</v>
      </c>
      <c r="B2" s="11" t="str">
        <f t="shared" ref="B2:B11" si="1">IFS(A2&lt;40,"Fail",A2&lt;=80,"Average",A2&gt;=80,"Excellent")</f>
        <v>Fail</v>
      </c>
      <c r="C2" s="11"/>
      <c r="D2" s="11"/>
      <c r="E2" s="11"/>
    </row>
    <row r="3">
      <c r="A3" s="10">
        <v>20.0</v>
      </c>
      <c r="B3" s="11" t="str">
        <f t="shared" si="1"/>
        <v>Fail</v>
      </c>
      <c r="C3" s="11"/>
      <c r="D3" s="11"/>
      <c r="E3" s="11"/>
    </row>
    <row r="4">
      <c r="A4" s="10">
        <v>30.0</v>
      </c>
      <c r="B4" s="11" t="str">
        <f t="shared" si="1"/>
        <v>Fail</v>
      </c>
      <c r="C4" s="11"/>
      <c r="D4" s="11"/>
      <c r="E4" s="11"/>
    </row>
    <row r="5">
      <c r="A5" s="10">
        <v>40.0</v>
      </c>
      <c r="B5" s="11" t="str">
        <f t="shared" si="1"/>
        <v>Average</v>
      </c>
      <c r="C5" s="11"/>
      <c r="D5" s="11"/>
      <c r="E5" s="11"/>
    </row>
    <row r="6">
      <c r="A6" s="10">
        <v>50.0</v>
      </c>
      <c r="B6" s="11" t="str">
        <f t="shared" si="1"/>
        <v>Average</v>
      </c>
      <c r="C6" s="11"/>
      <c r="D6" s="11"/>
      <c r="E6" s="11"/>
    </row>
    <row r="7">
      <c r="A7" s="10">
        <v>60.0</v>
      </c>
      <c r="B7" s="11" t="str">
        <f t="shared" si="1"/>
        <v>Average</v>
      </c>
      <c r="C7" s="11"/>
      <c r="D7" s="11"/>
      <c r="E7" s="11"/>
    </row>
    <row r="8">
      <c r="A8" s="10">
        <v>70.0</v>
      </c>
      <c r="B8" s="11" t="str">
        <f t="shared" si="1"/>
        <v>Average</v>
      </c>
      <c r="C8" s="11"/>
      <c r="D8" s="11"/>
      <c r="E8" s="11"/>
    </row>
    <row r="9">
      <c r="A9" s="10">
        <v>80.0</v>
      </c>
      <c r="B9" s="11" t="str">
        <f t="shared" si="1"/>
        <v>Average</v>
      </c>
      <c r="C9" s="11"/>
      <c r="D9" s="11"/>
      <c r="E9" s="11"/>
    </row>
    <row r="10">
      <c r="A10" s="10">
        <v>90.0</v>
      </c>
      <c r="B10" s="11" t="str">
        <f t="shared" si="1"/>
        <v>Excellent</v>
      </c>
      <c r="C10" s="11"/>
      <c r="D10" s="11"/>
      <c r="E10" s="11"/>
    </row>
    <row r="11">
      <c r="A11" s="10">
        <v>100.0</v>
      </c>
      <c r="B11" s="11" t="str">
        <f t="shared" si="1"/>
        <v>Excellent</v>
      </c>
      <c r="C11" s="11"/>
      <c r="D11" s="11"/>
      <c r="E11" s="11"/>
    </row>
    <row r="12">
      <c r="A12" s="23" t="s">
        <v>188</v>
      </c>
      <c r="B12" s="11" t="str">
        <f>IF(A2&lt;40,"Fail", IF(A2&gt;80,"Excellent","Average"))</f>
        <v>Fail</v>
      </c>
      <c r="C12" s="11"/>
      <c r="D12" s="11"/>
      <c r="E12" s="11"/>
    </row>
    <row r="13">
      <c r="A13" s="23" t="s">
        <v>169</v>
      </c>
      <c r="B13" s="11" t="str">
        <f>IFS(A3&lt;40,"Fail",A3&lt;=80,"Average",A3&gt;=80,"Excellent")</f>
        <v>Fail</v>
      </c>
      <c r="C13" s="11"/>
      <c r="D13" s="11"/>
      <c r="E13" s="11"/>
    </row>
    <row r="14" ht="75.75" customHeight="1">
      <c r="A14" s="11" t="str">
        <f>IFS(
A1&lt;40,"Fail",
A1&lt;=80,"Average",
A1&gt;80,"Excellent")
</f>
        <v>Excellent</v>
      </c>
      <c r="B14" s="10" t="s">
        <v>189</v>
      </c>
      <c r="C14" s="11"/>
      <c r="D14" s="11"/>
      <c r="E14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6" max="6" width="15.25"/>
    <col customWidth="1" min="7" max="7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3">
        <v>40.0</v>
      </c>
      <c r="C2" s="3">
        <v>25.0</v>
      </c>
      <c r="D2" s="3">
        <v>1000.0</v>
      </c>
      <c r="E2" s="3">
        <v>100.0</v>
      </c>
      <c r="F2" s="3" t="s">
        <v>9</v>
      </c>
      <c r="G2" s="3">
        <v>5.0</v>
      </c>
      <c r="H2" s="3" t="b">
        <v>1</v>
      </c>
    </row>
    <row r="3">
      <c r="A3" s="3" t="s">
        <v>10</v>
      </c>
      <c r="B3" s="3">
        <v>35.0</v>
      </c>
      <c r="C3" s="3">
        <v>20.0</v>
      </c>
      <c r="D3" s="3">
        <v>700.0</v>
      </c>
      <c r="E3" s="3">
        <v>50.0</v>
      </c>
      <c r="F3" s="3" t="s">
        <v>11</v>
      </c>
      <c r="G3" s="3">
        <v>3.0</v>
      </c>
      <c r="H3" s="3" t="b">
        <v>0</v>
      </c>
    </row>
    <row r="4">
      <c r="A4" s="3" t="s">
        <v>12</v>
      </c>
      <c r="B4" s="3">
        <v>45.0</v>
      </c>
      <c r="C4" s="3">
        <v>30.0</v>
      </c>
      <c r="D4" s="3">
        <v>1350.0</v>
      </c>
      <c r="E4" s="3">
        <v>150.0</v>
      </c>
      <c r="F4" s="3" t="s">
        <v>13</v>
      </c>
      <c r="G4" s="3">
        <v>7.0</v>
      </c>
      <c r="H4" s="3" t="b">
        <v>1</v>
      </c>
    </row>
    <row r="5">
      <c r="A5" s="3" t="s">
        <v>14</v>
      </c>
      <c r="B5" s="3">
        <v>38.0</v>
      </c>
      <c r="C5" s="3">
        <v>22.0</v>
      </c>
      <c r="D5" s="3">
        <v>836.0</v>
      </c>
      <c r="E5" s="3">
        <v>80.0</v>
      </c>
      <c r="F5" s="3" t="s">
        <v>9</v>
      </c>
      <c r="G5" s="3">
        <v>4.0</v>
      </c>
      <c r="H5" s="3" t="b">
        <v>0</v>
      </c>
    </row>
    <row r="6">
      <c r="A6" s="3" t="s">
        <v>15</v>
      </c>
      <c r="B6" s="3">
        <v>50.0</v>
      </c>
      <c r="C6" s="3">
        <v>28.0</v>
      </c>
      <c r="D6" s="3">
        <v>1400.0</v>
      </c>
      <c r="E6" s="3">
        <v>200.0</v>
      </c>
      <c r="F6" s="3" t="s">
        <v>11</v>
      </c>
      <c r="G6" s="3">
        <v>0.0</v>
      </c>
      <c r="H6" s="3" t="b">
        <v>1</v>
      </c>
    </row>
    <row r="7">
      <c r="A7" s="3" t="s">
        <v>16</v>
      </c>
      <c r="B7" s="3">
        <v>42.0</v>
      </c>
      <c r="C7" s="3">
        <v>26.0</v>
      </c>
      <c r="D7" s="3">
        <v>1092.0</v>
      </c>
      <c r="E7" s="3">
        <v>110.0</v>
      </c>
      <c r="F7" s="3" t="s">
        <v>13</v>
      </c>
      <c r="G7" s="3">
        <v>5.0</v>
      </c>
      <c r="H7" s="3" t="b">
        <v>1</v>
      </c>
    </row>
    <row r="8">
      <c r="A8" s="3" t="s">
        <v>17</v>
      </c>
      <c r="B8" s="3">
        <v>37.0</v>
      </c>
      <c r="C8" s="3">
        <v>23.0</v>
      </c>
      <c r="D8" s="3">
        <v>851.0</v>
      </c>
      <c r="E8" s="3">
        <v>90.0</v>
      </c>
      <c r="F8" s="3" t="s">
        <v>18</v>
      </c>
      <c r="G8" s="3">
        <v>2.0</v>
      </c>
      <c r="H8" s="3" t="b">
        <v>0</v>
      </c>
    </row>
    <row r="9">
      <c r="A9" s="3" t="s">
        <v>19</v>
      </c>
      <c r="B9" s="3">
        <v>41.0</v>
      </c>
      <c r="C9" s="3">
        <v>24.0</v>
      </c>
      <c r="D9" s="3">
        <v>984.0</v>
      </c>
      <c r="E9" s="3">
        <v>120.0</v>
      </c>
      <c r="F9" s="3" t="s">
        <v>13</v>
      </c>
      <c r="G9" s="3">
        <v>6.0</v>
      </c>
      <c r="H9" s="3" t="b">
        <v>1</v>
      </c>
    </row>
    <row r="10">
      <c r="A10" s="3" t="s">
        <v>20</v>
      </c>
      <c r="B10" s="3">
        <v>39.0</v>
      </c>
      <c r="C10" s="3">
        <v>21.0</v>
      </c>
      <c r="D10" s="3">
        <v>819.0</v>
      </c>
      <c r="E10" s="3">
        <v>70.0</v>
      </c>
      <c r="F10" s="3" t="s">
        <v>9</v>
      </c>
      <c r="G10" s="3">
        <v>1.0</v>
      </c>
      <c r="H10" s="3" t="b">
        <v>1</v>
      </c>
    </row>
    <row r="11">
      <c r="A11" s="3" t="s">
        <v>21</v>
      </c>
      <c r="B11" s="3">
        <v>36.0</v>
      </c>
      <c r="C11" s="3">
        <v>20.0</v>
      </c>
      <c r="D11" s="3">
        <v>720.0</v>
      </c>
      <c r="E11" s="3">
        <v>60.0</v>
      </c>
      <c r="F11" s="3" t="s">
        <v>11</v>
      </c>
      <c r="G11" s="3">
        <v>4.0</v>
      </c>
      <c r="H11" s="3" t="b">
        <v>0</v>
      </c>
    </row>
    <row r="12">
      <c r="A12" s="3" t="s">
        <v>22</v>
      </c>
      <c r="B12" s="3">
        <v>44.0</v>
      </c>
      <c r="C12" s="3">
        <v>32.0</v>
      </c>
      <c r="D12" s="3">
        <v>1408.0</v>
      </c>
      <c r="E12" s="3">
        <v>160.0</v>
      </c>
      <c r="F12" s="3" t="s">
        <v>13</v>
      </c>
      <c r="G12" s="3">
        <v>8.0</v>
      </c>
      <c r="H12" s="3" t="b">
        <v>1</v>
      </c>
    </row>
    <row r="13">
      <c r="A13" s="3" t="s">
        <v>23</v>
      </c>
      <c r="B13" s="3">
        <v>30.0</v>
      </c>
      <c r="C13" s="3">
        <v>22.0</v>
      </c>
      <c r="D13" s="3">
        <v>660.0</v>
      </c>
      <c r="E13" s="3">
        <v>40.0</v>
      </c>
      <c r="F13" s="3" t="s">
        <v>18</v>
      </c>
      <c r="G13" s="3">
        <v>2.0</v>
      </c>
      <c r="H13" s="3" t="b">
        <v>0</v>
      </c>
    </row>
    <row r="14">
      <c r="A14" s="3" t="s">
        <v>24</v>
      </c>
      <c r="B14" s="3">
        <v>50.0</v>
      </c>
      <c r="C14" s="3">
        <v>27.0</v>
      </c>
      <c r="D14" s="3">
        <v>1350.0</v>
      </c>
      <c r="E14" s="3">
        <v>190.0</v>
      </c>
      <c r="F14" s="3" t="s">
        <v>9</v>
      </c>
      <c r="G14" s="3">
        <v>7.0</v>
      </c>
      <c r="H14" s="3" t="b">
        <v>1</v>
      </c>
    </row>
    <row r="15">
      <c r="A15" s="3" t="s">
        <v>25</v>
      </c>
      <c r="B15" s="3">
        <v>42.0</v>
      </c>
      <c r="C15" s="3">
        <v>25.0</v>
      </c>
      <c r="D15" s="3">
        <v>1050.0</v>
      </c>
      <c r="E15" s="3">
        <v>120.0</v>
      </c>
      <c r="F15" s="3" t="s">
        <v>11</v>
      </c>
      <c r="G15" s="3">
        <v>5.0</v>
      </c>
      <c r="H15" s="3" t="b">
        <v>1</v>
      </c>
    </row>
    <row r="16">
      <c r="A16" s="3" t="s">
        <v>26</v>
      </c>
      <c r="B16" s="3">
        <v>34.0</v>
      </c>
      <c r="C16" s="3">
        <v>19.0</v>
      </c>
      <c r="D16" s="3">
        <v>646.0</v>
      </c>
      <c r="E16" s="3">
        <v>50.0</v>
      </c>
      <c r="F16" s="3" t="s">
        <v>13</v>
      </c>
      <c r="G16" s="3">
        <v>4.0</v>
      </c>
      <c r="H16" s="3" t="b">
        <v>0</v>
      </c>
    </row>
    <row r="17">
      <c r="A17" s="3" t="s">
        <v>27</v>
      </c>
      <c r="B17" s="3">
        <v>45.0</v>
      </c>
      <c r="C17" s="3">
        <v>29.0</v>
      </c>
      <c r="D17" s="3">
        <v>1305.0</v>
      </c>
      <c r="E17" s="3">
        <v>140.0</v>
      </c>
      <c r="F17" s="3" t="s">
        <v>9</v>
      </c>
      <c r="G17" s="3">
        <v>6.0</v>
      </c>
      <c r="H17" s="3" t="b">
        <v>1</v>
      </c>
    </row>
    <row r="18">
      <c r="A18" s="3" t="s">
        <v>28</v>
      </c>
      <c r="B18" s="3">
        <v>39.0</v>
      </c>
      <c r="C18" s="3">
        <v>23.0</v>
      </c>
      <c r="D18" s="3">
        <v>897.0</v>
      </c>
      <c r="E18" s="3">
        <v>100.0</v>
      </c>
      <c r="F18" s="3" t="s">
        <v>11</v>
      </c>
      <c r="G18" s="3">
        <v>3.0</v>
      </c>
      <c r="H18" s="3" t="b">
        <v>1</v>
      </c>
    </row>
    <row r="19">
      <c r="A19" s="3" t="s">
        <v>29</v>
      </c>
      <c r="B19" s="3">
        <v>50.0</v>
      </c>
      <c r="C19" s="3">
        <v>30.0</v>
      </c>
      <c r="D19" s="3">
        <v>1500.0</v>
      </c>
      <c r="E19" s="3">
        <v>200.0</v>
      </c>
      <c r="F19" s="3" t="s">
        <v>13</v>
      </c>
      <c r="G19" s="3">
        <v>8.0</v>
      </c>
      <c r="H19" s="3" t="b">
        <v>1</v>
      </c>
    </row>
    <row r="20">
      <c r="A20" s="3" t="s">
        <v>30</v>
      </c>
      <c r="B20" s="3">
        <v>33.0</v>
      </c>
      <c r="C20" s="3">
        <v>20.0</v>
      </c>
      <c r="D20" s="3">
        <v>660.0</v>
      </c>
      <c r="E20" s="3">
        <v>60.0</v>
      </c>
      <c r="F20" s="3" t="s">
        <v>9</v>
      </c>
      <c r="G20" s="3">
        <v>4.0</v>
      </c>
      <c r="H20" s="3" t="b">
        <v>0</v>
      </c>
    </row>
    <row r="21">
      <c r="A21" s="3" t="s">
        <v>31</v>
      </c>
      <c r="B21" s="3">
        <v>40.0</v>
      </c>
      <c r="C21" s="3">
        <v>25.0</v>
      </c>
      <c r="D21" s="3">
        <v>1000.0</v>
      </c>
      <c r="E21" s="3">
        <v>100.0</v>
      </c>
      <c r="F21" s="3" t="s">
        <v>18</v>
      </c>
      <c r="G21" s="3">
        <v>5.0</v>
      </c>
      <c r="H21" s="3" t="b">
        <v>1</v>
      </c>
    </row>
    <row r="22">
      <c r="A22" s="3" t="s">
        <v>32</v>
      </c>
      <c r="B22" s="3">
        <v>48.0</v>
      </c>
      <c r="C22" s="3">
        <v>26.0</v>
      </c>
      <c r="D22" s="3">
        <v>1248.0</v>
      </c>
      <c r="E22" s="3">
        <v>180.0</v>
      </c>
      <c r="F22" s="3" t="s">
        <v>13</v>
      </c>
      <c r="G22" s="3">
        <v>9.0</v>
      </c>
      <c r="H22" s="3" t="b">
        <v>1</v>
      </c>
    </row>
    <row r="23">
      <c r="A23" s="3" t="s">
        <v>33</v>
      </c>
      <c r="B23" s="3">
        <v>38.0</v>
      </c>
      <c r="C23" s="3">
        <v>22.0</v>
      </c>
      <c r="D23" s="3">
        <v>836.0</v>
      </c>
      <c r="E23" s="3">
        <v>70.0</v>
      </c>
      <c r="F23" s="3" t="s">
        <v>9</v>
      </c>
      <c r="G23" s="3">
        <v>4.0</v>
      </c>
      <c r="H23" s="3" t="b">
        <v>0</v>
      </c>
    </row>
    <row r="24">
      <c r="A24" s="3" t="s">
        <v>34</v>
      </c>
      <c r="B24" s="3">
        <v>37.0</v>
      </c>
      <c r="C24" s="3">
        <v>20.0</v>
      </c>
      <c r="D24" s="3">
        <v>740.0</v>
      </c>
      <c r="E24" s="3">
        <v>60.0</v>
      </c>
      <c r="F24" s="3" t="s">
        <v>11</v>
      </c>
      <c r="G24" s="3">
        <v>3.0</v>
      </c>
      <c r="H24" s="3" t="b">
        <v>0</v>
      </c>
    </row>
    <row r="25">
      <c r="A25" s="3" t="s">
        <v>35</v>
      </c>
      <c r="B25" s="3">
        <v>46.0</v>
      </c>
      <c r="C25" s="3">
        <v>29.0</v>
      </c>
      <c r="D25" s="3">
        <v>1334.0</v>
      </c>
      <c r="E25" s="3">
        <v>150.0</v>
      </c>
      <c r="F25" s="3" t="s">
        <v>13</v>
      </c>
      <c r="G25" s="3">
        <v>7.0</v>
      </c>
      <c r="H25" s="3" t="b">
        <v>1</v>
      </c>
    </row>
  </sheetData>
  <conditionalFormatting sqref="C2:C25">
    <cfRule type="expression" dxfId="0" priority="1">
      <formula>C2&lt;=25</formula>
    </cfRule>
  </conditionalFormatting>
  <conditionalFormatting sqref="C2:C25">
    <cfRule type="expression" dxfId="1" priority="2">
      <formula>C2&gt;25</formula>
    </cfRule>
  </conditionalFormatting>
  <conditionalFormatting sqref="H6">
    <cfRule type="notContainsBlanks" dxfId="2" priority="3">
      <formula>LEN(TRIM(H6))&gt;0</formula>
    </cfRule>
  </conditionalFormatting>
  <conditionalFormatting sqref="A2:A60">
    <cfRule type="expression" dxfId="2" priority="4">
      <formula>C2&gt;=25</formula>
    </cfRule>
  </conditionalFormatting>
  <conditionalFormatting sqref="A2:H25">
    <cfRule type="expression" dxfId="2" priority="5">
      <formula>ISEVEN(ROW())</formula>
    </cfRule>
  </conditionalFormatting>
  <conditionalFormatting sqref="E2:E998">
    <cfRule type="expression" dxfId="2" priority="6">
      <formula>COUNTIF(E2:E998,E2)&gt;3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</v>
      </c>
      <c r="B1" s="7" t="s">
        <v>190</v>
      </c>
    </row>
    <row r="2">
      <c r="A2" s="24">
        <f t="shared" ref="A2:A20" si="1">RAND()</f>
        <v>0.2655908809</v>
      </c>
      <c r="B2" s="24">
        <f>RANDBETWEEN(2,10)</f>
        <v>6</v>
      </c>
    </row>
    <row r="3">
      <c r="A3" s="24">
        <f t="shared" si="1"/>
        <v>0.7885660069</v>
      </c>
    </row>
    <row r="4">
      <c r="A4" s="24">
        <f t="shared" si="1"/>
        <v>0.6795340387</v>
      </c>
    </row>
    <row r="5">
      <c r="A5" s="24">
        <f t="shared" si="1"/>
        <v>0.2982415371</v>
      </c>
    </row>
    <row r="6">
      <c r="A6" s="24">
        <f t="shared" si="1"/>
        <v>0.3779910361</v>
      </c>
    </row>
    <row r="7">
      <c r="A7" s="24">
        <f t="shared" si="1"/>
        <v>0.8344831145</v>
      </c>
    </row>
    <row r="8">
      <c r="A8" s="24">
        <f t="shared" si="1"/>
        <v>0.3639324101</v>
      </c>
    </row>
    <row r="9">
      <c r="A9" s="24">
        <f t="shared" si="1"/>
        <v>0.6503121576</v>
      </c>
    </row>
    <row r="10">
      <c r="A10" s="24">
        <f t="shared" si="1"/>
        <v>0.9005170971</v>
      </c>
    </row>
    <row r="11">
      <c r="A11" s="24">
        <f t="shared" si="1"/>
        <v>0.1864600236</v>
      </c>
    </row>
    <row r="12">
      <c r="A12" s="24">
        <f t="shared" si="1"/>
        <v>0.9150967258</v>
      </c>
    </row>
    <row r="13">
      <c r="A13" s="24">
        <f t="shared" si="1"/>
        <v>0.2171761876</v>
      </c>
    </row>
    <row r="14">
      <c r="A14" s="24">
        <f t="shared" si="1"/>
        <v>0.4123268453</v>
      </c>
    </row>
    <row r="15">
      <c r="A15" s="24">
        <f t="shared" si="1"/>
        <v>0.3602822153</v>
      </c>
    </row>
    <row r="16">
      <c r="A16" s="24">
        <f t="shared" si="1"/>
        <v>0.4454160401</v>
      </c>
    </row>
    <row r="17">
      <c r="A17" s="24">
        <f t="shared" si="1"/>
        <v>0.6178664935</v>
      </c>
    </row>
    <row r="18">
      <c r="A18" s="24">
        <f t="shared" si="1"/>
        <v>0.08932221054</v>
      </c>
    </row>
    <row r="19">
      <c r="A19" s="24">
        <f t="shared" si="1"/>
        <v>0.2005977021</v>
      </c>
    </row>
    <row r="20">
      <c r="A20" s="24">
        <f t="shared" si="1"/>
        <v>0.1012261967</v>
      </c>
    </row>
  </sheetData>
  <drawing r:id="rId1"/>
</worksheet>
</file>